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930" windowHeight="7050"/>
  </bookViews>
  <sheets>
    <sheet name="Summary of data" sheetId="6" r:id="rId1"/>
    <sheet name="OD" sheetId="1" r:id="rId2"/>
    <sheet name="Growth rates" sheetId="5" r:id="rId3"/>
    <sheet name="Pigments graph" sheetId="2" r:id="rId4"/>
    <sheet name="Pig cal" sheetId="4" r:id="rId5"/>
    <sheet name="Cal TIC-by NUF" sheetId="9" r:id="rId6"/>
    <sheet name="Real TIC" sheetId="7" r:id="rId7"/>
  </sheets>
  <externalReferences>
    <externalReference r:id="rId8"/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8" i="7" l="1"/>
  <c r="AB14" i="7"/>
  <c r="AB37" i="7"/>
  <c r="AB35" i="7"/>
  <c r="AB39" i="7"/>
  <c r="AB33" i="7"/>
  <c r="AB16" i="7"/>
  <c r="AB12" i="7"/>
  <c r="C14" i="6" l="1"/>
  <c r="J15" i="6"/>
  <c r="C13" i="6"/>
  <c r="D14" i="6"/>
  <c r="E14" i="6"/>
  <c r="F14" i="6"/>
  <c r="G14" i="6"/>
  <c r="I14" i="6"/>
  <c r="J14" i="6"/>
  <c r="K14" i="6"/>
  <c r="D16" i="6"/>
  <c r="E16" i="6"/>
  <c r="F16" i="6"/>
  <c r="G16" i="6"/>
  <c r="I16" i="6"/>
  <c r="J16" i="6"/>
  <c r="K16" i="6"/>
  <c r="C16" i="6"/>
  <c r="D15" i="6"/>
  <c r="E15" i="6"/>
  <c r="F15" i="6"/>
  <c r="G15" i="6"/>
  <c r="I15" i="6"/>
  <c r="K15" i="6"/>
  <c r="E13" i="6"/>
  <c r="F13" i="6"/>
  <c r="G13" i="6"/>
  <c r="I13" i="6"/>
  <c r="J13" i="6"/>
  <c r="K13" i="6"/>
  <c r="D13" i="6"/>
  <c r="C15" i="6"/>
  <c r="Y43" i="7" l="1"/>
  <c r="Z42" i="7"/>
  <c r="Y42" i="7"/>
  <c r="Y41" i="7"/>
  <c r="Y40" i="7"/>
  <c r="Y39" i="7"/>
  <c r="Z39" i="7" s="1"/>
  <c r="Y38" i="7"/>
  <c r="Y37" i="7"/>
  <c r="Z37" i="7" s="1"/>
  <c r="Y36" i="7"/>
  <c r="Y35" i="7"/>
  <c r="Z35" i="7" s="1"/>
  <c r="Y34" i="7"/>
  <c r="Z33" i="7"/>
  <c r="Y33" i="7"/>
  <c r="Y21" i="7"/>
  <c r="Z20" i="7"/>
  <c r="Y20" i="7"/>
  <c r="Y19" i="7"/>
  <c r="Y18" i="7"/>
  <c r="Z18" i="7" s="1"/>
  <c r="Y17" i="7"/>
  <c r="Y16" i="7"/>
  <c r="Z16" i="7" s="1"/>
  <c r="Y15" i="7"/>
  <c r="Y14" i="7"/>
  <c r="Z14" i="7" s="1"/>
  <c r="Y13" i="7"/>
  <c r="Y12" i="7"/>
  <c r="Z12" i="7" s="1"/>
  <c r="B38" i="9" l="1"/>
  <c r="I35" i="9"/>
  <c r="I34" i="9"/>
  <c r="I25" i="9"/>
  <c r="I24" i="9"/>
  <c r="I27" i="9" s="1"/>
  <c r="M14" i="9"/>
  <c r="M15" i="9" s="1"/>
  <c r="R10" i="9"/>
  <c r="R13" i="9" s="1"/>
  <c r="N10" i="9"/>
  <c r="M10" i="9"/>
  <c r="M16" i="9" l="1"/>
  <c r="R14" i="9"/>
  <c r="I28" i="9"/>
  <c r="I29" i="9" s="1"/>
  <c r="Q10" i="9"/>
  <c r="Q15" i="9" s="1"/>
  <c r="P10" i="9"/>
  <c r="R15" i="9"/>
  <c r="I37" i="9"/>
  <c r="E34" i="9" s="1"/>
  <c r="I38" i="9" l="1"/>
  <c r="O15" i="9"/>
  <c r="N15" i="9"/>
  <c r="F34" i="9"/>
  <c r="R16" i="9"/>
  <c r="Q16" i="9"/>
  <c r="M17" i="9"/>
  <c r="P15" i="9"/>
  <c r="E8" i="9"/>
  <c r="E24" i="9"/>
  <c r="S10" i="9"/>
  <c r="Q14" i="9"/>
  <c r="Q13" i="9"/>
  <c r="F35" i="4"/>
  <c r="E35" i="4"/>
  <c r="E26" i="4"/>
  <c r="F3" i="4"/>
  <c r="F34" i="4"/>
  <c r="E33" i="4"/>
  <c r="F33" i="4"/>
  <c r="G33" i="4"/>
  <c r="E34" i="4"/>
  <c r="G34" i="4"/>
  <c r="G35" i="4"/>
  <c r="E36" i="4"/>
  <c r="F36" i="4"/>
  <c r="G36" i="4"/>
  <c r="E37" i="4"/>
  <c r="F37" i="4"/>
  <c r="G37" i="4"/>
  <c r="E38" i="4"/>
  <c r="F38" i="4"/>
  <c r="G38" i="4"/>
  <c r="E39" i="4"/>
  <c r="F39" i="4"/>
  <c r="G39" i="4"/>
  <c r="E40" i="4"/>
  <c r="F40" i="4"/>
  <c r="G40" i="4"/>
  <c r="I2" i="4"/>
  <c r="D37" i="4"/>
  <c r="D33" i="4"/>
  <c r="C37" i="4"/>
  <c r="C33" i="4"/>
  <c r="B38" i="4"/>
  <c r="B37" i="4"/>
  <c r="B36" i="4"/>
  <c r="B35" i="4"/>
  <c r="B34" i="4"/>
  <c r="B33" i="4"/>
  <c r="E35" i="9" l="1"/>
  <c r="I39" i="9"/>
  <c r="E36" i="9" s="1"/>
  <c r="F36" i="9" s="1"/>
  <c r="N16" i="9"/>
  <c r="O16" i="9" s="1"/>
  <c r="R17" i="9"/>
  <c r="Q17" i="9"/>
  <c r="M18" i="9"/>
  <c r="N14" i="9"/>
  <c r="O14" i="9" s="1"/>
  <c r="F24" i="9"/>
  <c r="E25" i="9"/>
  <c r="N13" i="9"/>
  <c r="O13" i="9" s="1"/>
  <c r="T15" i="9"/>
  <c r="J2" i="4"/>
  <c r="H2" i="4"/>
  <c r="G2" i="4"/>
  <c r="F2" i="4"/>
  <c r="C26" i="4"/>
  <c r="B26" i="4"/>
  <c r="F35" i="9" l="1"/>
  <c r="F38" i="9" s="1"/>
  <c r="E38" i="9"/>
  <c r="T16" i="9"/>
  <c r="P16" i="9"/>
  <c r="P13" i="9"/>
  <c r="T13" i="9" s="1"/>
  <c r="T14" i="9"/>
  <c r="P14" i="9"/>
  <c r="M19" i="9"/>
  <c r="R18" i="9"/>
  <c r="Q18" i="9"/>
  <c r="N17" i="9"/>
  <c r="O17" i="9" s="1"/>
  <c r="F25" i="9"/>
  <c r="E26" i="9"/>
  <c r="T17" i="9" l="1"/>
  <c r="P17" i="9"/>
  <c r="M20" i="9"/>
  <c r="Q19" i="9"/>
  <c r="R19" i="9"/>
  <c r="F26" i="9"/>
  <c r="F28" i="9" s="1"/>
  <c r="E28" i="9"/>
  <c r="N18" i="9"/>
  <c r="O18" i="9" s="1"/>
  <c r="T18" i="9" l="1"/>
  <c r="P18" i="9"/>
  <c r="M21" i="9"/>
  <c r="R20" i="9"/>
  <c r="Q20" i="9"/>
  <c r="N19" i="9"/>
  <c r="O19" i="9" s="1"/>
  <c r="P19" i="9" l="1"/>
  <c r="T19" i="9" s="1"/>
  <c r="R21" i="9"/>
  <c r="Q21" i="9"/>
  <c r="M22" i="9"/>
  <c r="N20" i="9"/>
  <c r="O20" i="9" s="1"/>
  <c r="C15" i="5"/>
  <c r="H9" i="6"/>
  <c r="H8" i="6"/>
  <c r="H7" i="6"/>
  <c r="H6" i="6"/>
  <c r="H5" i="6"/>
  <c r="H4" i="6"/>
  <c r="H3" i="6"/>
  <c r="H2" i="6"/>
  <c r="H14" i="6" l="1"/>
  <c r="H13" i="6"/>
  <c r="H16" i="6"/>
  <c r="H15" i="6"/>
  <c r="T20" i="9"/>
  <c r="P20" i="9"/>
  <c r="M23" i="9"/>
  <c r="Q22" i="9"/>
  <c r="R22" i="9"/>
  <c r="N21" i="9"/>
  <c r="O21" i="9" s="1"/>
  <c r="D26" i="4"/>
  <c r="F26" i="4"/>
  <c r="G26" i="4"/>
  <c r="C27" i="4"/>
  <c r="D27" i="4"/>
  <c r="E27" i="4"/>
  <c r="F27" i="4"/>
  <c r="G27" i="4"/>
  <c r="B27" i="4"/>
  <c r="T21" i="9" l="1"/>
  <c r="P21" i="9"/>
  <c r="N22" i="9"/>
  <c r="O22" i="9" s="1"/>
  <c r="Q23" i="9"/>
  <c r="M24" i="9"/>
  <c r="R23" i="9"/>
  <c r="D40" i="4"/>
  <c r="D39" i="4"/>
  <c r="D38" i="4"/>
  <c r="C40" i="4"/>
  <c r="C38" i="4"/>
  <c r="C39" i="4"/>
  <c r="B40" i="4"/>
  <c r="B39" i="4"/>
  <c r="D36" i="4"/>
  <c r="D34" i="4"/>
  <c r="D35" i="4"/>
  <c r="C34" i="4"/>
  <c r="C36" i="4"/>
  <c r="C35" i="4"/>
  <c r="H5" i="4"/>
  <c r="G3" i="4"/>
  <c r="H3" i="4" s="1"/>
  <c r="G4" i="4"/>
  <c r="H4" i="4" s="1"/>
  <c r="G5" i="4"/>
  <c r="G6" i="4"/>
  <c r="H6" i="4" s="1"/>
  <c r="G7" i="4"/>
  <c r="H7" i="4" s="1"/>
  <c r="G8" i="4"/>
  <c r="H8" i="4" s="1"/>
  <c r="G9" i="4"/>
  <c r="H9" i="4" s="1"/>
  <c r="I3" i="4"/>
  <c r="F4" i="4"/>
  <c r="I4" i="4" s="1"/>
  <c r="F5" i="4"/>
  <c r="F6" i="4"/>
  <c r="I6" i="4" s="1"/>
  <c r="F7" i="4"/>
  <c r="I7" i="4" s="1"/>
  <c r="F8" i="4"/>
  <c r="I8" i="4" s="1"/>
  <c r="F9" i="4"/>
  <c r="I9" i="4" s="1"/>
  <c r="C14" i="5"/>
  <c r="C13" i="5"/>
  <c r="C12" i="5"/>
  <c r="C11" i="5"/>
  <c r="C10" i="5"/>
  <c r="C9" i="5"/>
  <c r="C8" i="5"/>
  <c r="T22" i="9" l="1"/>
  <c r="P22" i="9"/>
  <c r="M25" i="9"/>
  <c r="R24" i="9"/>
  <c r="Q24" i="9"/>
  <c r="N23" i="9"/>
  <c r="O23" i="9" s="1"/>
  <c r="J5" i="4"/>
  <c r="J7" i="4"/>
  <c r="I5" i="4"/>
  <c r="J4" i="4"/>
  <c r="J9" i="4"/>
  <c r="J6" i="4"/>
  <c r="J3" i="4"/>
  <c r="J8" i="4"/>
  <c r="P23" i="9" l="1"/>
  <c r="T23" i="9" s="1"/>
  <c r="N24" i="9"/>
  <c r="O24" i="9" s="1"/>
  <c r="Q25" i="9"/>
  <c r="M26" i="9"/>
  <c r="R25" i="9"/>
  <c r="M402" i="2"/>
  <c r="N402" i="2"/>
  <c r="O402" i="2"/>
  <c r="P402" i="2"/>
  <c r="Q402" i="2"/>
  <c r="R402" i="2"/>
  <c r="S402" i="2"/>
  <c r="T402" i="2"/>
  <c r="M3" i="2"/>
  <c r="N3" i="2"/>
  <c r="O3" i="2"/>
  <c r="P3" i="2"/>
  <c r="Q3" i="2"/>
  <c r="R3" i="2"/>
  <c r="S3" i="2"/>
  <c r="T3" i="2"/>
  <c r="M4" i="2"/>
  <c r="N4" i="2"/>
  <c r="O4" i="2"/>
  <c r="P4" i="2"/>
  <c r="Q4" i="2"/>
  <c r="R4" i="2"/>
  <c r="S4" i="2"/>
  <c r="T4" i="2"/>
  <c r="M5" i="2"/>
  <c r="N5" i="2"/>
  <c r="O5" i="2"/>
  <c r="P5" i="2"/>
  <c r="Q5" i="2"/>
  <c r="R5" i="2"/>
  <c r="S5" i="2"/>
  <c r="T5" i="2"/>
  <c r="M6" i="2"/>
  <c r="N6" i="2"/>
  <c r="O6" i="2"/>
  <c r="P6" i="2"/>
  <c r="Q6" i="2"/>
  <c r="R6" i="2"/>
  <c r="S6" i="2"/>
  <c r="T6" i="2"/>
  <c r="M7" i="2"/>
  <c r="N7" i="2"/>
  <c r="O7" i="2"/>
  <c r="P7" i="2"/>
  <c r="Q7" i="2"/>
  <c r="R7" i="2"/>
  <c r="S7" i="2"/>
  <c r="T7" i="2"/>
  <c r="M8" i="2"/>
  <c r="N8" i="2"/>
  <c r="O8" i="2"/>
  <c r="P8" i="2"/>
  <c r="Q8" i="2"/>
  <c r="R8" i="2"/>
  <c r="S8" i="2"/>
  <c r="T8" i="2"/>
  <c r="M9" i="2"/>
  <c r="N9" i="2"/>
  <c r="O9" i="2"/>
  <c r="P9" i="2"/>
  <c r="Q9" i="2"/>
  <c r="R9" i="2"/>
  <c r="S9" i="2"/>
  <c r="T9" i="2"/>
  <c r="M10" i="2"/>
  <c r="N10" i="2"/>
  <c r="O10" i="2"/>
  <c r="P10" i="2"/>
  <c r="Q10" i="2"/>
  <c r="R10" i="2"/>
  <c r="S10" i="2"/>
  <c r="T10" i="2"/>
  <c r="M11" i="2"/>
  <c r="N11" i="2"/>
  <c r="O11" i="2"/>
  <c r="P11" i="2"/>
  <c r="Q11" i="2"/>
  <c r="R11" i="2"/>
  <c r="S11" i="2"/>
  <c r="T11" i="2"/>
  <c r="M12" i="2"/>
  <c r="N12" i="2"/>
  <c r="O12" i="2"/>
  <c r="P12" i="2"/>
  <c r="Q12" i="2"/>
  <c r="R12" i="2"/>
  <c r="S12" i="2"/>
  <c r="T12" i="2"/>
  <c r="M13" i="2"/>
  <c r="N13" i="2"/>
  <c r="O13" i="2"/>
  <c r="P13" i="2"/>
  <c r="Q13" i="2"/>
  <c r="R13" i="2"/>
  <c r="S13" i="2"/>
  <c r="T13" i="2"/>
  <c r="M14" i="2"/>
  <c r="N14" i="2"/>
  <c r="O14" i="2"/>
  <c r="P14" i="2"/>
  <c r="Q14" i="2"/>
  <c r="R14" i="2"/>
  <c r="S14" i="2"/>
  <c r="T14" i="2"/>
  <c r="M15" i="2"/>
  <c r="N15" i="2"/>
  <c r="O15" i="2"/>
  <c r="P15" i="2"/>
  <c r="Q15" i="2"/>
  <c r="R15" i="2"/>
  <c r="S15" i="2"/>
  <c r="T15" i="2"/>
  <c r="M16" i="2"/>
  <c r="N16" i="2"/>
  <c r="O16" i="2"/>
  <c r="P16" i="2"/>
  <c r="Q16" i="2"/>
  <c r="R16" i="2"/>
  <c r="S16" i="2"/>
  <c r="T16" i="2"/>
  <c r="M17" i="2"/>
  <c r="N17" i="2"/>
  <c r="O17" i="2"/>
  <c r="P17" i="2"/>
  <c r="Q17" i="2"/>
  <c r="R17" i="2"/>
  <c r="S17" i="2"/>
  <c r="T17" i="2"/>
  <c r="M18" i="2"/>
  <c r="N18" i="2"/>
  <c r="O18" i="2"/>
  <c r="P18" i="2"/>
  <c r="Q18" i="2"/>
  <c r="R18" i="2"/>
  <c r="S18" i="2"/>
  <c r="T18" i="2"/>
  <c r="M19" i="2"/>
  <c r="N19" i="2"/>
  <c r="O19" i="2"/>
  <c r="P19" i="2"/>
  <c r="Q19" i="2"/>
  <c r="R19" i="2"/>
  <c r="S19" i="2"/>
  <c r="T19" i="2"/>
  <c r="M20" i="2"/>
  <c r="N20" i="2"/>
  <c r="O20" i="2"/>
  <c r="P20" i="2"/>
  <c r="Q20" i="2"/>
  <c r="R20" i="2"/>
  <c r="S20" i="2"/>
  <c r="T20" i="2"/>
  <c r="M21" i="2"/>
  <c r="N21" i="2"/>
  <c r="O21" i="2"/>
  <c r="P21" i="2"/>
  <c r="Q21" i="2"/>
  <c r="R21" i="2"/>
  <c r="S21" i="2"/>
  <c r="T21" i="2"/>
  <c r="M22" i="2"/>
  <c r="N22" i="2"/>
  <c r="O22" i="2"/>
  <c r="P22" i="2"/>
  <c r="Q22" i="2"/>
  <c r="R22" i="2"/>
  <c r="S22" i="2"/>
  <c r="T22" i="2"/>
  <c r="M23" i="2"/>
  <c r="N23" i="2"/>
  <c r="O23" i="2"/>
  <c r="P23" i="2"/>
  <c r="Q23" i="2"/>
  <c r="R23" i="2"/>
  <c r="S23" i="2"/>
  <c r="T23" i="2"/>
  <c r="M24" i="2"/>
  <c r="N24" i="2"/>
  <c r="O24" i="2"/>
  <c r="P24" i="2"/>
  <c r="Q24" i="2"/>
  <c r="R24" i="2"/>
  <c r="S24" i="2"/>
  <c r="T24" i="2"/>
  <c r="M25" i="2"/>
  <c r="N25" i="2"/>
  <c r="O25" i="2"/>
  <c r="P25" i="2"/>
  <c r="Q25" i="2"/>
  <c r="R25" i="2"/>
  <c r="S25" i="2"/>
  <c r="T25" i="2"/>
  <c r="M26" i="2"/>
  <c r="N26" i="2"/>
  <c r="O26" i="2"/>
  <c r="P26" i="2"/>
  <c r="Q26" i="2"/>
  <c r="R26" i="2"/>
  <c r="S26" i="2"/>
  <c r="T26" i="2"/>
  <c r="M27" i="2"/>
  <c r="N27" i="2"/>
  <c r="O27" i="2"/>
  <c r="P27" i="2"/>
  <c r="Q27" i="2"/>
  <c r="R27" i="2"/>
  <c r="S27" i="2"/>
  <c r="T27" i="2"/>
  <c r="M28" i="2"/>
  <c r="N28" i="2"/>
  <c r="O28" i="2"/>
  <c r="P28" i="2"/>
  <c r="Q28" i="2"/>
  <c r="R28" i="2"/>
  <c r="S28" i="2"/>
  <c r="T28" i="2"/>
  <c r="M29" i="2"/>
  <c r="N29" i="2"/>
  <c r="O29" i="2"/>
  <c r="P29" i="2"/>
  <c r="Q29" i="2"/>
  <c r="R29" i="2"/>
  <c r="S29" i="2"/>
  <c r="T29" i="2"/>
  <c r="M30" i="2"/>
  <c r="N30" i="2"/>
  <c r="O30" i="2"/>
  <c r="P30" i="2"/>
  <c r="Q30" i="2"/>
  <c r="R30" i="2"/>
  <c r="S30" i="2"/>
  <c r="T30" i="2"/>
  <c r="M31" i="2"/>
  <c r="N31" i="2"/>
  <c r="O31" i="2"/>
  <c r="P31" i="2"/>
  <c r="Q31" i="2"/>
  <c r="R31" i="2"/>
  <c r="S31" i="2"/>
  <c r="T31" i="2"/>
  <c r="M32" i="2"/>
  <c r="N32" i="2"/>
  <c r="O32" i="2"/>
  <c r="P32" i="2"/>
  <c r="Q32" i="2"/>
  <c r="R32" i="2"/>
  <c r="S32" i="2"/>
  <c r="T32" i="2"/>
  <c r="M33" i="2"/>
  <c r="N33" i="2"/>
  <c r="O33" i="2"/>
  <c r="P33" i="2"/>
  <c r="Q33" i="2"/>
  <c r="R33" i="2"/>
  <c r="S33" i="2"/>
  <c r="T33" i="2"/>
  <c r="M34" i="2"/>
  <c r="N34" i="2"/>
  <c r="O34" i="2"/>
  <c r="P34" i="2"/>
  <c r="Q34" i="2"/>
  <c r="R34" i="2"/>
  <c r="S34" i="2"/>
  <c r="T34" i="2"/>
  <c r="M35" i="2"/>
  <c r="N35" i="2"/>
  <c r="O35" i="2"/>
  <c r="P35" i="2"/>
  <c r="Q35" i="2"/>
  <c r="R35" i="2"/>
  <c r="S35" i="2"/>
  <c r="T35" i="2"/>
  <c r="M36" i="2"/>
  <c r="N36" i="2"/>
  <c r="O36" i="2"/>
  <c r="P36" i="2"/>
  <c r="Q36" i="2"/>
  <c r="R36" i="2"/>
  <c r="S36" i="2"/>
  <c r="T36" i="2"/>
  <c r="M37" i="2"/>
  <c r="N37" i="2"/>
  <c r="O37" i="2"/>
  <c r="P37" i="2"/>
  <c r="Q37" i="2"/>
  <c r="R37" i="2"/>
  <c r="S37" i="2"/>
  <c r="T37" i="2"/>
  <c r="M38" i="2"/>
  <c r="N38" i="2"/>
  <c r="O38" i="2"/>
  <c r="P38" i="2"/>
  <c r="Q38" i="2"/>
  <c r="R38" i="2"/>
  <c r="S38" i="2"/>
  <c r="T38" i="2"/>
  <c r="M39" i="2"/>
  <c r="N39" i="2"/>
  <c r="O39" i="2"/>
  <c r="P39" i="2"/>
  <c r="Q39" i="2"/>
  <c r="R39" i="2"/>
  <c r="S39" i="2"/>
  <c r="T39" i="2"/>
  <c r="M40" i="2"/>
  <c r="N40" i="2"/>
  <c r="O40" i="2"/>
  <c r="P40" i="2"/>
  <c r="Q40" i="2"/>
  <c r="R40" i="2"/>
  <c r="S40" i="2"/>
  <c r="T40" i="2"/>
  <c r="M41" i="2"/>
  <c r="N41" i="2"/>
  <c r="O41" i="2"/>
  <c r="P41" i="2"/>
  <c r="Q41" i="2"/>
  <c r="R41" i="2"/>
  <c r="S41" i="2"/>
  <c r="T41" i="2"/>
  <c r="M42" i="2"/>
  <c r="N42" i="2"/>
  <c r="O42" i="2"/>
  <c r="P42" i="2"/>
  <c r="Q42" i="2"/>
  <c r="R42" i="2"/>
  <c r="S42" i="2"/>
  <c r="T42" i="2"/>
  <c r="M43" i="2"/>
  <c r="N43" i="2"/>
  <c r="O43" i="2"/>
  <c r="P43" i="2"/>
  <c r="Q43" i="2"/>
  <c r="R43" i="2"/>
  <c r="S43" i="2"/>
  <c r="T43" i="2"/>
  <c r="M44" i="2"/>
  <c r="N44" i="2"/>
  <c r="O44" i="2"/>
  <c r="P44" i="2"/>
  <c r="Q44" i="2"/>
  <c r="R44" i="2"/>
  <c r="S44" i="2"/>
  <c r="T44" i="2"/>
  <c r="M45" i="2"/>
  <c r="N45" i="2"/>
  <c r="O45" i="2"/>
  <c r="P45" i="2"/>
  <c r="Q45" i="2"/>
  <c r="R45" i="2"/>
  <c r="S45" i="2"/>
  <c r="T45" i="2"/>
  <c r="M46" i="2"/>
  <c r="N46" i="2"/>
  <c r="O46" i="2"/>
  <c r="P46" i="2"/>
  <c r="Q46" i="2"/>
  <c r="R46" i="2"/>
  <c r="S46" i="2"/>
  <c r="T46" i="2"/>
  <c r="M47" i="2"/>
  <c r="N47" i="2"/>
  <c r="O47" i="2"/>
  <c r="P47" i="2"/>
  <c r="Q47" i="2"/>
  <c r="R47" i="2"/>
  <c r="S47" i="2"/>
  <c r="T47" i="2"/>
  <c r="M48" i="2"/>
  <c r="N48" i="2"/>
  <c r="O48" i="2"/>
  <c r="P48" i="2"/>
  <c r="Q48" i="2"/>
  <c r="R48" i="2"/>
  <c r="S48" i="2"/>
  <c r="T48" i="2"/>
  <c r="M49" i="2"/>
  <c r="N49" i="2"/>
  <c r="O49" i="2"/>
  <c r="P49" i="2"/>
  <c r="Q49" i="2"/>
  <c r="R49" i="2"/>
  <c r="S49" i="2"/>
  <c r="T49" i="2"/>
  <c r="M50" i="2"/>
  <c r="N50" i="2"/>
  <c r="O50" i="2"/>
  <c r="P50" i="2"/>
  <c r="Q50" i="2"/>
  <c r="R50" i="2"/>
  <c r="S50" i="2"/>
  <c r="T50" i="2"/>
  <c r="M51" i="2"/>
  <c r="N51" i="2"/>
  <c r="O51" i="2"/>
  <c r="P51" i="2"/>
  <c r="Q51" i="2"/>
  <c r="R51" i="2"/>
  <c r="S51" i="2"/>
  <c r="T51" i="2"/>
  <c r="M52" i="2"/>
  <c r="N52" i="2"/>
  <c r="O52" i="2"/>
  <c r="P52" i="2"/>
  <c r="Q52" i="2"/>
  <c r="R52" i="2"/>
  <c r="S52" i="2"/>
  <c r="T52" i="2"/>
  <c r="M53" i="2"/>
  <c r="N53" i="2"/>
  <c r="O53" i="2"/>
  <c r="P53" i="2"/>
  <c r="Q53" i="2"/>
  <c r="R53" i="2"/>
  <c r="S53" i="2"/>
  <c r="T53" i="2"/>
  <c r="M54" i="2"/>
  <c r="N54" i="2"/>
  <c r="O54" i="2"/>
  <c r="P54" i="2"/>
  <c r="Q54" i="2"/>
  <c r="R54" i="2"/>
  <c r="S54" i="2"/>
  <c r="T54" i="2"/>
  <c r="M55" i="2"/>
  <c r="N55" i="2"/>
  <c r="O55" i="2"/>
  <c r="P55" i="2"/>
  <c r="Q55" i="2"/>
  <c r="R55" i="2"/>
  <c r="S55" i="2"/>
  <c r="T55" i="2"/>
  <c r="M56" i="2"/>
  <c r="N56" i="2"/>
  <c r="O56" i="2"/>
  <c r="P56" i="2"/>
  <c r="Q56" i="2"/>
  <c r="R56" i="2"/>
  <c r="S56" i="2"/>
  <c r="T56" i="2"/>
  <c r="M57" i="2"/>
  <c r="N57" i="2"/>
  <c r="O57" i="2"/>
  <c r="P57" i="2"/>
  <c r="Q57" i="2"/>
  <c r="R57" i="2"/>
  <c r="S57" i="2"/>
  <c r="T57" i="2"/>
  <c r="M58" i="2"/>
  <c r="N58" i="2"/>
  <c r="O58" i="2"/>
  <c r="P58" i="2"/>
  <c r="Q58" i="2"/>
  <c r="R58" i="2"/>
  <c r="S58" i="2"/>
  <c r="T58" i="2"/>
  <c r="M59" i="2"/>
  <c r="N59" i="2"/>
  <c r="O59" i="2"/>
  <c r="P59" i="2"/>
  <c r="Q59" i="2"/>
  <c r="R59" i="2"/>
  <c r="S59" i="2"/>
  <c r="T59" i="2"/>
  <c r="M60" i="2"/>
  <c r="N60" i="2"/>
  <c r="O60" i="2"/>
  <c r="P60" i="2"/>
  <c r="Q60" i="2"/>
  <c r="R60" i="2"/>
  <c r="S60" i="2"/>
  <c r="T60" i="2"/>
  <c r="M61" i="2"/>
  <c r="N61" i="2"/>
  <c r="O61" i="2"/>
  <c r="P61" i="2"/>
  <c r="Q61" i="2"/>
  <c r="R61" i="2"/>
  <c r="S61" i="2"/>
  <c r="T61" i="2"/>
  <c r="M62" i="2"/>
  <c r="N62" i="2"/>
  <c r="O62" i="2"/>
  <c r="P62" i="2"/>
  <c r="Q62" i="2"/>
  <c r="R62" i="2"/>
  <c r="S62" i="2"/>
  <c r="T62" i="2"/>
  <c r="M63" i="2"/>
  <c r="N63" i="2"/>
  <c r="O63" i="2"/>
  <c r="P63" i="2"/>
  <c r="Q63" i="2"/>
  <c r="R63" i="2"/>
  <c r="S63" i="2"/>
  <c r="T63" i="2"/>
  <c r="M64" i="2"/>
  <c r="N64" i="2"/>
  <c r="O64" i="2"/>
  <c r="P64" i="2"/>
  <c r="Q64" i="2"/>
  <c r="R64" i="2"/>
  <c r="S64" i="2"/>
  <c r="T64" i="2"/>
  <c r="M65" i="2"/>
  <c r="N65" i="2"/>
  <c r="O65" i="2"/>
  <c r="P65" i="2"/>
  <c r="Q65" i="2"/>
  <c r="R65" i="2"/>
  <c r="S65" i="2"/>
  <c r="T65" i="2"/>
  <c r="M66" i="2"/>
  <c r="N66" i="2"/>
  <c r="O66" i="2"/>
  <c r="P66" i="2"/>
  <c r="Q66" i="2"/>
  <c r="R66" i="2"/>
  <c r="S66" i="2"/>
  <c r="T66" i="2"/>
  <c r="M67" i="2"/>
  <c r="N67" i="2"/>
  <c r="O67" i="2"/>
  <c r="P67" i="2"/>
  <c r="Q67" i="2"/>
  <c r="R67" i="2"/>
  <c r="S67" i="2"/>
  <c r="T67" i="2"/>
  <c r="M68" i="2"/>
  <c r="N68" i="2"/>
  <c r="O68" i="2"/>
  <c r="P68" i="2"/>
  <c r="Q68" i="2"/>
  <c r="R68" i="2"/>
  <c r="S68" i="2"/>
  <c r="T68" i="2"/>
  <c r="M69" i="2"/>
  <c r="N69" i="2"/>
  <c r="O69" i="2"/>
  <c r="P69" i="2"/>
  <c r="Q69" i="2"/>
  <c r="R69" i="2"/>
  <c r="S69" i="2"/>
  <c r="T69" i="2"/>
  <c r="M70" i="2"/>
  <c r="N70" i="2"/>
  <c r="O70" i="2"/>
  <c r="P70" i="2"/>
  <c r="Q70" i="2"/>
  <c r="R70" i="2"/>
  <c r="S70" i="2"/>
  <c r="T70" i="2"/>
  <c r="M71" i="2"/>
  <c r="N71" i="2"/>
  <c r="O71" i="2"/>
  <c r="P71" i="2"/>
  <c r="Q71" i="2"/>
  <c r="R71" i="2"/>
  <c r="S71" i="2"/>
  <c r="T71" i="2"/>
  <c r="M72" i="2"/>
  <c r="N72" i="2"/>
  <c r="O72" i="2"/>
  <c r="P72" i="2"/>
  <c r="Q72" i="2"/>
  <c r="R72" i="2"/>
  <c r="S72" i="2"/>
  <c r="T72" i="2"/>
  <c r="M73" i="2"/>
  <c r="N73" i="2"/>
  <c r="O73" i="2"/>
  <c r="P73" i="2"/>
  <c r="Q73" i="2"/>
  <c r="R73" i="2"/>
  <c r="S73" i="2"/>
  <c r="T73" i="2"/>
  <c r="M74" i="2"/>
  <c r="N74" i="2"/>
  <c r="O74" i="2"/>
  <c r="P74" i="2"/>
  <c r="Q74" i="2"/>
  <c r="R74" i="2"/>
  <c r="S74" i="2"/>
  <c r="T74" i="2"/>
  <c r="M75" i="2"/>
  <c r="N75" i="2"/>
  <c r="O75" i="2"/>
  <c r="P75" i="2"/>
  <c r="Q75" i="2"/>
  <c r="R75" i="2"/>
  <c r="S75" i="2"/>
  <c r="T75" i="2"/>
  <c r="M76" i="2"/>
  <c r="N76" i="2"/>
  <c r="O76" i="2"/>
  <c r="P76" i="2"/>
  <c r="Q76" i="2"/>
  <c r="R76" i="2"/>
  <c r="S76" i="2"/>
  <c r="T76" i="2"/>
  <c r="M77" i="2"/>
  <c r="N77" i="2"/>
  <c r="O77" i="2"/>
  <c r="P77" i="2"/>
  <c r="Q77" i="2"/>
  <c r="R77" i="2"/>
  <c r="S77" i="2"/>
  <c r="T77" i="2"/>
  <c r="M78" i="2"/>
  <c r="N78" i="2"/>
  <c r="O78" i="2"/>
  <c r="P78" i="2"/>
  <c r="Q78" i="2"/>
  <c r="R78" i="2"/>
  <c r="S78" i="2"/>
  <c r="T78" i="2"/>
  <c r="M79" i="2"/>
  <c r="N79" i="2"/>
  <c r="O79" i="2"/>
  <c r="P79" i="2"/>
  <c r="Q79" i="2"/>
  <c r="R79" i="2"/>
  <c r="S79" i="2"/>
  <c r="T79" i="2"/>
  <c r="M80" i="2"/>
  <c r="N80" i="2"/>
  <c r="O80" i="2"/>
  <c r="P80" i="2"/>
  <c r="Q80" i="2"/>
  <c r="R80" i="2"/>
  <c r="S80" i="2"/>
  <c r="T80" i="2"/>
  <c r="M81" i="2"/>
  <c r="N81" i="2"/>
  <c r="O81" i="2"/>
  <c r="P81" i="2"/>
  <c r="Q81" i="2"/>
  <c r="R81" i="2"/>
  <c r="S81" i="2"/>
  <c r="T81" i="2"/>
  <c r="M82" i="2"/>
  <c r="N82" i="2"/>
  <c r="O82" i="2"/>
  <c r="P82" i="2"/>
  <c r="Q82" i="2"/>
  <c r="R82" i="2"/>
  <c r="S82" i="2"/>
  <c r="T82" i="2"/>
  <c r="M83" i="2"/>
  <c r="N83" i="2"/>
  <c r="O83" i="2"/>
  <c r="P83" i="2"/>
  <c r="Q83" i="2"/>
  <c r="R83" i="2"/>
  <c r="S83" i="2"/>
  <c r="T83" i="2"/>
  <c r="M84" i="2"/>
  <c r="N84" i="2"/>
  <c r="O84" i="2"/>
  <c r="P84" i="2"/>
  <c r="Q84" i="2"/>
  <c r="R84" i="2"/>
  <c r="S84" i="2"/>
  <c r="T84" i="2"/>
  <c r="M85" i="2"/>
  <c r="N85" i="2"/>
  <c r="O85" i="2"/>
  <c r="P85" i="2"/>
  <c r="Q85" i="2"/>
  <c r="R85" i="2"/>
  <c r="S85" i="2"/>
  <c r="T85" i="2"/>
  <c r="M86" i="2"/>
  <c r="N86" i="2"/>
  <c r="O86" i="2"/>
  <c r="P86" i="2"/>
  <c r="Q86" i="2"/>
  <c r="R86" i="2"/>
  <c r="S86" i="2"/>
  <c r="T86" i="2"/>
  <c r="M87" i="2"/>
  <c r="N87" i="2"/>
  <c r="O87" i="2"/>
  <c r="P87" i="2"/>
  <c r="Q87" i="2"/>
  <c r="R87" i="2"/>
  <c r="S87" i="2"/>
  <c r="T87" i="2"/>
  <c r="M88" i="2"/>
  <c r="N88" i="2"/>
  <c r="O88" i="2"/>
  <c r="P88" i="2"/>
  <c r="Q88" i="2"/>
  <c r="R88" i="2"/>
  <c r="S88" i="2"/>
  <c r="T88" i="2"/>
  <c r="M89" i="2"/>
  <c r="N89" i="2"/>
  <c r="O89" i="2"/>
  <c r="P89" i="2"/>
  <c r="Q89" i="2"/>
  <c r="R89" i="2"/>
  <c r="S89" i="2"/>
  <c r="T89" i="2"/>
  <c r="M90" i="2"/>
  <c r="N90" i="2"/>
  <c r="O90" i="2"/>
  <c r="P90" i="2"/>
  <c r="Q90" i="2"/>
  <c r="R90" i="2"/>
  <c r="S90" i="2"/>
  <c r="T90" i="2"/>
  <c r="M91" i="2"/>
  <c r="N91" i="2"/>
  <c r="O91" i="2"/>
  <c r="P91" i="2"/>
  <c r="Q91" i="2"/>
  <c r="R91" i="2"/>
  <c r="S91" i="2"/>
  <c r="T91" i="2"/>
  <c r="M92" i="2"/>
  <c r="N92" i="2"/>
  <c r="O92" i="2"/>
  <c r="P92" i="2"/>
  <c r="Q92" i="2"/>
  <c r="R92" i="2"/>
  <c r="S92" i="2"/>
  <c r="T92" i="2"/>
  <c r="M93" i="2"/>
  <c r="N93" i="2"/>
  <c r="O93" i="2"/>
  <c r="P93" i="2"/>
  <c r="Q93" i="2"/>
  <c r="R93" i="2"/>
  <c r="S93" i="2"/>
  <c r="T93" i="2"/>
  <c r="M94" i="2"/>
  <c r="N94" i="2"/>
  <c r="O94" i="2"/>
  <c r="P94" i="2"/>
  <c r="Q94" i="2"/>
  <c r="R94" i="2"/>
  <c r="S94" i="2"/>
  <c r="T94" i="2"/>
  <c r="M95" i="2"/>
  <c r="N95" i="2"/>
  <c r="O95" i="2"/>
  <c r="P95" i="2"/>
  <c r="Q95" i="2"/>
  <c r="R95" i="2"/>
  <c r="S95" i="2"/>
  <c r="T95" i="2"/>
  <c r="M96" i="2"/>
  <c r="N96" i="2"/>
  <c r="O96" i="2"/>
  <c r="P96" i="2"/>
  <c r="Q96" i="2"/>
  <c r="R96" i="2"/>
  <c r="S96" i="2"/>
  <c r="T96" i="2"/>
  <c r="M97" i="2"/>
  <c r="N97" i="2"/>
  <c r="O97" i="2"/>
  <c r="P97" i="2"/>
  <c r="Q97" i="2"/>
  <c r="R97" i="2"/>
  <c r="S97" i="2"/>
  <c r="T97" i="2"/>
  <c r="M98" i="2"/>
  <c r="N98" i="2"/>
  <c r="O98" i="2"/>
  <c r="P98" i="2"/>
  <c r="Q98" i="2"/>
  <c r="R98" i="2"/>
  <c r="S98" i="2"/>
  <c r="T98" i="2"/>
  <c r="M99" i="2"/>
  <c r="N99" i="2"/>
  <c r="O99" i="2"/>
  <c r="P99" i="2"/>
  <c r="Q99" i="2"/>
  <c r="R99" i="2"/>
  <c r="S99" i="2"/>
  <c r="T99" i="2"/>
  <c r="M100" i="2"/>
  <c r="N100" i="2"/>
  <c r="O100" i="2"/>
  <c r="P100" i="2"/>
  <c r="Q100" i="2"/>
  <c r="R100" i="2"/>
  <c r="S100" i="2"/>
  <c r="T100" i="2"/>
  <c r="M101" i="2"/>
  <c r="N101" i="2"/>
  <c r="O101" i="2"/>
  <c r="P101" i="2"/>
  <c r="Q101" i="2"/>
  <c r="R101" i="2"/>
  <c r="S101" i="2"/>
  <c r="T101" i="2"/>
  <c r="M102" i="2"/>
  <c r="N102" i="2"/>
  <c r="O102" i="2"/>
  <c r="P102" i="2"/>
  <c r="Q102" i="2"/>
  <c r="R102" i="2"/>
  <c r="S102" i="2"/>
  <c r="T102" i="2"/>
  <c r="M103" i="2"/>
  <c r="N103" i="2"/>
  <c r="O103" i="2"/>
  <c r="P103" i="2"/>
  <c r="Q103" i="2"/>
  <c r="R103" i="2"/>
  <c r="S103" i="2"/>
  <c r="T103" i="2"/>
  <c r="M104" i="2"/>
  <c r="N104" i="2"/>
  <c r="O104" i="2"/>
  <c r="P104" i="2"/>
  <c r="Q104" i="2"/>
  <c r="R104" i="2"/>
  <c r="S104" i="2"/>
  <c r="T104" i="2"/>
  <c r="M105" i="2"/>
  <c r="N105" i="2"/>
  <c r="O105" i="2"/>
  <c r="P105" i="2"/>
  <c r="Q105" i="2"/>
  <c r="R105" i="2"/>
  <c r="S105" i="2"/>
  <c r="T105" i="2"/>
  <c r="M106" i="2"/>
  <c r="N106" i="2"/>
  <c r="O106" i="2"/>
  <c r="P106" i="2"/>
  <c r="Q106" i="2"/>
  <c r="R106" i="2"/>
  <c r="S106" i="2"/>
  <c r="T106" i="2"/>
  <c r="M107" i="2"/>
  <c r="N107" i="2"/>
  <c r="O107" i="2"/>
  <c r="P107" i="2"/>
  <c r="Q107" i="2"/>
  <c r="R107" i="2"/>
  <c r="S107" i="2"/>
  <c r="T107" i="2"/>
  <c r="M108" i="2"/>
  <c r="N108" i="2"/>
  <c r="O108" i="2"/>
  <c r="P108" i="2"/>
  <c r="Q108" i="2"/>
  <c r="R108" i="2"/>
  <c r="S108" i="2"/>
  <c r="T108" i="2"/>
  <c r="M109" i="2"/>
  <c r="N109" i="2"/>
  <c r="O109" i="2"/>
  <c r="P109" i="2"/>
  <c r="Q109" i="2"/>
  <c r="R109" i="2"/>
  <c r="S109" i="2"/>
  <c r="T109" i="2"/>
  <c r="M110" i="2"/>
  <c r="N110" i="2"/>
  <c r="O110" i="2"/>
  <c r="P110" i="2"/>
  <c r="Q110" i="2"/>
  <c r="R110" i="2"/>
  <c r="S110" i="2"/>
  <c r="T110" i="2"/>
  <c r="M111" i="2"/>
  <c r="N111" i="2"/>
  <c r="O111" i="2"/>
  <c r="P111" i="2"/>
  <c r="Q111" i="2"/>
  <c r="R111" i="2"/>
  <c r="S111" i="2"/>
  <c r="T111" i="2"/>
  <c r="M112" i="2"/>
  <c r="N112" i="2"/>
  <c r="O112" i="2"/>
  <c r="P112" i="2"/>
  <c r="Q112" i="2"/>
  <c r="R112" i="2"/>
  <c r="S112" i="2"/>
  <c r="T112" i="2"/>
  <c r="M113" i="2"/>
  <c r="N113" i="2"/>
  <c r="O113" i="2"/>
  <c r="P113" i="2"/>
  <c r="Q113" i="2"/>
  <c r="R113" i="2"/>
  <c r="S113" i="2"/>
  <c r="T113" i="2"/>
  <c r="M114" i="2"/>
  <c r="N114" i="2"/>
  <c r="O114" i="2"/>
  <c r="P114" i="2"/>
  <c r="Q114" i="2"/>
  <c r="R114" i="2"/>
  <c r="S114" i="2"/>
  <c r="T114" i="2"/>
  <c r="M115" i="2"/>
  <c r="N115" i="2"/>
  <c r="O115" i="2"/>
  <c r="P115" i="2"/>
  <c r="Q115" i="2"/>
  <c r="R115" i="2"/>
  <c r="S115" i="2"/>
  <c r="T115" i="2"/>
  <c r="M116" i="2"/>
  <c r="N116" i="2"/>
  <c r="O116" i="2"/>
  <c r="P116" i="2"/>
  <c r="Q116" i="2"/>
  <c r="R116" i="2"/>
  <c r="S116" i="2"/>
  <c r="T116" i="2"/>
  <c r="M117" i="2"/>
  <c r="N117" i="2"/>
  <c r="O117" i="2"/>
  <c r="P117" i="2"/>
  <c r="Q117" i="2"/>
  <c r="R117" i="2"/>
  <c r="S117" i="2"/>
  <c r="T117" i="2"/>
  <c r="M118" i="2"/>
  <c r="N118" i="2"/>
  <c r="O118" i="2"/>
  <c r="P118" i="2"/>
  <c r="Q118" i="2"/>
  <c r="R118" i="2"/>
  <c r="S118" i="2"/>
  <c r="T118" i="2"/>
  <c r="M119" i="2"/>
  <c r="N119" i="2"/>
  <c r="O119" i="2"/>
  <c r="P119" i="2"/>
  <c r="Q119" i="2"/>
  <c r="R119" i="2"/>
  <c r="S119" i="2"/>
  <c r="T119" i="2"/>
  <c r="M120" i="2"/>
  <c r="N120" i="2"/>
  <c r="O120" i="2"/>
  <c r="P120" i="2"/>
  <c r="Q120" i="2"/>
  <c r="R120" i="2"/>
  <c r="S120" i="2"/>
  <c r="T120" i="2"/>
  <c r="M121" i="2"/>
  <c r="N121" i="2"/>
  <c r="O121" i="2"/>
  <c r="P121" i="2"/>
  <c r="Q121" i="2"/>
  <c r="R121" i="2"/>
  <c r="S121" i="2"/>
  <c r="T121" i="2"/>
  <c r="M122" i="2"/>
  <c r="N122" i="2"/>
  <c r="O122" i="2"/>
  <c r="P122" i="2"/>
  <c r="Q122" i="2"/>
  <c r="R122" i="2"/>
  <c r="S122" i="2"/>
  <c r="T122" i="2"/>
  <c r="M123" i="2"/>
  <c r="N123" i="2"/>
  <c r="O123" i="2"/>
  <c r="P123" i="2"/>
  <c r="Q123" i="2"/>
  <c r="R123" i="2"/>
  <c r="S123" i="2"/>
  <c r="T123" i="2"/>
  <c r="M124" i="2"/>
  <c r="N124" i="2"/>
  <c r="O124" i="2"/>
  <c r="P124" i="2"/>
  <c r="Q124" i="2"/>
  <c r="R124" i="2"/>
  <c r="S124" i="2"/>
  <c r="T124" i="2"/>
  <c r="M125" i="2"/>
  <c r="N125" i="2"/>
  <c r="O125" i="2"/>
  <c r="P125" i="2"/>
  <c r="Q125" i="2"/>
  <c r="R125" i="2"/>
  <c r="S125" i="2"/>
  <c r="T125" i="2"/>
  <c r="M126" i="2"/>
  <c r="N126" i="2"/>
  <c r="O126" i="2"/>
  <c r="P126" i="2"/>
  <c r="Q126" i="2"/>
  <c r="R126" i="2"/>
  <c r="S126" i="2"/>
  <c r="T126" i="2"/>
  <c r="M127" i="2"/>
  <c r="N127" i="2"/>
  <c r="O127" i="2"/>
  <c r="P127" i="2"/>
  <c r="Q127" i="2"/>
  <c r="R127" i="2"/>
  <c r="S127" i="2"/>
  <c r="T127" i="2"/>
  <c r="M128" i="2"/>
  <c r="N128" i="2"/>
  <c r="O128" i="2"/>
  <c r="P128" i="2"/>
  <c r="Q128" i="2"/>
  <c r="R128" i="2"/>
  <c r="S128" i="2"/>
  <c r="T128" i="2"/>
  <c r="M129" i="2"/>
  <c r="N129" i="2"/>
  <c r="O129" i="2"/>
  <c r="P129" i="2"/>
  <c r="Q129" i="2"/>
  <c r="R129" i="2"/>
  <c r="S129" i="2"/>
  <c r="T129" i="2"/>
  <c r="M130" i="2"/>
  <c r="N130" i="2"/>
  <c r="O130" i="2"/>
  <c r="P130" i="2"/>
  <c r="Q130" i="2"/>
  <c r="R130" i="2"/>
  <c r="S130" i="2"/>
  <c r="T130" i="2"/>
  <c r="M131" i="2"/>
  <c r="N131" i="2"/>
  <c r="O131" i="2"/>
  <c r="P131" i="2"/>
  <c r="Q131" i="2"/>
  <c r="R131" i="2"/>
  <c r="S131" i="2"/>
  <c r="T131" i="2"/>
  <c r="M132" i="2"/>
  <c r="N132" i="2"/>
  <c r="O132" i="2"/>
  <c r="P132" i="2"/>
  <c r="Q132" i="2"/>
  <c r="R132" i="2"/>
  <c r="S132" i="2"/>
  <c r="T132" i="2"/>
  <c r="M133" i="2"/>
  <c r="N133" i="2"/>
  <c r="O133" i="2"/>
  <c r="P133" i="2"/>
  <c r="Q133" i="2"/>
  <c r="R133" i="2"/>
  <c r="S133" i="2"/>
  <c r="T133" i="2"/>
  <c r="M134" i="2"/>
  <c r="N134" i="2"/>
  <c r="O134" i="2"/>
  <c r="P134" i="2"/>
  <c r="Q134" i="2"/>
  <c r="R134" i="2"/>
  <c r="S134" i="2"/>
  <c r="T134" i="2"/>
  <c r="M135" i="2"/>
  <c r="N135" i="2"/>
  <c r="O135" i="2"/>
  <c r="P135" i="2"/>
  <c r="Q135" i="2"/>
  <c r="R135" i="2"/>
  <c r="S135" i="2"/>
  <c r="T135" i="2"/>
  <c r="M136" i="2"/>
  <c r="N136" i="2"/>
  <c r="O136" i="2"/>
  <c r="P136" i="2"/>
  <c r="Q136" i="2"/>
  <c r="R136" i="2"/>
  <c r="S136" i="2"/>
  <c r="T136" i="2"/>
  <c r="M137" i="2"/>
  <c r="N137" i="2"/>
  <c r="O137" i="2"/>
  <c r="P137" i="2"/>
  <c r="Q137" i="2"/>
  <c r="R137" i="2"/>
  <c r="S137" i="2"/>
  <c r="T137" i="2"/>
  <c r="M138" i="2"/>
  <c r="N138" i="2"/>
  <c r="O138" i="2"/>
  <c r="P138" i="2"/>
  <c r="Q138" i="2"/>
  <c r="R138" i="2"/>
  <c r="S138" i="2"/>
  <c r="T138" i="2"/>
  <c r="M139" i="2"/>
  <c r="N139" i="2"/>
  <c r="O139" i="2"/>
  <c r="P139" i="2"/>
  <c r="Q139" i="2"/>
  <c r="R139" i="2"/>
  <c r="S139" i="2"/>
  <c r="T139" i="2"/>
  <c r="M140" i="2"/>
  <c r="N140" i="2"/>
  <c r="O140" i="2"/>
  <c r="P140" i="2"/>
  <c r="Q140" i="2"/>
  <c r="R140" i="2"/>
  <c r="S140" i="2"/>
  <c r="T140" i="2"/>
  <c r="M141" i="2"/>
  <c r="N141" i="2"/>
  <c r="O141" i="2"/>
  <c r="P141" i="2"/>
  <c r="Q141" i="2"/>
  <c r="R141" i="2"/>
  <c r="S141" i="2"/>
  <c r="T141" i="2"/>
  <c r="M142" i="2"/>
  <c r="N142" i="2"/>
  <c r="O142" i="2"/>
  <c r="P142" i="2"/>
  <c r="Q142" i="2"/>
  <c r="R142" i="2"/>
  <c r="S142" i="2"/>
  <c r="T142" i="2"/>
  <c r="M143" i="2"/>
  <c r="N143" i="2"/>
  <c r="O143" i="2"/>
  <c r="P143" i="2"/>
  <c r="Q143" i="2"/>
  <c r="R143" i="2"/>
  <c r="S143" i="2"/>
  <c r="T143" i="2"/>
  <c r="M144" i="2"/>
  <c r="N144" i="2"/>
  <c r="O144" i="2"/>
  <c r="P144" i="2"/>
  <c r="Q144" i="2"/>
  <c r="R144" i="2"/>
  <c r="S144" i="2"/>
  <c r="T144" i="2"/>
  <c r="M145" i="2"/>
  <c r="N145" i="2"/>
  <c r="O145" i="2"/>
  <c r="P145" i="2"/>
  <c r="Q145" i="2"/>
  <c r="R145" i="2"/>
  <c r="S145" i="2"/>
  <c r="T145" i="2"/>
  <c r="M146" i="2"/>
  <c r="N146" i="2"/>
  <c r="O146" i="2"/>
  <c r="P146" i="2"/>
  <c r="Q146" i="2"/>
  <c r="R146" i="2"/>
  <c r="S146" i="2"/>
  <c r="T146" i="2"/>
  <c r="M147" i="2"/>
  <c r="N147" i="2"/>
  <c r="O147" i="2"/>
  <c r="P147" i="2"/>
  <c r="Q147" i="2"/>
  <c r="R147" i="2"/>
  <c r="S147" i="2"/>
  <c r="T147" i="2"/>
  <c r="M148" i="2"/>
  <c r="N148" i="2"/>
  <c r="O148" i="2"/>
  <c r="P148" i="2"/>
  <c r="Q148" i="2"/>
  <c r="R148" i="2"/>
  <c r="S148" i="2"/>
  <c r="T148" i="2"/>
  <c r="M149" i="2"/>
  <c r="N149" i="2"/>
  <c r="O149" i="2"/>
  <c r="P149" i="2"/>
  <c r="Q149" i="2"/>
  <c r="R149" i="2"/>
  <c r="S149" i="2"/>
  <c r="T149" i="2"/>
  <c r="M150" i="2"/>
  <c r="N150" i="2"/>
  <c r="O150" i="2"/>
  <c r="P150" i="2"/>
  <c r="Q150" i="2"/>
  <c r="R150" i="2"/>
  <c r="S150" i="2"/>
  <c r="T150" i="2"/>
  <c r="M151" i="2"/>
  <c r="N151" i="2"/>
  <c r="O151" i="2"/>
  <c r="P151" i="2"/>
  <c r="Q151" i="2"/>
  <c r="R151" i="2"/>
  <c r="S151" i="2"/>
  <c r="T151" i="2"/>
  <c r="M152" i="2"/>
  <c r="N152" i="2"/>
  <c r="O152" i="2"/>
  <c r="P152" i="2"/>
  <c r="Q152" i="2"/>
  <c r="R152" i="2"/>
  <c r="S152" i="2"/>
  <c r="T152" i="2"/>
  <c r="M153" i="2"/>
  <c r="N153" i="2"/>
  <c r="O153" i="2"/>
  <c r="P153" i="2"/>
  <c r="Q153" i="2"/>
  <c r="R153" i="2"/>
  <c r="S153" i="2"/>
  <c r="T153" i="2"/>
  <c r="M154" i="2"/>
  <c r="N154" i="2"/>
  <c r="O154" i="2"/>
  <c r="P154" i="2"/>
  <c r="Q154" i="2"/>
  <c r="R154" i="2"/>
  <c r="S154" i="2"/>
  <c r="T154" i="2"/>
  <c r="M155" i="2"/>
  <c r="N155" i="2"/>
  <c r="O155" i="2"/>
  <c r="P155" i="2"/>
  <c r="Q155" i="2"/>
  <c r="R155" i="2"/>
  <c r="S155" i="2"/>
  <c r="T155" i="2"/>
  <c r="M156" i="2"/>
  <c r="N156" i="2"/>
  <c r="O156" i="2"/>
  <c r="P156" i="2"/>
  <c r="Q156" i="2"/>
  <c r="R156" i="2"/>
  <c r="S156" i="2"/>
  <c r="T156" i="2"/>
  <c r="M157" i="2"/>
  <c r="N157" i="2"/>
  <c r="O157" i="2"/>
  <c r="P157" i="2"/>
  <c r="Q157" i="2"/>
  <c r="R157" i="2"/>
  <c r="S157" i="2"/>
  <c r="T157" i="2"/>
  <c r="M158" i="2"/>
  <c r="N158" i="2"/>
  <c r="O158" i="2"/>
  <c r="P158" i="2"/>
  <c r="Q158" i="2"/>
  <c r="R158" i="2"/>
  <c r="S158" i="2"/>
  <c r="T158" i="2"/>
  <c r="M159" i="2"/>
  <c r="N159" i="2"/>
  <c r="O159" i="2"/>
  <c r="P159" i="2"/>
  <c r="Q159" i="2"/>
  <c r="R159" i="2"/>
  <c r="S159" i="2"/>
  <c r="T159" i="2"/>
  <c r="M160" i="2"/>
  <c r="N160" i="2"/>
  <c r="O160" i="2"/>
  <c r="P160" i="2"/>
  <c r="Q160" i="2"/>
  <c r="R160" i="2"/>
  <c r="S160" i="2"/>
  <c r="T160" i="2"/>
  <c r="M161" i="2"/>
  <c r="N161" i="2"/>
  <c r="O161" i="2"/>
  <c r="P161" i="2"/>
  <c r="Q161" i="2"/>
  <c r="R161" i="2"/>
  <c r="S161" i="2"/>
  <c r="T161" i="2"/>
  <c r="M162" i="2"/>
  <c r="N162" i="2"/>
  <c r="O162" i="2"/>
  <c r="P162" i="2"/>
  <c r="Q162" i="2"/>
  <c r="R162" i="2"/>
  <c r="S162" i="2"/>
  <c r="T162" i="2"/>
  <c r="M163" i="2"/>
  <c r="N163" i="2"/>
  <c r="O163" i="2"/>
  <c r="P163" i="2"/>
  <c r="Q163" i="2"/>
  <c r="R163" i="2"/>
  <c r="S163" i="2"/>
  <c r="T163" i="2"/>
  <c r="M164" i="2"/>
  <c r="N164" i="2"/>
  <c r="O164" i="2"/>
  <c r="P164" i="2"/>
  <c r="Q164" i="2"/>
  <c r="R164" i="2"/>
  <c r="S164" i="2"/>
  <c r="T164" i="2"/>
  <c r="M165" i="2"/>
  <c r="N165" i="2"/>
  <c r="O165" i="2"/>
  <c r="P165" i="2"/>
  <c r="Q165" i="2"/>
  <c r="R165" i="2"/>
  <c r="S165" i="2"/>
  <c r="T165" i="2"/>
  <c r="M166" i="2"/>
  <c r="N166" i="2"/>
  <c r="O166" i="2"/>
  <c r="P166" i="2"/>
  <c r="Q166" i="2"/>
  <c r="R166" i="2"/>
  <c r="S166" i="2"/>
  <c r="T166" i="2"/>
  <c r="M167" i="2"/>
  <c r="N167" i="2"/>
  <c r="O167" i="2"/>
  <c r="P167" i="2"/>
  <c r="Q167" i="2"/>
  <c r="R167" i="2"/>
  <c r="S167" i="2"/>
  <c r="T167" i="2"/>
  <c r="M168" i="2"/>
  <c r="N168" i="2"/>
  <c r="O168" i="2"/>
  <c r="P168" i="2"/>
  <c r="Q168" i="2"/>
  <c r="R168" i="2"/>
  <c r="S168" i="2"/>
  <c r="T168" i="2"/>
  <c r="M169" i="2"/>
  <c r="N169" i="2"/>
  <c r="O169" i="2"/>
  <c r="P169" i="2"/>
  <c r="Q169" i="2"/>
  <c r="R169" i="2"/>
  <c r="S169" i="2"/>
  <c r="T169" i="2"/>
  <c r="M170" i="2"/>
  <c r="N170" i="2"/>
  <c r="O170" i="2"/>
  <c r="P170" i="2"/>
  <c r="Q170" i="2"/>
  <c r="R170" i="2"/>
  <c r="S170" i="2"/>
  <c r="T170" i="2"/>
  <c r="M171" i="2"/>
  <c r="N171" i="2"/>
  <c r="O171" i="2"/>
  <c r="P171" i="2"/>
  <c r="Q171" i="2"/>
  <c r="R171" i="2"/>
  <c r="S171" i="2"/>
  <c r="T171" i="2"/>
  <c r="M172" i="2"/>
  <c r="N172" i="2"/>
  <c r="O172" i="2"/>
  <c r="P172" i="2"/>
  <c r="Q172" i="2"/>
  <c r="R172" i="2"/>
  <c r="S172" i="2"/>
  <c r="T172" i="2"/>
  <c r="M173" i="2"/>
  <c r="N173" i="2"/>
  <c r="O173" i="2"/>
  <c r="P173" i="2"/>
  <c r="Q173" i="2"/>
  <c r="R173" i="2"/>
  <c r="S173" i="2"/>
  <c r="T173" i="2"/>
  <c r="M174" i="2"/>
  <c r="N174" i="2"/>
  <c r="O174" i="2"/>
  <c r="P174" i="2"/>
  <c r="Q174" i="2"/>
  <c r="R174" i="2"/>
  <c r="S174" i="2"/>
  <c r="T174" i="2"/>
  <c r="M175" i="2"/>
  <c r="N175" i="2"/>
  <c r="O175" i="2"/>
  <c r="P175" i="2"/>
  <c r="Q175" i="2"/>
  <c r="R175" i="2"/>
  <c r="S175" i="2"/>
  <c r="T175" i="2"/>
  <c r="M176" i="2"/>
  <c r="N176" i="2"/>
  <c r="O176" i="2"/>
  <c r="P176" i="2"/>
  <c r="Q176" i="2"/>
  <c r="R176" i="2"/>
  <c r="S176" i="2"/>
  <c r="T176" i="2"/>
  <c r="M177" i="2"/>
  <c r="N177" i="2"/>
  <c r="O177" i="2"/>
  <c r="P177" i="2"/>
  <c r="Q177" i="2"/>
  <c r="R177" i="2"/>
  <c r="S177" i="2"/>
  <c r="T177" i="2"/>
  <c r="M178" i="2"/>
  <c r="N178" i="2"/>
  <c r="O178" i="2"/>
  <c r="P178" i="2"/>
  <c r="Q178" i="2"/>
  <c r="R178" i="2"/>
  <c r="S178" i="2"/>
  <c r="T178" i="2"/>
  <c r="M179" i="2"/>
  <c r="N179" i="2"/>
  <c r="O179" i="2"/>
  <c r="P179" i="2"/>
  <c r="Q179" i="2"/>
  <c r="R179" i="2"/>
  <c r="S179" i="2"/>
  <c r="T179" i="2"/>
  <c r="M180" i="2"/>
  <c r="N180" i="2"/>
  <c r="O180" i="2"/>
  <c r="P180" i="2"/>
  <c r="Q180" i="2"/>
  <c r="R180" i="2"/>
  <c r="S180" i="2"/>
  <c r="T180" i="2"/>
  <c r="M181" i="2"/>
  <c r="N181" i="2"/>
  <c r="O181" i="2"/>
  <c r="P181" i="2"/>
  <c r="Q181" i="2"/>
  <c r="R181" i="2"/>
  <c r="S181" i="2"/>
  <c r="T181" i="2"/>
  <c r="M182" i="2"/>
  <c r="N182" i="2"/>
  <c r="O182" i="2"/>
  <c r="P182" i="2"/>
  <c r="Q182" i="2"/>
  <c r="R182" i="2"/>
  <c r="S182" i="2"/>
  <c r="T182" i="2"/>
  <c r="M183" i="2"/>
  <c r="N183" i="2"/>
  <c r="O183" i="2"/>
  <c r="P183" i="2"/>
  <c r="Q183" i="2"/>
  <c r="R183" i="2"/>
  <c r="S183" i="2"/>
  <c r="T183" i="2"/>
  <c r="M184" i="2"/>
  <c r="N184" i="2"/>
  <c r="O184" i="2"/>
  <c r="P184" i="2"/>
  <c r="Q184" i="2"/>
  <c r="R184" i="2"/>
  <c r="S184" i="2"/>
  <c r="T184" i="2"/>
  <c r="M185" i="2"/>
  <c r="N185" i="2"/>
  <c r="O185" i="2"/>
  <c r="P185" i="2"/>
  <c r="Q185" i="2"/>
  <c r="R185" i="2"/>
  <c r="S185" i="2"/>
  <c r="T185" i="2"/>
  <c r="M186" i="2"/>
  <c r="N186" i="2"/>
  <c r="O186" i="2"/>
  <c r="P186" i="2"/>
  <c r="Q186" i="2"/>
  <c r="R186" i="2"/>
  <c r="S186" i="2"/>
  <c r="T186" i="2"/>
  <c r="M187" i="2"/>
  <c r="N187" i="2"/>
  <c r="O187" i="2"/>
  <c r="P187" i="2"/>
  <c r="Q187" i="2"/>
  <c r="R187" i="2"/>
  <c r="S187" i="2"/>
  <c r="T187" i="2"/>
  <c r="M188" i="2"/>
  <c r="N188" i="2"/>
  <c r="O188" i="2"/>
  <c r="P188" i="2"/>
  <c r="Q188" i="2"/>
  <c r="R188" i="2"/>
  <c r="S188" i="2"/>
  <c r="T188" i="2"/>
  <c r="M189" i="2"/>
  <c r="N189" i="2"/>
  <c r="O189" i="2"/>
  <c r="P189" i="2"/>
  <c r="Q189" i="2"/>
  <c r="R189" i="2"/>
  <c r="S189" i="2"/>
  <c r="T189" i="2"/>
  <c r="M190" i="2"/>
  <c r="N190" i="2"/>
  <c r="O190" i="2"/>
  <c r="P190" i="2"/>
  <c r="Q190" i="2"/>
  <c r="R190" i="2"/>
  <c r="S190" i="2"/>
  <c r="T190" i="2"/>
  <c r="M191" i="2"/>
  <c r="N191" i="2"/>
  <c r="O191" i="2"/>
  <c r="P191" i="2"/>
  <c r="Q191" i="2"/>
  <c r="R191" i="2"/>
  <c r="S191" i="2"/>
  <c r="T191" i="2"/>
  <c r="M192" i="2"/>
  <c r="N192" i="2"/>
  <c r="O192" i="2"/>
  <c r="P192" i="2"/>
  <c r="Q192" i="2"/>
  <c r="R192" i="2"/>
  <c r="S192" i="2"/>
  <c r="T192" i="2"/>
  <c r="M193" i="2"/>
  <c r="N193" i="2"/>
  <c r="O193" i="2"/>
  <c r="P193" i="2"/>
  <c r="Q193" i="2"/>
  <c r="R193" i="2"/>
  <c r="S193" i="2"/>
  <c r="T193" i="2"/>
  <c r="M194" i="2"/>
  <c r="N194" i="2"/>
  <c r="O194" i="2"/>
  <c r="P194" i="2"/>
  <c r="Q194" i="2"/>
  <c r="R194" i="2"/>
  <c r="S194" i="2"/>
  <c r="T194" i="2"/>
  <c r="M195" i="2"/>
  <c r="N195" i="2"/>
  <c r="O195" i="2"/>
  <c r="P195" i="2"/>
  <c r="Q195" i="2"/>
  <c r="R195" i="2"/>
  <c r="S195" i="2"/>
  <c r="T195" i="2"/>
  <c r="M196" i="2"/>
  <c r="N196" i="2"/>
  <c r="O196" i="2"/>
  <c r="P196" i="2"/>
  <c r="Q196" i="2"/>
  <c r="R196" i="2"/>
  <c r="S196" i="2"/>
  <c r="T196" i="2"/>
  <c r="M197" i="2"/>
  <c r="N197" i="2"/>
  <c r="O197" i="2"/>
  <c r="P197" i="2"/>
  <c r="Q197" i="2"/>
  <c r="R197" i="2"/>
  <c r="S197" i="2"/>
  <c r="T197" i="2"/>
  <c r="M198" i="2"/>
  <c r="N198" i="2"/>
  <c r="O198" i="2"/>
  <c r="P198" i="2"/>
  <c r="Q198" i="2"/>
  <c r="R198" i="2"/>
  <c r="S198" i="2"/>
  <c r="T198" i="2"/>
  <c r="M199" i="2"/>
  <c r="N199" i="2"/>
  <c r="O199" i="2"/>
  <c r="P199" i="2"/>
  <c r="Q199" i="2"/>
  <c r="R199" i="2"/>
  <c r="S199" i="2"/>
  <c r="T199" i="2"/>
  <c r="M200" i="2"/>
  <c r="N200" i="2"/>
  <c r="O200" i="2"/>
  <c r="P200" i="2"/>
  <c r="Q200" i="2"/>
  <c r="R200" i="2"/>
  <c r="S200" i="2"/>
  <c r="T200" i="2"/>
  <c r="M201" i="2"/>
  <c r="N201" i="2"/>
  <c r="O201" i="2"/>
  <c r="P201" i="2"/>
  <c r="Q201" i="2"/>
  <c r="R201" i="2"/>
  <c r="S201" i="2"/>
  <c r="T201" i="2"/>
  <c r="M202" i="2"/>
  <c r="N202" i="2"/>
  <c r="O202" i="2"/>
  <c r="P202" i="2"/>
  <c r="Q202" i="2"/>
  <c r="R202" i="2"/>
  <c r="S202" i="2"/>
  <c r="T202" i="2"/>
  <c r="M203" i="2"/>
  <c r="N203" i="2"/>
  <c r="O203" i="2"/>
  <c r="P203" i="2"/>
  <c r="Q203" i="2"/>
  <c r="R203" i="2"/>
  <c r="S203" i="2"/>
  <c r="T203" i="2"/>
  <c r="M204" i="2"/>
  <c r="N204" i="2"/>
  <c r="O204" i="2"/>
  <c r="P204" i="2"/>
  <c r="Q204" i="2"/>
  <c r="R204" i="2"/>
  <c r="S204" i="2"/>
  <c r="T204" i="2"/>
  <c r="M205" i="2"/>
  <c r="N205" i="2"/>
  <c r="O205" i="2"/>
  <c r="P205" i="2"/>
  <c r="Q205" i="2"/>
  <c r="R205" i="2"/>
  <c r="S205" i="2"/>
  <c r="T205" i="2"/>
  <c r="M206" i="2"/>
  <c r="N206" i="2"/>
  <c r="O206" i="2"/>
  <c r="P206" i="2"/>
  <c r="Q206" i="2"/>
  <c r="R206" i="2"/>
  <c r="S206" i="2"/>
  <c r="T206" i="2"/>
  <c r="M207" i="2"/>
  <c r="N207" i="2"/>
  <c r="O207" i="2"/>
  <c r="P207" i="2"/>
  <c r="Q207" i="2"/>
  <c r="R207" i="2"/>
  <c r="S207" i="2"/>
  <c r="T207" i="2"/>
  <c r="M208" i="2"/>
  <c r="N208" i="2"/>
  <c r="O208" i="2"/>
  <c r="P208" i="2"/>
  <c r="Q208" i="2"/>
  <c r="R208" i="2"/>
  <c r="S208" i="2"/>
  <c r="T208" i="2"/>
  <c r="M209" i="2"/>
  <c r="N209" i="2"/>
  <c r="O209" i="2"/>
  <c r="P209" i="2"/>
  <c r="Q209" i="2"/>
  <c r="R209" i="2"/>
  <c r="S209" i="2"/>
  <c r="T209" i="2"/>
  <c r="M210" i="2"/>
  <c r="N210" i="2"/>
  <c r="O210" i="2"/>
  <c r="P210" i="2"/>
  <c r="Q210" i="2"/>
  <c r="R210" i="2"/>
  <c r="S210" i="2"/>
  <c r="T210" i="2"/>
  <c r="M211" i="2"/>
  <c r="N211" i="2"/>
  <c r="O211" i="2"/>
  <c r="P211" i="2"/>
  <c r="Q211" i="2"/>
  <c r="R211" i="2"/>
  <c r="S211" i="2"/>
  <c r="T211" i="2"/>
  <c r="M212" i="2"/>
  <c r="N212" i="2"/>
  <c r="O212" i="2"/>
  <c r="P212" i="2"/>
  <c r="Q212" i="2"/>
  <c r="R212" i="2"/>
  <c r="S212" i="2"/>
  <c r="T212" i="2"/>
  <c r="M213" i="2"/>
  <c r="N213" i="2"/>
  <c r="O213" i="2"/>
  <c r="P213" i="2"/>
  <c r="Q213" i="2"/>
  <c r="R213" i="2"/>
  <c r="S213" i="2"/>
  <c r="T213" i="2"/>
  <c r="M214" i="2"/>
  <c r="N214" i="2"/>
  <c r="O214" i="2"/>
  <c r="P214" i="2"/>
  <c r="Q214" i="2"/>
  <c r="R214" i="2"/>
  <c r="S214" i="2"/>
  <c r="T214" i="2"/>
  <c r="M215" i="2"/>
  <c r="N215" i="2"/>
  <c r="O215" i="2"/>
  <c r="P215" i="2"/>
  <c r="Q215" i="2"/>
  <c r="R215" i="2"/>
  <c r="S215" i="2"/>
  <c r="T215" i="2"/>
  <c r="M216" i="2"/>
  <c r="N216" i="2"/>
  <c r="O216" i="2"/>
  <c r="P216" i="2"/>
  <c r="Q216" i="2"/>
  <c r="R216" i="2"/>
  <c r="S216" i="2"/>
  <c r="T216" i="2"/>
  <c r="M217" i="2"/>
  <c r="N217" i="2"/>
  <c r="O217" i="2"/>
  <c r="P217" i="2"/>
  <c r="Q217" i="2"/>
  <c r="R217" i="2"/>
  <c r="S217" i="2"/>
  <c r="T217" i="2"/>
  <c r="M218" i="2"/>
  <c r="N218" i="2"/>
  <c r="O218" i="2"/>
  <c r="P218" i="2"/>
  <c r="Q218" i="2"/>
  <c r="R218" i="2"/>
  <c r="S218" i="2"/>
  <c r="T218" i="2"/>
  <c r="M219" i="2"/>
  <c r="N219" i="2"/>
  <c r="O219" i="2"/>
  <c r="P219" i="2"/>
  <c r="Q219" i="2"/>
  <c r="R219" i="2"/>
  <c r="S219" i="2"/>
  <c r="T219" i="2"/>
  <c r="M220" i="2"/>
  <c r="N220" i="2"/>
  <c r="O220" i="2"/>
  <c r="P220" i="2"/>
  <c r="Q220" i="2"/>
  <c r="R220" i="2"/>
  <c r="S220" i="2"/>
  <c r="T220" i="2"/>
  <c r="M221" i="2"/>
  <c r="N221" i="2"/>
  <c r="O221" i="2"/>
  <c r="P221" i="2"/>
  <c r="Q221" i="2"/>
  <c r="R221" i="2"/>
  <c r="S221" i="2"/>
  <c r="T221" i="2"/>
  <c r="M222" i="2"/>
  <c r="N222" i="2"/>
  <c r="O222" i="2"/>
  <c r="P222" i="2"/>
  <c r="Q222" i="2"/>
  <c r="R222" i="2"/>
  <c r="S222" i="2"/>
  <c r="T222" i="2"/>
  <c r="M223" i="2"/>
  <c r="N223" i="2"/>
  <c r="O223" i="2"/>
  <c r="P223" i="2"/>
  <c r="Q223" i="2"/>
  <c r="R223" i="2"/>
  <c r="S223" i="2"/>
  <c r="T223" i="2"/>
  <c r="M224" i="2"/>
  <c r="N224" i="2"/>
  <c r="O224" i="2"/>
  <c r="P224" i="2"/>
  <c r="Q224" i="2"/>
  <c r="R224" i="2"/>
  <c r="S224" i="2"/>
  <c r="T224" i="2"/>
  <c r="M225" i="2"/>
  <c r="N225" i="2"/>
  <c r="O225" i="2"/>
  <c r="P225" i="2"/>
  <c r="Q225" i="2"/>
  <c r="R225" i="2"/>
  <c r="S225" i="2"/>
  <c r="T225" i="2"/>
  <c r="M226" i="2"/>
  <c r="N226" i="2"/>
  <c r="O226" i="2"/>
  <c r="P226" i="2"/>
  <c r="Q226" i="2"/>
  <c r="R226" i="2"/>
  <c r="S226" i="2"/>
  <c r="T226" i="2"/>
  <c r="M227" i="2"/>
  <c r="N227" i="2"/>
  <c r="O227" i="2"/>
  <c r="P227" i="2"/>
  <c r="Q227" i="2"/>
  <c r="R227" i="2"/>
  <c r="S227" i="2"/>
  <c r="T227" i="2"/>
  <c r="M228" i="2"/>
  <c r="N228" i="2"/>
  <c r="O228" i="2"/>
  <c r="P228" i="2"/>
  <c r="Q228" i="2"/>
  <c r="R228" i="2"/>
  <c r="S228" i="2"/>
  <c r="T228" i="2"/>
  <c r="M229" i="2"/>
  <c r="N229" i="2"/>
  <c r="O229" i="2"/>
  <c r="P229" i="2"/>
  <c r="Q229" i="2"/>
  <c r="R229" i="2"/>
  <c r="S229" i="2"/>
  <c r="T229" i="2"/>
  <c r="M230" i="2"/>
  <c r="N230" i="2"/>
  <c r="O230" i="2"/>
  <c r="P230" i="2"/>
  <c r="Q230" i="2"/>
  <c r="R230" i="2"/>
  <c r="S230" i="2"/>
  <c r="T230" i="2"/>
  <c r="M231" i="2"/>
  <c r="N231" i="2"/>
  <c r="O231" i="2"/>
  <c r="P231" i="2"/>
  <c r="Q231" i="2"/>
  <c r="R231" i="2"/>
  <c r="S231" i="2"/>
  <c r="T231" i="2"/>
  <c r="M232" i="2"/>
  <c r="N232" i="2"/>
  <c r="O232" i="2"/>
  <c r="P232" i="2"/>
  <c r="Q232" i="2"/>
  <c r="R232" i="2"/>
  <c r="S232" i="2"/>
  <c r="T232" i="2"/>
  <c r="M233" i="2"/>
  <c r="N233" i="2"/>
  <c r="O233" i="2"/>
  <c r="P233" i="2"/>
  <c r="Q233" i="2"/>
  <c r="R233" i="2"/>
  <c r="S233" i="2"/>
  <c r="T233" i="2"/>
  <c r="M234" i="2"/>
  <c r="N234" i="2"/>
  <c r="O234" i="2"/>
  <c r="P234" i="2"/>
  <c r="Q234" i="2"/>
  <c r="R234" i="2"/>
  <c r="S234" i="2"/>
  <c r="T234" i="2"/>
  <c r="M235" i="2"/>
  <c r="N235" i="2"/>
  <c r="O235" i="2"/>
  <c r="P235" i="2"/>
  <c r="Q235" i="2"/>
  <c r="R235" i="2"/>
  <c r="S235" i="2"/>
  <c r="T235" i="2"/>
  <c r="M236" i="2"/>
  <c r="N236" i="2"/>
  <c r="O236" i="2"/>
  <c r="P236" i="2"/>
  <c r="Q236" i="2"/>
  <c r="R236" i="2"/>
  <c r="S236" i="2"/>
  <c r="T236" i="2"/>
  <c r="M237" i="2"/>
  <c r="N237" i="2"/>
  <c r="O237" i="2"/>
  <c r="P237" i="2"/>
  <c r="Q237" i="2"/>
  <c r="R237" i="2"/>
  <c r="S237" i="2"/>
  <c r="T237" i="2"/>
  <c r="M238" i="2"/>
  <c r="N238" i="2"/>
  <c r="O238" i="2"/>
  <c r="P238" i="2"/>
  <c r="Q238" i="2"/>
  <c r="R238" i="2"/>
  <c r="S238" i="2"/>
  <c r="T238" i="2"/>
  <c r="M239" i="2"/>
  <c r="N239" i="2"/>
  <c r="O239" i="2"/>
  <c r="P239" i="2"/>
  <c r="Q239" i="2"/>
  <c r="R239" i="2"/>
  <c r="S239" i="2"/>
  <c r="T239" i="2"/>
  <c r="M240" i="2"/>
  <c r="N240" i="2"/>
  <c r="O240" i="2"/>
  <c r="P240" i="2"/>
  <c r="Q240" i="2"/>
  <c r="R240" i="2"/>
  <c r="S240" i="2"/>
  <c r="T240" i="2"/>
  <c r="M241" i="2"/>
  <c r="N241" i="2"/>
  <c r="O241" i="2"/>
  <c r="P241" i="2"/>
  <c r="Q241" i="2"/>
  <c r="R241" i="2"/>
  <c r="S241" i="2"/>
  <c r="T241" i="2"/>
  <c r="M242" i="2"/>
  <c r="N242" i="2"/>
  <c r="O242" i="2"/>
  <c r="P242" i="2"/>
  <c r="Q242" i="2"/>
  <c r="R242" i="2"/>
  <c r="S242" i="2"/>
  <c r="T242" i="2"/>
  <c r="M243" i="2"/>
  <c r="N243" i="2"/>
  <c r="O243" i="2"/>
  <c r="P243" i="2"/>
  <c r="Q243" i="2"/>
  <c r="R243" i="2"/>
  <c r="S243" i="2"/>
  <c r="T243" i="2"/>
  <c r="M244" i="2"/>
  <c r="N244" i="2"/>
  <c r="O244" i="2"/>
  <c r="P244" i="2"/>
  <c r="Q244" i="2"/>
  <c r="R244" i="2"/>
  <c r="S244" i="2"/>
  <c r="T244" i="2"/>
  <c r="M245" i="2"/>
  <c r="N245" i="2"/>
  <c r="O245" i="2"/>
  <c r="P245" i="2"/>
  <c r="Q245" i="2"/>
  <c r="R245" i="2"/>
  <c r="S245" i="2"/>
  <c r="T245" i="2"/>
  <c r="M246" i="2"/>
  <c r="N246" i="2"/>
  <c r="O246" i="2"/>
  <c r="P246" i="2"/>
  <c r="Q246" i="2"/>
  <c r="R246" i="2"/>
  <c r="S246" i="2"/>
  <c r="T246" i="2"/>
  <c r="M247" i="2"/>
  <c r="N247" i="2"/>
  <c r="O247" i="2"/>
  <c r="P247" i="2"/>
  <c r="Q247" i="2"/>
  <c r="R247" i="2"/>
  <c r="S247" i="2"/>
  <c r="T247" i="2"/>
  <c r="M248" i="2"/>
  <c r="N248" i="2"/>
  <c r="O248" i="2"/>
  <c r="P248" i="2"/>
  <c r="Q248" i="2"/>
  <c r="R248" i="2"/>
  <c r="S248" i="2"/>
  <c r="T248" i="2"/>
  <c r="M249" i="2"/>
  <c r="N249" i="2"/>
  <c r="O249" i="2"/>
  <c r="P249" i="2"/>
  <c r="Q249" i="2"/>
  <c r="R249" i="2"/>
  <c r="S249" i="2"/>
  <c r="T249" i="2"/>
  <c r="M250" i="2"/>
  <c r="N250" i="2"/>
  <c r="O250" i="2"/>
  <c r="P250" i="2"/>
  <c r="Q250" i="2"/>
  <c r="R250" i="2"/>
  <c r="S250" i="2"/>
  <c r="T250" i="2"/>
  <c r="M251" i="2"/>
  <c r="N251" i="2"/>
  <c r="O251" i="2"/>
  <c r="P251" i="2"/>
  <c r="Q251" i="2"/>
  <c r="R251" i="2"/>
  <c r="S251" i="2"/>
  <c r="T251" i="2"/>
  <c r="M252" i="2"/>
  <c r="N252" i="2"/>
  <c r="O252" i="2"/>
  <c r="P252" i="2"/>
  <c r="Q252" i="2"/>
  <c r="R252" i="2"/>
  <c r="S252" i="2"/>
  <c r="T252" i="2"/>
  <c r="M253" i="2"/>
  <c r="N253" i="2"/>
  <c r="O253" i="2"/>
  <c r="P253" i="2"/>
  <c r="Q253" i="2"/>
  <c r="R253" i="2"/>
  <c r="S253" i="2"/>
  <c r="T253" i="2"/>
  <c r="M254" i="2"/>
  <c r="N254" i="2"/>
  <c r="O254" i="2"/>
  <c r="P254" i="2"/>
  <c r="Q254" i="2"/>
  <c r="R254" i="2"/>
  <c r="S254" i="2"/>
  <c r="T254" i="2"/>
  <c r="M255" i="2"/>
  <c r="N255" i="2"/>
  <c r="O255" i="2"/>
  <c r="P255" i="2"/>
  <c r="Q255" i="2"/>
  <c r="R255" i="2"/>
  <c r="S255" i="2"/>
  <c r="T255" i="2"/>
  <c r="M256" i="2"/>
  <c r="N256" i="2"/>
  <c r="O256" i="2"/>
  <c r="P256" i="2"/>
  <c r="Q256" i="2"/>
  <c r="R256" i="2"/>
  <c r="S256" i="2"/>
  <c r="T256" i="2"/>
  <c r="M257" i="2"/>
  <c r="N257" i="2"/>
  <c r="O257" i="2"/>
  <c r="P257" i="2"/>
  <c r="Q257" i="2"/>
  <c r="R257" i="2"/>
  <c r="S257" i="2"/>
  <c r="T257" i="2"/>
  <c r="M258" i="2"/>
  <c r="N258" i="2"/>
  <c r="O258" i="2"/>
  <c r="P258" i="2"/>
  <c r="Q258" i="2"/>
  <c r="R258" i="2"/>
  <c r="S258" i="2"/>
  <c r="T258" i="2"/>
  <c r="M259" i="2"/>
  <c r="N259" i="2"/>
  <c r="O259" i="2"/>
  <c r="P259" i="2"/>
  <c r="Q259" i="2"/>
  <c r="R259" i="2"/>
  <c r="S259" i="2"/>
  <c r="T259" i="2"/>
  <c r="M260" i="2"/>
  <c r="N260" i="2"/>
  <c r="O260" i="2"/>
  <c r="P260" i="2"/>
  <c r="Q260" i="2"/>
  <c r="R260" i="2"/>
  <c r="S260" i="2"/>
  <c r="T260" i="2"/>
  <c r="M261" i="2"/>
  <c r="N261" i="2"/>
  <c r="O261" i="2"/>
  <c r="P261" i="2"/>
  <c r="Q261" i="2"/>
  <c r="R261" i="2"/>
  <c r="S261" i="2"/>
  <c r="T261" i="2"/>
  <c r="M262" i="2"/>
  <c r="N262" i="2"/>
  <c r="O262" i="2"/>
  <c r="P262" i="2"/>
  <c r="Q262" i="2"/>
  <c r="R262" i="2"/>
  <c r="S262" i="2"/>
  <c r="T262" i="2"/>
  <c r="M263" i="2"/>
  <c r="N263" i="2"/>
  <c r="O263" i="2"/>
  <c r="P263" i="2"/>
  <c r="Q263" i="2"/>
  <c r="R263" i="2"/>
  <c r="S263" i="2"/>
  <c r="T263" i="2"/>
  <c r="M264" i="2"/>
  <c r="N264" i="2"/>
  <c r="O264" i="2"/>
  <c r="P264" i="2"/>
  <c r="Q264" i="2"/>
  <c r="R264" i="2"/>
  <c r="S264" i="2"/>
  <c r="T264" i="2"/>
  <c r="M265" i="2"/>
  <c r="N265" i="2"/>
  <c r="O265" i="2"/>
  <c r="P265" i="2"/>
  <c r="Q265" i="2"/>
  <c r="R265" i="2"/>
  <c r="S265" i="2"/>
  <c r="T265" i="2"/>
  <c r="M266" i="2"/>
  <c r="N266" i="2"/>
  <c r="O266" i="2"/>
  <c r="P266" i="2"/>
  <c r="Q266" i="2"/>
  <c r="R266" i="2"/>
  <c r="S266" i="2"/>
  <c r="T266" i="2"/>
  <c r="M267" i="2"/>
  <c r="N267" i="2"/>
  <c r="O267" i="2"/>
  <c r="P267" i="2"/>
  <c r="Q267" i="2"/>
  <c r="R267" i="2"/>
  <c r="S267" i="2"/>
  <c r="T267" i="2"/>
  <c r="M268" i="2"/>
  <c r="N268" i="2"/>
  <c r="O268" i="2"/>
  <c r="P268" i="2"/>
  <c r="Q268" i="2"/>
  <c r="R268" i="2"/>
  <c r="S268" i="2"/>
  <c r="T268" i="2"/>
  <c r="M269" i="2"/>
  <c r="N269" i="2"/>
  <c r="O269" i="2"/>
  <c r="P269" i="2"/>
  <c r="Q269" i="2"/>
  <c r="R269" i="2"/>
  <c r="S269" i="2"/>
  <c r="T269" i="2"/>
  <c r="M270" i="2"/>
  <c r="N270" i="2"/>
  <c r="O270" i="2"/>
  <c r="P270" i="2"/>
  <c r="Q270" i="2"/>
  <c r="R270" i="2"/>
  <c r="S270" i="2"/>
  <c r="T270" i="2"/>
  <c r="M271" i="2"/>
  <c r="N271" i="2"/>
  <c r="O271" i="2"/>
  <c r="P271" i="2"/>
  <c r="Q271" i="2"/>
  <c r="R271" i="2"/>
  <c r="S271" i="2"/>
  <c r="T271" i="2"/>
  <c r="M272" i="2"/>
  <c r="N272" i="2"/>
  <c r="O272" i="2"/>
  <c r="P272" i="2"/>
  <c r="Q272" i="2"/>
  <c r="R272" i="2"/>
  <c r="S272" i="2"/>
  <c r="T272" i="2"/>
  <c r="M273" i="2"/>
  <c r="N273" i="2"/>
  <c r="O273" i="2"/>
  <c r="P273" i="2"/>
  <c r="Q273" i="2"/>
  <c r="R273" i="2"/>
  <c r="S273" i="2"/>
  <c r="T273" i="2"/>
  <c r="M274" i="2"/>
  <c r="N274" i="2"/>
  <c r="O274" i="2"/>
  <c r="P274" i="2"/>
  <c r="Q274" i="2"/>
  <c r="R274" i="2"/>
  <c r="S274" i="2"/>
  <c r="T274" i="2"/>
  <c r="M275" i="2"/>
  <c r="N275" i="2"/>
  <c r="O275" i="2"/>
  <c r="P275" i="2"/>
  <c r="Q275" i="2"/>
  <c r="R275" i="2"/>
  <c r="S275" i="2"/>
  <c r="T275" i="2"/>
  <c r="M276" i="2"/>
  <c r="N276" i="2"/>
  <c r="O276" i="2"/>
  <c r="P276" i="2"/>
  <c r="Q276" i="2"/>
  <c r="R276" i="2"/>
  <c r="S276" i="2"/>
  <c r="T276" i="2"/>
  <c r="M277" i="2"/>
  <c r="N277" i="2"/>
  <c r="O277" i="2"/>
  <c r="P277" i="2"/>
  <c r="Q277" i="2"/>
  <c r="R277" i="2"/>
  <c r="S277" i="2"/>
  <c r="T277" i="2"/>
  <c r="M278" i="2"/>
  <c r="N278" i="2"/>
  <c r="O278" i="2"/>
  <c r="P278" i="2"/>
  <c r="Q278" i="2"/>
  <c r="R278" i="2"/>
  <c r="S278" i="2"/>
  <c r="T278" i="2"/>
  <c r="M279" i="2"/>
  <c r="N279" i="2"/>
  <c r="O279" i="2"/>
  <c r="P279" i="2"/>
  <c r="Q279" i="2"/>
  <c r="R279" i="2"/>
  <c r="S279" i="2"/>
  <c r="T279" i="2"/>
  <c r="M280" i="2"/>
  <c r="N280" i="2"/>
  <c r="O280" i="2"/>
  <c r="P280" i="2"/>
  <c r="Q280" i="2"/>
  <c r="R280" i="2"/>
  <c r="S280" i="2"/>
  <c r="T280" i="2"/>
  <c r="M281" i="2"/>
  <c r="N281" i="2"/>
  <c r="O281" i="2"/>
  <c r="P281" i="2"/>
  <c r="Q281" i="2"/>
  <c r="R281" i="2"/>
  <c r="S281" i="2"/>
  <c r="T281" i="2"/>
  <c r="M282" i="2"/>
  <c r="N282" i="2"/>
  <c r="O282" i="2"/>
  <c r="P282" i="2"/>
  <c r="Q282" i="2"/>
  <c r="R282" i="2"/>
  <c r="S282" i="2"/>
  <c r="T282" i="2"/>
  <c r="M283" i="2"/>
  <c r="N283" i="2"/>
  <c r="O283" i="2"/>
  <c r="P283" i="2"/>
  <c r="Q283" i="2"/>
  <c r="R283" i="2"/>
  <c r="S283" i="2"/>
  <c r="T283" i="2"/>
  <c r="M284" i="2"/>
  <c r="N284" i="2"/>
  <c r="O284" i="2"/>
  <c r="P284" i="2"/>
  <c r="Q284" i="2"/>
  <c r="R284" i="2"/>
  <c r="S284" i="2"/>
  <c r="T284" i="2"/>
  <c r="M285" i="2"/>
  <c r="N285" i="2"/>
  <c r="O285" i="2"/>
  <c r="P285" i="2"/>
  <c r="Q285" i="2"/>
  <c r="R285" i="2"/>
  <c r="S285" i="2"/>
  <c r="T285" i="2"/>
  <c r="M286" i="2"/>
  <c r="N286" i="2"/>
  <c r="O286" i="2"/>
  <c r="P286" i="2"/>
  <c r="Q286" i="2"/>
  <c r="R286" i="2"/>
  <c r="S286" i="2"/>
  <c r="T286" i="2"/>
  <c r="M287" i="2"/>
  <c r="N287" i="2"/>
  <c r="O287" i="2"/>
  <c r="P287" i="2"/>
  <c r="Q287" i="2"/>
  <c r="R287" i="2"/>
  <c r="S287" i="2"/>
  <c r="T287" i="2"/>
  <c r="M288" i="2"/>
  <c r="N288" i="2"/>
  <c r="O288" i="2"/>
  <c r="P288" i="2"/>
  <c r="Q288" i="2"/>
  <c r="R288" i="2"/>
  <c r="S288" i="2"/>
  <c r="T288" i="2"/>
  <c r="M289" i="2"/>
  <c r="N289" i="2"/>
  <c r="O289" i="2"/>
  <c r="P289" i="2"/>
  <c r="Q289" i="2"/>
  <c r="R289" i="2"/>
  <c r="S289" i="2"/>
  <c r="T289" i="2"/>
  <c r="M290" i="2"/>
  <c r="N290" i="2"/>
  <c r="O290" i="2"/>
  <c r="P290" i="2"/>
  <c r="Q290" i="2"/>
  <c r="R290" i="2"/>
  <c r="S290" i="2"/>
  <c r="T290" i="2"/>
  <c r="M291" i="2"/>
  <c r="N291" i="2"/>
  <c r="O291" i="2"/>
  <c r="P291" i="2"/>
  <c r="Q291" i="2"/>
  <c r="R291" i="2"/>
  <c r="S291" i="2"/>
  <c r="T291" i="2"/>
  <c r="M292" i="2"/>
  <c r="N292" i="2"/>
  <c r="O292" i="2"/>
  <c r="P292" i="2"/>
  <c r="Q292" i="2"/>
  <c r="R292" i="2"/>
  <c r="S292" i="2"/>
  <c r="T292" i="2"/>
  <c r="M293" i="2"/>
  <c r="N293" i="2"/>
  <c r="O293" i="2"/>
  <c r="P293" i="2"/>
  <c r="Q293" i="2"/>
  <c r="R293" i="2"/>
  <c r="S293" i="2"/>
  <c r="T293" i="2"/>
  <c r="M294" i="2"/>
  <c r="N294" i="2"/>
  <c r="O294" i="2"/>
  <c r="P294" i="2"/>
  <c r="Q294" i="2"/>
  <c r="R294" i="2"/>
  <c r="S294" i="2"/>
  <c r="T294" i="2"/>
  <c r="M295" i="2"/>
  <c r="N295" i="2"/>
  <c r="O295" i="2"/>
  <c r="P295" i="2"/>
  <c r="Q295" i="2"/>
  <c r="R295" i="2"/>
  <c r="S295" i="2"/>
  <c r="T295" i="2"/>
  <c r="M296" i="2"/>
  <c r="N296" i="2"/>
  <c r="O296" i="2"/>
  <c r="P296" i="2"/>
  <c r="Q296" i="2"/>
  <c r="R296" i="2"/>
  <c r="S296" i="2"/>
  <c r="T296" i="2"/>
  <c r="M297" i="2"/>
  <c r="N297" i="2"/>
  <c r="O297" i="2"/>
  <c r="P297" i="2"/>
  <c r="Q297" i="2"/>
  <c r="R297" i="2"/>
  <c r="S297" i="2"/>
  <c r="T297" i="2"/>
  <c r="M298" i="2"/>
  <c r="N298" i="2"/>
  <c r="O298" i="2"/>
  <c r="P298" i="2"/>
  <c r="Q298" i="2"/>
  <c r="R298" i="2"/>
  <c r="S298" i="2"/>
  <c r="T298" i="2"/>
  <c r="M299" i="2"/>
  <c r="N299" i="2"/>
  <c r="O299" i="2"/>
  <c r="P299" i="2"/>
  <c r="Q299" i="2"/>
  <c r="R299" i="2"/>
  <c r="S299" i="2"/>
  <c r="T299" i="2"/>
  <c r="M300" i="2"/>
  <c r="N300" i="2"/>
  <c r="O300" i="2"/>
  <c r="P300" i="2"/>
  <c r="Q300" i="2"/>
  <c r="R300" i="2"/>
  <c r="S300" i="2"/>
  <c r="T300" i="2"/>
  <c r="M301" i="2"/>
  <c r="N301" i="2"/>
  <c r="O301" i="2"/>
  <c r="P301" i="2"/>
  <c r="Q301" i="2"/>
  <c r="R301" i="2"/>
  <c r="S301" i="2"/>
  <c r="T301" i="2"/>
  <c r="M302" i="2"/>
  <c r="N302" i="2"/>
  <c r="O302" i="2"/>
  <c r="P302" i="2"/>
  <c r="Q302" i="2"/>
  <c r="R302" i="2"/>
  <c r="S302" i="2"/>
  <c r="T302" i="2"/>
  <c r="M303" i="2"/>
  <c r="N303" i="2"/>
  <c r="O303" i="2"/>
  <c r="P303" i="2"/>
  <c r="Q303" i="2"/>
  <c r="R303" i="2"/>
  <c r="S303" i="2"/>
  <c r="T303" i="2"/>
  <c r="M304" i="2"/>
  <c r="N304" i="2"/>
  <c r="O304" i="2"/>
  <c r="P304" i="2"/>
  <c r="Q304" i="2"/>
  <c r="R304" i="2"/>
  <c r="S304" i="2"/>
  <c r="T304" i="2"/>
  <c r="M305" i="2"/>
  <c r="N305" i="2"/>
  <c r="O305" i="2"/>
  <c r="P305" i="2"/>
  <c r="Q305" i="2"/>
  <c r="R305" i="2"/>
  <c r="S305" i="2"/>
  <c r="T305" i="2"/>
  <c r="M306" i="2"/>
  <c r="N306" i="2"/>
  <c r="O306" i="2"/>
  <c r="P306" i="2"/>
  <c r="Q306" i="2"/>
  <c r="R306" i="2"/>
  <c r="S306" i="2"/>
  <c r="T306" i="2"/>
  <c r="M307" i="2"/>
  <c r="N307" i="2"/>
  <c r="O307" i="2"/>
  <c r="P307" i="2"/>
  <c r="Q307" i="2"/>
  <c r="R307" i="2"/>
  <c r="S307" i="2"/>
  <c r="T307" i="2"/>
  <c r="M308" i="2"/>
  <c r="N308" i="2"/>
  <c r="O308" i="2"/>
  <c r="P308" i="2"/>
  <c r="Q308" i="2"/>
  <c r="R308" i="2"/>
  <c r="S308" i="2"/>
  <c r="T308" i="2"/>
  <c r="M309" i="2"/>
  <c r="N309" i="2"/>
  <c r="O309" i="2"/>
  <c r="P309" i="2"/>
  <c r="Q309" i="2"/>
  <c r="R309" i="2"/>
  <c r="S309" i="2"/>
  <c r="T309" i="2"/>
  <c r="M310" i="2"/>
  <c r="N310" i="2"/>
  <c r="O310" i="2"/>
  <c r="P310" i="2"/>
  <c r="Q310" i="2"/>
  <c r="R310" i="2"/>
  <c r="S310" i="2"/>
  <c r="T310" i="2"/>
  <c r="M311" i="2"/>
  <c r="N311" i="2"/>
  <c r="O311" i="2"/>
  <c r="P311" i="2"/>
  <c r="Q311" i="2"/>
  <c r="R311" i="2"/>
  <c r="S311" i="2"/>
  <c r="T311" i="2"/>
  <c r="M312" i="2"/>
  <c r="N312" i="2"/>
  <c r="O312" i="2"/>
  <c r="P312" i="2"/>
  <c r="Q312" i="2"/>
  <c r="R312" i="2"/>
  <c r="S312" i="2"/>
  <c r="T312" i="2"/>
  <c r="M313" i="2"/>
  <c r="N313" i="2"/>
  <c r="O313" i="2"/>
  <c r="P313" i="2"/>
  <c r="Q313" i="2"/>
  <c r="R313" i="2"/>
  <c r="S313" i="2"/>
  <c r="T313" i="2"/>
  <c r="M314" i="2"/>
  <c r="N314" i="2"/>
  <c r="O314" i="2"/>
  <c r="P314" i="2"/>
  <c r="Q314" i="2"/>
  <c r="R314" i="2"/>
  <c r="S314" i="2"/>
  <c r="T314" i="2"/>
  <c r="M315" i="2"/>
  <c r="N315" i="2"/>
  <c r="O315" i="2"/>
  <c r="P315" i="2"/>
  <c r="Q315" i="2"/>
  <c r="R315" i="2"/>
  <c r="S315" i="2"/>
  <c r="T315" i="2"/>
  <c r="M316" i="2"/>
  <c r="N316" i="2"/>
  <c r="O316" i="2"/>
  <c r="P316" i="2"/>
  <c r="Q316" i="2"/>
  <c r="R316" i="2"/>
  <c r="S316" i="2"/>
  <c r="T316" i="2"/>
  <c r="M317" i="2"/>
  <c r="N317" i="2"/>
  <c r="O317" i="2"/>
  <c r="P317" i="2"/>
  <c r="Q317" i="2"/>
  <c r="R317" i="2"/>
  <c r="S317" i="2"/>
  <c r="T317" i="2"/>
  <c r="M318" i="2"/>
  <c r="N318" i="2"/>
  <c r="O318" i="2"/>
  <c r="P318" i="2"/>
  <c r="Q318" i="2"/>
  <c r="R318" i="2"/>
  <c r="S318" i="2"/>
  <c r="T318" i="2"/>
  <c r="M319" i="2"/>
  <c r="N319" i="2"/>
  <c r="O319" i="2"/>
  <c r="P319" i="2"/>
  <c r="Q319" i="2"/>
  <c r="R319" i="2"/>
  <c r="S319" i="2"/>
  <c r="T319" i="2"/>
  <c r="M320" i="2"/>
  <c r="N320" i="2"/>
  <c r="O320" i="2"/>
  <c r="P320" i="2"/>
  <c r="Q320" i="2"/>
  <c r="R320" i="2"/>
  <c r="S320" i="2"/>
  <c r="T320" i="2"/>
  <c r="M321" i="2"/>
  <c r="N321" i="2"/>
  <c r="O321" i="2"/>
  <c r="P321" i="2"/>
  <c r="Q321" i="2"/>
  <c r="R321" i="2"/>
  <c r="S321" i="2"/>
  <c r="T321" i="2"/>
  <c r="M322" i="2"/>
  <c r="N322" i="2"/>
  <c r="O322" i="2"/>
  <c r="P322" i="2"/>
  <c r="Q322" i="2"/>
  <c r="R322" i="2"/>
  <c r="S322" i="2"/>
  <c r="T322" i="2"/>
  <c r="M323" i="2"/>
  <c r="N323" i="2"/>
  <c r="O323" i="2"/>
  <c r="P323" i="2"/>
  <c r="Q323" i="2"/>
  <c r="R323" i="2"/>
  <c r="S323" i="2"/>
  <c r="T323" i="2"/>
  <c r="M324" i="2"/>
  <c r="N324" i="2"/>
  <c r="O324" i="2"/>
  <c r="P324" i="2"/>
  <c r="Q324" i="2"/>
  <c r="R324" i="2"/>
  <c r="S324" i="2"/>
  <c r="T324" i="2"/>
  <c r="M325" i="2"/>
  <c r="N325" i="2"/>
  <c r="O325" i="2"/>
  <c r="P325" i="2"/>
  <c r="Q325" i="2"/>
  <c r="R325" i="2"/>
  <c r="S325" i="2"/>
  <c r="T325" i="2"/>
  <c r="M326" i="2"/>
  <c r="N326" i="2"/>
  <c r="O326" i="2"/>
  <c r="P326" i="2"/>
  <c r="Q326" i="2"/>
  <c r="R326" i="2"/>
  <c r="S326" i="2"/>
  <c r="T326" i="2"/>
  <c r="M327" i="2"/>
  <c r="N327" i="2"/>
  <c r="O327" i="2"/>
  <c r="P327" i="2"/>
  <c r="Q327" i="2"/>
  <c r="R327" i="2"/>
  <c r="S327" i="2"/>
  <c r="T327" i="2"/>
  <c r="M328" i="2"/>
  <c r="N328" i="2"/>
  <c r="O328" i="2"/>
  <c r="P328" i="2"/>
  <c r="Q328" i="2"/>
  <c r="R328" i="2"/>
  <c r="S328" i="2"/>
  <c r="T328" i="2"/>
  <c r="M329" i="2"/>
  <c r="N329" i="2"/>
  <c r="O329" i="2"/>
  <c r="P329" i="2"/>
  <c r="Q329" i="2"/>
  <c r="R329" i="2"/>
  <c r="S329" i="2"/>
  <c r="T329" i="2"/>
  <c r="M330" i="2"/>
  <c r="N330" i="2"/>
  <c r="O330" i="2"/>
  <c r="P330" i="2"/>
  <c r="Q330" i="2"/>
  <c r="R330" i="2"/>
  <c r="S330" i="2"/>
  <c r="T330" i="2"/>
  <c r="M331" i="2"/>
  <c r="N331" i="2"/>
  <c r="O331" i="2"/>
  <c r="P331" i="2"/>
  <c r="Q331" i="2"/>
  <c r="R331" i="2"/>
  <c r="S331" i="2"/>
  <c r="T331" i="2"/>
  <c r="M332" i="2"/>
  <c r="N332" i="2"/>
  <c r="O332" i="2"/>
  <c r="P332" i="2"/>
  <c r="Q332" i="2"/>
  <c r="R332" i="2"/>
  <c r="S332" i="2"/>
  <c r="T332" i="2"/>
  <c r="M333" i="2"/>
  <c r="N333" i="2"/>
  <c r="O333" i="2"/>
  <c r="P333" i="2"/>
  <c r="Q333" i="2"/>
  <c r="R333" i="2"/>
  <c r="S333" i="2"/>
  <c r="T333" i="2"/>
  <c r="M334" i="2"/>
  <c r="N334" i="2"/>
  <c r="O334" i="2"/>
  <c r="P334" i="2"/>
  <c r="Q334" i="2"/>
  <c r="R334" i="2"/>
  <c r="S334" i="2"/>
  <c r="T334" i="2"/>
  <c r="M335" i="2"/>
  <c r="N335" i="2"/>
  <c r="O335" i="2"/>
  <c r="P335" i="2"/>
  <c r="Q335" i="2"/>
  <c r="R335" i="2"/>
  <c r="S335" i="2"/>
  <c r="T335" i="2"/>
  <c r="M336" i="2"/>
  <c r="N336" i="2"/>
  <c r="O336" i="2"/>
  <c r="P336" i="2"/>
  <c r="Q336" i="2"/>
  <c r="R336" i="2"/>
  <c r="S336" i="2"/>
  <c r="T336" i="2"/>
  <c r="M337" i="2"/>
  <c r="N337" i="2"/>
  <c r="O337" i="2"/>
  <c r="P337" i="2"/>
  <c r="Q337" i="2"/>
  <c r="R337" i="2"/>
  <c r="S337" i="2"/>
  <c r="T337" i="2"/>
  <c r="M338" i="2"/>
  <c r="N338" i="2"/>
  <c r="O338" i="2"/>
  <c r="P338" i="2"/>
  <c r="Q338" i="2"/>
  <c r="R338" i="2"/>
  <c r="S338" i="2"/>
  <c r="T338" i="2"/>
  <c r="M339" i="2"/>
  <c r="N339" i="2"/>
  <c r="O339" i="2"/>
  <c r="P339" i="2"/>
  <c r="Q339" i="2"/>
  <c r="R339" i="2"/>
  <c r="S339" i="2"/>
  <c r="T339" i="2"/>
  <c r="M340" i="2"/>
  <c r="N340" i="2"/>
  <c r="O340" i="2"/>
  <c r="P340" i="2"/>
  <c r="Q340" i="2"/>
  <c r="R340" i="2"/>
  <c r="S340" i="2"/>
  <c r="T340" i="2"/>
  <c r="M341" i="2"/>
  <c r="N341" i="2"/>
  <c r="O341" i="2"/>
  <c r="P341" i="2"/>
  <c r="Q341" i="2"/>
  <c r="R341" i="2"/>
  <c r="S341" i="2"/>
  <c r="T341" i="2"/>
  <c r="M342" i="2"/>
  <c r="N342" i="2"/>
  <c r="O342" i="2"/>
  <c r="P342" i="2"/>
  <c r="Q342" i="2"/>
  <c r="R342" i="2"/>
  <c r="S342" i="2"/>
  <c r="T342" i="2"/>
  <c r="M343" i="2"/>
  <c r="N343" i="2"/>
  <c r="O343" i="2"/>
  <c r="P343" i="2"/>
  <c r="Q343" i="2"/>
  <c r="R343" i="2"/>
  <c r="S343" i="2"/>
  <c r="T343" i="2"/>
  <c r="M344" i="2"/>
  <c r="N344" i="2"/>
  <c r="O344" i="2"/>
  <c r="P344" i="2"/>
  <c r="Q344" i="2"/>
  <c r="R344" i="2"/>
  <c r="S344" i="2"/>
  <c r="T344" i="2"/>
  <c r="M345" i="2"/>
  <c r="N345" i="2"/>
  <c r="O345" i="2"/>
  <c r="P345" i="2"/>
  <c r="Q345" i="2"/>
  <c r="R345" i="2"/>
  <c r="S345" i="2"/>
  <c r="T345" i="2"/>
  <c r="M346" i="2"/>
  <c r="N346" i="2"/>
  <c r="O346" i="2"/>
  <c r="P346" i="2"/>
  <c r="Q346" i="2"/>
  <c r="R346" i="2"/>
  <c r="S346" i="2"/>
  <c r="T346" i="2"/>
  <c r="M347" i="2"/>
  <c r="N347" i="2"/>
  <c r="O347" i="2"/>
  <c r="P347" i="2"/>
  <c r="Q347" i="2"/>
  <c r="R347" i="2"/>
  <c r="S347" i="2"/>
  <c r="T347" i="2"/>
  <c r="M348" i="2"/>
  <c r="N348" i="2"/>
  <c r="O348" i="2"/>
  <c r="P348" i="2"/>
  <c r="Q348" i="2"/>
  <c r="R348" i="2"/>
  <c r="S348" i="2"/>
  <c r="T348" i="2"/>
  <c r="M349" i="2"/>
  <c r="N349" i="2"/>
  <c r="O349" i="2"/>
  <c r="P349" i="2"/>
  <c r="Q349" i="2"/>
  <c r="R349" i="2"/>
  <c r="S349" i="2"/>
  <c r="T349" i="2"/>
  <c r="M350" i="2"/>
  <c r="N350" i="2"/>
  <c r="O350" i="2"/>
  <c r="P350" i="2"/>
  <c r="Q350" i="2"/>
  <c r="R350" i="2"/>
  <c r="S350" i="2"/>
  <c r="T350" i="2"/>
  <c r="M351" i="2"/>
  <c r="N351" i="2"/>
  <c r="O351" i="2"/>
  <c r="P351" i="2"/>
  <c r="Q351" i="2"/>
  <c r="R351" i="2"/>
  <c r="S351" i="2"/>
  <c r="T351" i="2"/>
  <c r="M352" i="2"/>
  <c r="N352" i="2"/>
  <c r="O352" i="2"/>
  <c r="P352" i="2"/>
  <c r="Q352" i="2"/>
  <c r="R352" i="2"/>
  <c r="S352" i="2"/>
  <c r="T352" i="2"/>
  <c r="M353" i="2"/>
  <c r="N353" i="2"/>
  <c r="O353" i="2"/>
  <c r="P353" i="2"/>
  <c r="Q353" i="2"/>
  <c r="R353" i="2"/>
  <c r="S353" i="2"/>
  <c r="T353" i="2"/>
  <c r="M354" i="2"/>
  <c r="N354" i="2"/>
  <c r="O354" i="2"/>
  <c r="P354" i="2"/>
  <c r="Q354" i="2"/>
  <c r="R354" i="2"/>
  <c r="S354" i="2"/>
  <c r="T354" i="2"/>
  <c r="M355" i="2"/>
  <c r="N355" i="2"/>
  <c r="O355" i="2"/>
  <c r="P355" i="2"/>
  <c r="Q355" i="2"/>
  <c r="R355" i="2"/>
  <c r="S355" i="2"/>
  <c r="T355" i="2"/>
  <c r="M356" i="2"/>
  <c r="N356" i="2"/>
  <c r="O356" i="2"/>
  <c r="P356" i="2"/>
  <c r="Q356" i="2"/>
  <c r="R356" i="2"/>
  <c r="S356" i="2"/>
  <c r="T356" i="2"/>
  <c r="M357" i="2"/>
  <c r="N357" i="2"/>
  <c r="O357" i="2"/>
  <c r="P357" i="2"/>
  <c r="Q357" i="2"/>
  <c r="R357" i="2"/>
  <c r="S357" i="2"/>
  <c r="T357" i="2"/>
  <c r="M358" i="2"/>
  <c r="N358" i="2"/>
  <c r="O358" i="2"/>
  <c r="P358" i="2"/>
  <c r="Q358" i="2"/>
  <c r="R358" i="2"/>
  <c r="S358" i="2"/>
  <c r="T358" i="2"/>
  <c r="M359" i="2"/>
  <c r="N359" i="2"/>
  <c r="O359" i="2"/>
  <c r="P359" i="2"/>
  <c r="Q359" i="2"/>
  <c r="R359" i="2"/>
  <c r="S359" i="2"/>
  <c r="T359" i="2"/>
  <c r="M360" i="2"/>
  <c r="N360" i="2"/>
  <c r="O360" i="2"/>
  <c r="P360" i="2"/>
  <c r="Q360" i="2"/>
  <c r="R360" i="2"/>
  <c r="S360" i="2"/>
  <c r="T360" i="2"/>
  <c r="M361" i="2"/>
  <c r="N361" i="2"/>
  <c r="O361" i="2"/>
  <c r="P361" i="2"/>
  <c r="Q361" i="2"/>
  <c r="R361" i="2"/>
  <c r="S361" i="2"/>
  <c r="T361" i="2"/>
  <c r="M362" i="2"/>
  <c r="N362" i="2"/>
  <c r="O362" i="2"/>
  <c r="P362" i="2"/>
  <c r="Q362" i="2"/>
  <c r="R362" i="2"/>
  <c r="S362" i="2"/>
  <c r="T362" i="2"/>
  <c r="M363" i="2"/>
  <c r="N363" i="2"/>
  <c r="O363" i="2"/>
  <c r="P363" i="2"/>
  <c r="Q363" i="2"/>
  <c r="R363" i="2"/>
  <c r="S363" i="2"/>
  <c r="T363" i="2"/>
  <c r="M364" i="2"/>
  <c r="N364" i="2"/>
  <c r="O364" i="2"/>
  <c r="P364" i="2"/>
  <c r="Q364" i="2"/>
  <c r="R364" i="2"/>
  <c r="S364" i="2"/>
  <c r="T364" i="2"/>
  <c r="M365" i="2"/>
  <c r="N365" i="2"/>
  <c r="O365" i="2"/>
  <c r="P365" i="2"/>
  <c r="Q365" i="2"/>
  <c r="R365" i="2"/>
  <c r="S365" i="2"/>
  <c r="T365" i="2"/>
  <c r="M366" i="2"/>
  <c r="N366" i="2"/>
  <c r="O366" i="2"/>
  <c r="P366" i="2"/>
  <c r="Q366" i="2"/>
  <c r="R366" i="2"/>
  <c r="S366" i="2"/>
  <c r="T366" i="2"/>
  <c r="M367" i="2"/>
  <c r="N367" i="2"/>
  <c r="O367" i="2"/>
  <c r="P367" i="2"/>
  <c r="Q367" i="2"/>
  <c r="R367" i="2"/>
  <c r="S367" i="2"/>
  <c r="T367" i="2"/>
  <c r="M368" i="2"/>
  <c r="N368" i="2"/>
  <c r="O368" i="2"/>
  <c r="P368" i="2"/>
  <c r="Q368" i="2"/>
  <c r="R368" i="2"/>
  <c r="S368" i="2"/>
  <c r="T368" i="2"/>
  <c r="M369" i="2"/>
  <c r="N369" i="2"/>
  <c r="O369" i="2"/>
  <c r="P369" i="2"/>
  <c r="Q369" i="2"/>
  <c r="R369" i="2"/>
  <c r="S369" i="2"/>
  <c r="T369" i="2"/>
  <c r="M370" i="2"/>
  <c r="N370" i="2"/>
  <c r="O370" i="2"/>
  <c r="P370" i="2"/>
  <c r="Q370" i="2"/>
  <c r="R370" i="2"/>
  <c r="S370" i="2"/>
  <c r="T370" i="2"/>
  <c r="M371" i="2"/>
  <c r="N371" i="2"/>
  <c r="O371" i="2"/>
  <c r="P371" i="2"/>
  <c r="Q371" i="2"/>
  <c r="R371" i="2"/>
  <c r="S371" i="2"/>
  <c r="T371" i="2"/>
  <c r="M372" i="2"/>
  <c r="N372" i="2"/>
  <c r="O372" i="2"/>
  <c r="P372" i="2"/>
  <c r="Q372" i="2"/>
  <c r="R372" i="2"/>
  <c r="S372" i="2"/>
  <c r="T372" i="2"/>
  <c r="M373" i="2"/>
  <c r="N373" i="2"/>
  <c r="O373" i="2"/>
  <c r="P373" i="2"/>
  <c r="Q373" i="2"/>
  <c r="R373" i="2"/>
  <c r="S373" i="2"/>
  <c r="T373" i="2"/>
  <c r="M374" i="2"/>
  <c r="N374" i="2"/>
  <c r="O374" i="2"/>
  <c r="P374" i="2"/>
  <c r="Q374" i="2"/>
  <c r="R374" i="2"/>
  <c r="S374" i="2"/>
  <c r="T374" i="2"/>
  <c r="M375" i="2"/>
  <c r="N375" i="2"/>
  <c r="O375" i="2"/>
  <c r="P375" i="2"/>
  <c r="Q375" i="2"/>
  <c r="R375" i="2"/>
  <c r="S375" i="2"/>
  <c r="T375" i="2"/>
  <c r="M376" i="2"/>
  <c r="N376" i="2"/>
  <c r="O376" i="2"/>
  <c r="P376" i="2"/>
  <c r="Q376" i="2"/>
  <c r="R376" i="2"/>
  <c r="S376" i="2"/>
  <c r="T376" i="2"/>
  <c r="M377" i="2"/>
  <c r="N377" i="2"/>
  <c r="O377" i="2"/>
  <c r="P377" i="2"/>
  <c r="Q377" i="2"/>
  <c r="R377" i="2"/>
  <c r="S377" i="2"/>
  <c r="T377" i="2"/>
  <c r="M378" i="2"/>
  <c r="N378" i="2"/>
  <c r="O378" i="2"/>
  <c r="P378" i="2"/>
  <c r="Q378" i="2"/>
  <c r="R378" i="2"/>
  <c r="S378" i="2"/>
  <c r="T378" i="2"/>
  <c r="M379" i="2"/>
  <c r="N379" i="2"/>
  <c r="O379" i="2"/>
  <c r="P379" i="2"/>
  <c r="Q379" i="2"/>
  <c r="R379" i="2"/>
  <c r="S379" i="2"/>
  <c r="T379" i="2"/>
  <c r="M380" i="2"/>
  <c r="N380" i="2"/>
  <c r="O380" i="2"/>
  <c r="P380" i="2"/>
  <c r="Q380" i="2"/>
  <c r="R380" i="2"/>
  <c r="S380" i="2"/>
  <c r="T380" i="2"/>
  <c r="M381" i="2"/>
  <c r="N381" i="2"/>
  <c r="O381" i="2"/>
  <c r="P381" i="2"/>
  <c r="Q381" i="2"/>
  <c r="R381" i="2"/>
  <c r="S381" i="2"/>
  <c r="T381" i="2"/>
  <c r="M382" i="2"/>
  <c r="N382" i="2"/>
  <c r="O382" i="2"/>
  <c r="P382" i="2"/>
  <c r="Q382" i="2"/>
  <c r="R382" i="2"/>
  <c r="S382" i="2"/>
  <c r="T382" i="2"/>
  <c r="M383" i="2"/>
  <c r="N383" i="2"/>
  <c r="O383" i="2"/>
  <c r="P383" i="2"/>
  <c r="Q383" i="2"/>
  <c r="R383" i="2"/>
  <c r="S383" i="2"/>
  <c r="T383" i="2"/>
  <c r="M384" i="2"/>
  <c r="N384" i="2"/>
  <c r="O384" i="2"/>
  <c r="P384" i="2"/>
  <c r="Q384" i="2"/>
  <c r="R384" i="2"/>
  <c r="S384" i="2"/>
  <c r="T384" i="2"/>
  <c r="M385" i="2"/>
  <c r="N385" i="2"/>
  <c r="O385" i="2"/>
  <c r="P385" i="2"/>
  <c r="Q385" i="2"/>
  <c r="R385" i="2"/>
  <c r="S385" i="2"/>
  <c r="T385" i="2"/>
  <c r="M386" i="2"/>
  <c r="N386" i="2"/>
  <c r="O386" i="2"/>
  <c r="P386" i="2"/>
  <c r="Q386" i="2"/>
  <c r="R386" i="2"/>
  <c r="S386" i="2"/>
  <c r="T386" i="2"/>
  <c r="M387" i="2"/>
  <c r="N387" i="2"/>
  <c r="O387" i="2"/>
  <c r="P387" i="2"/>
  <c r="Q387" i="2"/>
  <c r="R387" i="2"/>
  <c r="S387" i="2"/>
  <c r="T387" i="2"/>
  <c r="M388" i="2"/>
  <c r="N388" i="2"/>
  <c r="O388" i="2"/>
  <c r="P388" i="2"/>
  <c r="Q388" i="2"/>
  <c r="R388" i="2"/>
  <c r="S388" i="2"/>
  <c r="T388" i="2"/>
  <c r="M389" i="2"/>
  <c r="N389" i="2"/>
  <c r="O389" i="2"/>
  <c r="P389" i="2"/>
  <c r="Q389" i="2"/>
  <c r="R389" i="2"/>
  <c r="S389" i="2"/>
  <c r="T389" i="2"/>
  <c r="M390" i="2"/>
  <c r="N390" i="2"/>
  <c r="O390" i="2"/>
  <c r="P390" i="2"/>
  <c r="Q390" i="2"/>
  <c r="R390" i="2"/>
  <c r="S390" i="2"/>
  <c r="T390" i="2"/>
  <c r="M391" i="2"/>
  <c r="N391" i="2"/>
  <c r="O391" i="2"/>
  <c r="P391" i="2"/>
  <c r="Q391" i="2"/>
  <c r="R391" i="2"/>
  <c r="S391" i="2"/>
  <c r="T391" i="2"/>
  <c r="M392" i="2"/>
  <c r="N392" i="2"/>
  <c r="O392" i="2"/>
  <c r="P392" i="2"/>
  <c r="Q392" i="2"/>
  <c r="R392" i="2"/>
  <c r="S392" i="2"/>
  <c r="T392" i="2"/>
  <c r="M393" i="2"/>
  <c r="N393" i="2"/>
  <c r="O393" i="2"/>
  <c r="P393" i="2"/>
  <c r="Q393" i="2"/>
  <c r="R393" i="2"/>
  <c r="S393" i="2"/>
  <c r="T393" i="2"/>
  <c r="M394" i="2"/>
  <c r="N394" i="2"/>
  <c r="O394" i="2"/>
  <c r="P394" i="2"/>
  <c r="Q394" i="2"/>
  <c r="R394" i="2"/>
  <c r="S394" i="2"/>
  <c r="T394" i="2"/>
  <c r="M395" i="2"/>
  <c r="N395" i="2"/>
  <c r="O395" i="2"/>
  <c r="P395" i="2"/>
  <c r="Q395" i="2"/>
  <c r="R395" i="2"/>
  <c r="S395" i="2"/>
  <c r="T395" i="2"/>
  <c r="M396" i="2"/>
  <c r="N396" i="2"/>
  <c r="O396" i="2"/>
  <c r="P396" i="2"/>
  <c r="Q396" i="2"/>
  <c r="R396" i="2"/>
  <c r="S396" i="2"/>
  <c r="T396" i="2"/>
  <c r="M397" i="2"/>
  <c r="N397" i="2"/>
  <c r="O397" i="2"/>
  <c r="P397" i="2"/>
  <c r="Q397" i="2"/>
  <c r="R397" i="2"/>
  <c r="S397" i="2"/>
  <c r="T397" i="2"/>
  <c r="M398" i="2"/>
  <c r="N398" i="2"/>
  <c r="O398" i="2"/>
  <c r="P398" i="2"/>
  <c r="Q398" i="2"/>
  <c r="R398" i="2"/>
  <c r="S398" i="2"/>
  <c r="T398" i="2"/>
  <c r="M399" i="2"/>
  <c r="N399" i="2"/>
  <c r="O399" i="2"/>
  <c r="P399" i="2"/>
  <c r="Q399" i="2"/>
  <c r="R399" i="2"/>
  <c r="S399" i="2"/>
  <c r="T399" i="2"/>
  <c r="M400" i="2"/>
  <c r="N400" i="2"/>
  <c r="O400" i="2"/>
  <c r="P400" i="2"/>
  <c r="Q400" i="2"/>
  <c r="R400" i="2"/>
  <c r="S400" i="2"/>
  <c r="T400" i="2"/>
  <c r="M401" i="2"/>
  <c r="N401" i="2"/>
  <c r="O401" i="2"/>
  <c r="P401" i="2"/>
  <c r="Q401" i="2"/>
  <c r="R401" i="2"/>
  <c r="S401" i="2"/>
  <c r="T401" i="2"/>
  <c r="N2" i="2"/>
  <c r="O2" i="2"/>
  <c r="P2" i="2"/>
  <c r="Q2" i="2"/>
  <c r="R2" i="2"/>
  <c r="S2" i="2"/>
  <c r="T2" i="2"/>
  <c r="M2" i="2"/>
  <c r="T24" i="9" l="1"/>
  <c r="P24" i="9"/>
  <c r="R26" i="9"/>
  <c r="M27" i="9"/>
  <c r="Q26" i="9"/>
  <c r="N25" i="9"/>
  <c r="O25" i="9" s="1"/>
  <c r="T25" i="9" l="1"/>
  <c r="P25" i="9"/>
  <c r="N26" i="9"/>
  <c r="O26" i="9" s="1"/>
  <c r="R27" i="9"/>
  <c r="M28" i="9"/>
  <c r="Q27" i="9"/>
  <c r="P26" i="9" l="1"/>
  <c r="T26" i="9" s="1"/>
  <c r="N27" i="9"/>
  <c r="O27" i="9" s="1"/>
  <c r="R28" i="9"/>
  <c r="Q28" i="9"/>
  <c r="M29" i="9"/>
  <c r="P27" i="9" l="1"/>
  <c r="T27" i="9" s="1"/>
  <c r="R29" i="9"/>
  <c r="Q29" i="9"/>
  <c r="M30" i="9"/>
  <c r="N28" i="9"/>
  <c r="O28" i="9"/>
  <c r="N29" i="9" l="1"/>
  <c r="O29" i="9" s="1"/>
  <c r="R30" i="9"/>
  <c r="Q30" i="9"/>
  <c r="M31" i="9"/>
  <c r="P28" i="9"/>
  <c r="T28" i="9" s="1"/>
  <c r="P29" i="9" l="1"/>
  <c r="T29" i="9" s="1"/>
  <c r="N30" i="9"/>
  <c r="O30" i="9" s="1"/>
  <c r="M32" i="9"/>
  <c r="R31" i="9"/>
  <c r="Q31" i="9"/>
  <c r="P30" i="9" l="1"/>
  <c r="T30" i="9" s="1"/>
  <c r="M33" i="9"/>
  <c r="Q32" i="9"/>
  <c r="R32" i="9"/>
  <c r="N31" i="9"/>
  <c r="O31" i="9" s="1"/>
  <c r="P31" i="9" l="1"/>
  <c r="T31" i="9" s="1"/>
  <c r="N32" i="9"/>
  <c r="O32" i="9" s="1"/>
  <c r="R33" i="9"/>
  <c r="Q33" i="9"/>
  <c r="M34" i="9"/>
  <c r="T32" i="9" l="1"/>
  <c r="P32" i="9"/>
  <c r="R34" i="9"/>
  <c r="M35" i="9"/>
  <c r="Q34" i="9"/>
  <c r="N33" i="9"/>
  <c r="O33" i="9" s="1"/>
  <c r="T33" i="9" l="1"/>
  <c r="P33" i="9"/>
  <c r="N34" i="9"/>
  <c r="O34" i="9" s="1"/>
  <c r="R35" i="9"/>
  <c r="Q35" i="9"/>
  <c r="M36" i="9"/>
  <c r="T34" i="9" l="1"/>
  <c r="P34" i="9"/>
  <c r="Q36" i="9"/>
  <c r="M37" i="9"/>
  <c r="R36" i="9"/>
  <c r="N35" i="9"/>
  <c r="O35" i="9" s="1"/>
  <c r="T35" i="9" l="1"/>
  <c r="P35" i="9"/>
  <c r="Q37" i="9"/>
  <c r="M38" i="9"/>
  <c r="R37" i="9"/>
  <c r="N36" i="9"/>
  <c r="O36" i="9" s="1"/>
  <c r="T36" i="9" l="1"/>
  <c r="P36" i="9"/>
  <c r="M39" i="9"/>
  <c r="R38" i="9"/>
  <c r="Q38" i="9"/>
  <c r="N37" i="9"/>
  <c r="O37" i="9" s="1"/>
  <c r="P37" i="9" l="1"/>
  <c r="T37" i="9" s="1"/>
  <c r="N38" i="9"/>
  <c r="O38" i="9"/>
  <c r="P38" i="9"/>
  <c r="M40" i="9"/>
  <c r="R39" i="9"/>
  <c r="Q39" i="9"/>
  <c r="N39" i="9" l="1"/>
  <c r="O39" i="9"/>
  <c r="P39" i="9"/>
  <c r="R40" i="9"/>
  <c r="M41" i="9"/>
  <c r="Q40" i="9"/>
  <c r="T38" i="9"/>
  <c r="N40" i="9" l="1"/>
  <c r="O40" i="9" s="1"/>
  <c r="M42" i="9"/>
  <c r="R41" i="9"/>
  <c r="Q41" i="9"/>
  <c r="T39" i="9"/>
  <c r="P40" i="9" l="1"/>
  <c r="T40" i="9" s="1"/>
  <c r="N41" i="9"/>
  <c r="O41" i="9" s="1"/>
  <c r="Q42" i="9"/>
  <c r="M43" i="9"/>
  <c r="R42" i="9"/>
  <c r="P41" i="9" l="1"/>
  <c r="T41" i="9" s="1"/>
  <c r="N42" i="9"/>
  <c r="O42" i="9" s="1"/>
  <c r="R43" i="9"/>
  <c r="Q43" i="9"/>
  <c r="M44" i="9"/>
  <c r="P42" i="9" l="1"/>
  <c r="T42" i="9" s="1"/>
  <c r="R44" i="9"/>
  <c r="Q44" i="9"/>
  <c r="M45" i="9"/>
  <c r="N43" i="9"/>
  <c r="O43" i="9" s="1"/>
  <c r="P43" i="9" l="1"/>
  <c r="T43" i="9" s="1"/>
  <c r="N44" i="9"/>
  <c r="O44" i="9" s="1"/>
  <c r="M46" i="9"/>
  <c r="Q45" i="9"/>
  <c r="R45" i="9"/>
  <c r="P44" i="9" l="1"/>
  <c r="T44" i="9" s="1"/>
  <c r="N45" i="9"/>
  <c r="O45" i="9" s="1"/>
  <c r="M47" i="9"/>
  <c r="R46" i="9"/>
  <c r="Q46" i="9"/>
  <c r="P45" i="9" l="1"/>
  <c r="T45" i="9" s="1"/>
  <c r="N46" i="9"/>
  <c r="O46" i="9" s="1"/>
  <c r="M48" i="9"/>
  <c r="R47" i="9"/>
  <c r="Q47" i="9"/>
  <c r="P46" i="9" l="1"/>
  <c r="T46" i="9" s="1"/>
  <c r="M49" i="9"/>
  <c r="R48" i="9"/>
  <c r="Q48" i="9"/>
  <c r="N47" i="9"/>
  <c r="O47" i="9" s="1"/>
  <c r="P47" i="9" l="1"/>
  <c r="T47" i="9" s="1"/>
  <c r="N48" i="9"/>
  <c r="O48" i="9" s="1"/>
  <c r="M50" i="9"/>
  <c r="R49" i="9"/>
  <c r="Q49" i="9"/>
  <c r="P48" i="9" l="1"/>
  <c r="T48" i="9" s="1"/>
  <c r="N49" i="9"/>
  <c r="O49" i="9" s="1"/>
  <c r="Q50" i="9"/>
  <c r="M51" i="9"/>
  <c r="R50" i="9"/>
  <c r="P49" i="9" l="1"/>
  <c r="T49" i="9" s="1"/>
  <c r="N50" i="9"/>
  <c r="O50" i="9"/>
  <c r="P50" i="9"/>
  <c r="R51" i="9"/>
  <c r="Q51" i="9"/>
  <c r="M52" i="9"/>
  <c r="N51" i="9" l="1"/>
  <c r="O51" i="9" s="1"/>
  <c r="T50" i="9"/>
  <c r="R52" i="9"/>
  <c r="Q52" i="9"/>
  <c r="M53" i="9"/>
  <c r="P51" i="9" l="1"/>
  <c r="T51" i="9" s="1"/>
  <c r="N52" i="9"/>
  <c r="O52" i="9" s="1"/>
  <c r="M54" i="9"/>
  <c r="Q53" i="9"/>
  <c r="R53" i="9"/>
  <c r="P52" i="9" l="1"/>
  <c r="T52" i="9" s="1"/>
  <c r="R54" i="9"/>
  <c r="M55" i="9"/>
  <c r="Q54" i="9"/>
  <c r="N53" i="9"/>
  <c r="O53" i="9" s="1"/>
  <c r="P53" i="9" l="1"/>
  <c r="T53" i="9" s="1"/>
  <c r="N54" i="9"/>
  <c r="O54" i="9" s="1"/>
  <c r="M56" i="9"/>
  <c r="R55" i="9"/>
  <c r="Q55" i="9"/>
  <c r="P54" i="9" l="1"/>
  <c r="T54" i="9" s="1"/>
  <c r="N55" i="9"/>
  <c r="O55" i="9"/>
  <c r="P55" i="9"/>
  <c r="M57" i="9"/>
  <c r="Q56" i="9"/>
  <c r="R56" i="9"/>
  <c r="N56" i="9" l="1"/>
  <c r="O56" i="9" s="1"/>
  <c r="M58" i="9"/>
  <c r="R57" i="9"/>
  <c r="Q57" i="9"/>
  <c r="T55" i="9"/>
  <c r="P56" i="9" l="1"/>
  <c r="T56" i="9" s="1"/>
  <c r="N57" i="9"/>
  <c r="O57" i="9" s="1"/>
  <c r="Q58" i="9"/>
  <c r="M59" i="9"/>
  <c r="R58" i="9"/>
  <c r="P57" i="9" l="1"/>
  <c r="T57" i="9" s="1"/>
  <c r="N58" i="9"/>
  <c r="O58" i="9"/>
  <c r="R59" i="9"/>
  <c r="Q59" i="9"/>
  <c r="M60" i="9"/>
  <c r="N59" i="9" l="1"/>
  <c r="O59" i="9" s="1"/>
  <c r="R60" i="9"/>
  <c r="Q60" i="9"/>
  <c r="M61" i="9"/>
  <c r="P58" i="9"/>
  <c r="T58" i="9" s="1"/>
  <c r="P59" i="9" l="1"/>
  <c r="T59" i="9" s="1"/>
  <c r="N60" i="9"/>
  <c r="O60" i="9" s="1"/>
  <c r="M62" i="9"/>
  <c r="Q61" i="9"/>
  <c r="R61" i="9"/>
  <c r="P60" i="9" l="1"/>
  <c r="T60" i="9" s="1"/>
  <c r="M63" i="9"/>
  <c r="R62" i="9"/>
  <c r="Q62" i="9"/>
  <c r="N61" i="9"/>
  <c r="O61" i="9" s="1"/>
  <c r="P61" i="9" l="1"/>
  <c r="T61" i="9" s="1"/>
  <c r="N62" i="9"/>
  <c r="O62" i="9" s="1"/>
  <c r="M64" i="9"/>
  <c r="R63" i="9"/>
  <c r="Q63" i="9"/>
  <c r="P62" i="9" l="1"/>
  <c r="T62" i="9" s="1"/>
  <c r="N63" i="9"/>
  <c r="O63" i="9"/>
  <c r="P63" i="9"/>
  <c r="M65" i="9"/>
  <c r="R64" i="9"/>
  <c r="Q64" i="9"/>
  <c r="N64" i="9" l="1"/>
  <c r="O64" i="9" s="1"/>
  <c r="M66" i="9"/>
  <c r="R65" i="9"/>
  <c r="Q65" i="9"/>
  <c r="T63" i="9"/>
  <c r="P64" i="9" l="1"/>
  <c r="T64" i="9" s="1"/>
  <c r="N65" i="9"/>
  <c r="O65" i="9" s="1"/>
  <c r="Q66" i="9"/>
  <c r="M67" i="9"/>
  <c r="R66" i="9"/>
  <c r="P65" i="9" l="1"/>
  <c r="T65" i="9" s="1"/>
  <c r="N66" i="9"/>
  <c r="O66" i="9" s="1"/>
  <c r="R67" i="9"/>
  <c r="Q67" i="9"/>
  <c r="M68" i="9"/>
  <c r="P66" i="9" l="1"/>
  <c r="T66" i="9" s="1"/>
  <c r="N67" i="9"/>
  <c r="O67" i="9" s="1"/>
  <c r="R68" i="9"/>
  <c r="Q68" i="9"/>
  <c r="M69" i="9"/>
  <c r="P67" i="9" l="1"/>
  <c r="T67" i="9" s="1"/>
  <c r="M70" i="9"/>
  <c r="Q69" i="9"/>
  <c r="R69" i="9"/>
  <c r="N68" i="9"/>
  <c r="O68" i="9" s="1"/>
  <c r="P68" i="9" l="1"/>
  <c r="T68" i="9" s="1"/>
  <c r="N69" i="9"/>
  <c r="O69" i="9" s="1"/>
  <c r="M71" i="9"/>
  <c r="R70" i="9"/>
  <c r="Q70" i="9"/>
  <c r="P69" i="9" l="1"/>
  <c r="T69" i="9" s="1"/>
  <c r="N70" i="9"/>
  <c r="O70" i="9" s="1"/>
  <c r="M72" i="9"/>
  <c r="R71" i="9"/>
  <c r="Q71" i="9"/>
  <c r="P70" i="9" l="1"/>
  <c r="T70" i="9" s="1"/>
  <c r="N71" i="9"/>
  <c r="O71" i="9"/>
  <c r="M73" i="9"/>
  <c r="Q72" i="9"/>
  <c r="R72" i="9"/>
  <c r="P71" i="9"/>
  <c r="M74" i="9" l="1"/>
  <c r="R73" i="9"/>
  <c r="Q73" i="9"/>
  <c r="N72" i="9"/>
  <c r="O72" i="9" s="1"/>
  <c r="T71" i="9"/>
  <c r="P72" i="9" l="1"/>
  <c r="T72" i="9" s="1"/>
  <c r="N73" i="9"/>
  <c r="O73" i="9" s="1"/>
  <c r="Q74" i="9"/>
  <c r="M75" i="9"/>
  <c r="R74" i="9"/>
  <c r="P73" i="9" l="1"/>
  <c r="T73" i="9" s="1"/>
  <c r="R75" i="9"/>
  <c r="Q75" i="9"/>
  <c r="M76" i="9"/>
  <c r="N74" i="9"/>
  <c r="O74" i="9"/>
  <c r="N75" i="9" l="1"/>
  <c r="O75" i="9" s="1"/>
  <c r="R76" i="9"/>
  <c r="Q76" i="9"/>
  <c r="M77" i="9"/>
  <c r="P74" i="9"/>
  <c r="T74" i="9" s="1"/>
  <c r="P75" i="9" l="1"/>
  <c r="T75" i="9" s="1"/>
  <c r="N76" i="9"/>
  <c r="O76" i="9" s="1"/>
  <c r="M78" i="9"/>
  <c r="Q77" i="9"/>
  <c r="R77" i="9"/>
  <c r="P76" i="9" l="1"/>
  <c r="T76" i="9" s="1"/>
  <c r="M79" i="9"/>
  <c r="R78" i="9"/>
  <c r="Q78" i="9"/>
  <c r="N77" i="9"/>
  <c r="O77" i="9"/>
  <c r="N78" i="9" l="1"/>
  <c r="O78" i="9" s="1"/>
  <c r="M80" i="9"/>
  <c r="R79" i="9"/>
  <c r="Q79" i="9"/>
  <c r="P77" i="9"/>
  <c r="T77" i="9" s="1"/>
  <c r="P78" i="9" l="1"/>
  <c r="T78" i="9" s="1"/>
  <c r="N79" i="9"/>
  <c r="O79" i="9" s="1"/>
  <c r="M81" i="9"/>
  <c r="R80" i="9"/>
  <c r="Q80" i="9"/>
  <c r="P79" i="9" l="1"/>
  <c r="T79" i="9" s="1"/>
  <c r="N80" i="9"/>
  <c r="O80" i="9" s="1"/>
  <c r="M82" i="9"/>
  <c r="R81" i="9"/>
  <c r="Q81" i="9"/>
  <c r="P80" i="9" l="1"/>
  <c r="T80" i="9" s="1"/>
  <c r="N81" i="9"/>
  <c r="O81" i="9" s="1"/>
  <c r="Q82" i="9"/>
  <c r="M83" i="9"/>
  <c r="R82" i="9"/>
  <c r="P81" i="9" l="1"/>
  <c r="T81" i="9" s="1"/>
  <c r="R83" i="9"/>
  <c r="Q83" i="9"/>
  <c r="N82" i="9"/>
  <c r="O82" i="9" s="1"/>
  <c r="P82" i="9" l="1"/>
  <c r="T82" i="9" s="1"/>
  <c r="N83" i="9"/>
  <c r="O83" i="9" s="1"/>
  <c r="P83" i="9" l="1"/>
  <c r="T83" i="9" s="1"/>
</calcChain>
</file>

<file path=xl/sharedStrings.xml><?xml version="1.0" encoding="utf-8"?>
<sst xmlns="http://schemas.openxmlformats.org/spreadsheetml/2006/main" count="585" uniqueCount="150">
  <si>
    <t>Sample</t>
  </si>
  <si>
    <t>s2</t>
  </si>
  <si>
    <t>s3</t>
  </si>
  <si>
    <t>s4</t>
  </si>
  <si>
    <t>s6</t>
  </si>
  <si>
    <t>s7</t>
  </si>
  <si>
    <t>s8</t>
  </si>
  <si>
    <t>S1</t>
  </si>
  <si>
    <t>S2</t>
  </si>
  <si>
    <t>S3</t>
  </si>
  <si>
    <t>S4</t>
  </si>
  <si>
    <t>S5</t>
  </si>
  <si>
    <t>S6</t>
  </si>
  <si>
    <t>S7</t>
  </si>
  <si>
    <t>S8</t>
  </si>
  <si>
    <t>pH</t>
  </si>
  <si>
    <t>A560</t>
  </si>
  <si>
    <t>A637</t>
  </si>
  <si>
    <t>A683</t>
  </si>
  <si>
    <t>A730</t>
  </si>
  <si>
    <t>PBS cont</t>
  </si>
  <si>
    <t>PC/biomass</t>
  </si>
  <si>
    <t>Error bars</t>
  </si>
  <si>
    <t>Growth rate</t>
  </si>
  <si>
    <t>Doublng time</t>
  </si>
  <si>
    <t>my</t>
  </si>
  <si>
    <t>T2</t>
  </si>
  <si>
    <t>Chl α cont</t>
  </si>
  <si>
    <t>Doubling time (h)</t>
  </si>
  <si>
    <t>RNA (ng/µL)</t>
  </si>
  <si>
    <t>time (h)</t>
  </si>
  <si>
    <t>s1</t>
  </si>
  <si>
    <t>s5</t>
  </si>
  <si>
    <t>Real data:</t>
  </si>
  <si>
    <t>Raw data:</t>
  </si>
  <si>
    <t>Abs</t>
  </si>
  <si>
    <t>Averages:</t>
  </si>
  <si>
    <t>1%CO2 (s1-s4)</t>
  </si>
  <si>
    <t>15%CO2 (s5-s8)</t>
  </si>
  <si>
    <t>Chl α/biomass</t>
  </si>
  <si>
    <t>PC/Chl α</t>
  </si>
  <si>
    <t>OD (Abs 730)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</si>
  <si>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%</t>
    </r>
  </si>
  <si>
    <t>[Data]</t>
  </si>
  <si>
    <t>Type</t>
  </si>
  <si>
    <t>Anal.</t>
  </si>
  <si>
    <t>Sample Name</t>
  </si>
  <si>
    <t>Sample ID</t>
  </si>
  <si>
    <t>Vial</t>
  </si>
  <si>
    <t>Date / Time</t>
  </si>
  <si>
    <t>Unknown</t>
  </si>
  <si>
    <t>IC</t>
  </si>
  <si>
    <t>CP150</t>
  </si>
  <si>
    <t>cp1500</t>
  </si>
  <si>
    <t>Standard</t>
  </si>
  <si>
    <t>Standards</t>
  </si>
  <si>
    <t>500mg</t>
  </si>
  <si>
    <t>cp150</t>
  </si>
  <si>
    <t>3000mg</t>
  </si>
  <si>
    <t>CP1500</t>
  </si>
  <si>
    <r>
      <t>Concentration calculation of DIC and DIC species from DIC, %CO</t>
    </r>
    <r>
      <rPr>
        <vertAlign val="subscript"/>
        <sz val="20"/>
        <color theme="1"/>
        <rFont val="Calibri"/>
        <family val="2"/>
        <scheme val="minor"/>
      </rPr>
      <t>2,</t>
    </r>
    <r>
      <rPr>
        <sz val="20"/>
        <color theme="1"/>
        <rFont val="Calibri"/>
        <family val="2"/>
        <scheme val="minor"/>
      </rPr>
      <t xml:space="preserve"> and pH</t>
    </r>
  </si>
  <si>
    <t>Enter desired values in the yellow fields</t>
  </si>
  <si>
    <t>Read the calculated values in the pink fields</t>
  </si>
  <si>
    <r>
      <t xml:space="preserve">Enter </t>
    </r>
    <r>
      <rPr>
        <b/>
        <i/>
        <sz val="16"/>
        <color rgb="FFC00000"/>
        <rFont val="Calibri"/>
        <family val="2"/>
        <scheme val="minor"/>
      </rPr>
      <t>T</t>
    </r>
    <r>
      <rPr>
        <i/>
        <sz val="16"/>
        <color rgb="FFC00000"/>
        <rFont val="Calibri"/>
        <family val="2"/>
        <scheme val="minor"/>
      </rPr>
      <t xml:space="preserve"> and </t>
    </r>
    <r>
      <rPr>
        <b/>
        <i/>
        <sz val="16"/>
        <color rgb="FFC00000"/>
        <rFont val="Calibri"/>
        <family val="2"/>
        <scheme val="minor"/>
      </rPr>
      <t>S</t>
    </r>
    <r>
      <rPr>
        <i/>
        <sz val="16"/>
        <color rgb="FFC00000"/>
        <rFont val="Calibri"/>
        <family val="2"/>
        <scheme val="minor"/>
      </rPr>
      <t xml:space="preserve"> </t>
    </r>
    <r>
      <rPr>
        <sz val="16"/>
        <color rgb="FFC00000"/>
        <rFont val="Calibri"/>
        <family val="2"/>
      </rPr>
      <t>→</t>
    </r>
    <r>
      <rPr>
        <i/>
        <sz val="16"/>
        <color rgb="FFC00000"/>
        <rFont val="Calibri"/>
        <family val="2"/>
      </rPr>
      <t xml:space="preserve"> Calculate </t>
    </r>
    <r>
      <rPr>
        <b/>
        <sz val="16"/>
        <color rgb="FFC00000"/>
        <rFont val="Calibri"/>
        <family val="2"/>
      </rPr>
      <t>K</t>
    </r>
    <r>
      <rPr>
        <b/>
        <i/>
        <vertAlign val="subscript"/>
        <sz val="16"/>
        <color rgb="FFC00000"/>
        <rFont val="Calibri"/>
        <family val="2"/>
      </rPr>
      <t>H</t>
    </r>
    <r>
      <rPr>
        <i/>
        <sz val="16"/>
        <color rgb="FFC00000"/>
        <rFont val="Calibri"/>
        <family val="2"/>
      </rPr>
      <t xml:space="preserve">, </t>
    </r>
    <r>
      <rPr>
        <b/>
        <i/>
        <sz val="16"/>
        <color rgb="FFC00000"/>
        <rFont val="Calibri"/>
        <family val="2"/>
      </rPr>
      <t>p</t>
    </r>
    <r>
      <rPr>
        <b/>
        <sz val="16"/>
        <color rgb="FFC00000"/>
        <rFont val="Calibri"/>
        <family val="2"/>
      </rPr>
      <t>K</t>
    </r>
    <r>
      <rPr>
        <b/>
        <i/>
        <vertAlign val="subscript"/>
        <sz val="16"/>
        <color rgb="FFC00000"/>
        <rFont val="Calibri"/>
        <family val="2"/>
      </rPr>
      <t>a1</t>
    </r>
    <r>
      <rPr>
        <i/>
        <sz val="16"/>
        <color rgb="FFC00000"/>
        <rFont val="Calibri"/>
        <family val="2"/>
      </rPr>
      <t xml:space="preserve">, and </t>
    </r>
    <r>
      <rPr>
        <b/>
        <i/>
        <sz val="16"/>
        <color rgb="FFC00000"/>
        <rFont val="Calibri"/>
        <family val="2"/>
      </rPr>
      <t>p</t>
    </r>
    <r>
      <rPr>
        <b/>
        <sz val="16"/>
        <color rgb="FFC00000"/>
        <rFont val="Calibri"/>
        <family val="2"/>
      </rPr>
      <t>K</t>
    </r>
    <r>
      <rPr>
        <b/>
        <i/>
        <vertAlign val="subscript"/>
        <sz val="16"/>
        <color rgb="FFC00000"/>
        <rFont val="Calibri"/>
        <family val="2"/>
      </rPr>
      <t>a2</t>
    </r>
  </si>
  <si>
    <r>
      <rPr>
        <b/>
        <i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</rPr>
      <t>°C)</t>
    </r>
    <r>
      <rPr>
        <b/>
        <sz val="11"/>
        <color theme="1"/>
        <rFont val="Calibri"/>
        <family val="2"/>
        <scheme val="minor"/>
      </rPr>
      <t xml:space="preserve"> =</t>
    </r>
  </si>
  <si>
    <r>
      <rPr>
        <b/>
        <i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H</t>
    </r>
    <r>
      <rPr>
        <b/>
        <sz val="11"/>
        <color theme="1"/>
        <rFont val="Calibri"/>
        <family val="2"/>
        <scheme val="minor"/>
      </rPr>
      <t xml:space="preserve"> (M atm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 =</t>
    </r>
  </si>
  <si>
    <t>Weiss 1974</t>
  </si>
  <si>
    <t>Millero et al. 2006</t>
  </si>
  <si>
    <r>
      <rPr>
        <b/>
        <i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=</t>
    </r>
  </si>
  <si>
    <r>
      <t>p</t>
    </r>
    <r>
      <rPr>
        <b/>
        <i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>* =</t>
    </r>
  </si>
  <si>
    <t>S</t>
  </si>
  <si>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(</t>
    </r>
    <r>
      <rPr>
        <sz val="11"/>
        <color theme="1"/>
        <rFont val="Calibri"/>
        <family val="2"/>
      </rPr>
      <t>°C)</t>
    </r>
  </si>
  <si>
    <r>
      <rPr>
        <i/>
        <sz val="11"/>
        <color theme="1"/>
        <rFont val="Calibri"/>
        <family val="2"/>
        <scheme val="minor"/>
      </rPr>
      <t>K</t>
    </r>
    <r>
      <rPr>
        <vertAlign val="sub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(M atm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</si>
  <si>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pK1</t>
  </si>
  <si>
    <t>pK2</t>
  </si>
  <si>
    <t>½(pK1+pK2)</t>
  </si>
  <si>
    <r>
      <t>p</t>
    </r>
    <r>
      <rPr>
        <b/>
        <i/>
        <sz val="11"/>
        <color theme="1"/>
        <rFont val="Calibri"/>
        <family val="2"/>
        <scheme val="minor"/>
      </rPr>
      <t>K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 =</t>
    </r>
  </si>
  <si>
    <r>
      <t>[CO</t>
    </r>
    <r>
      <rPr>
        <vertAlign val="sub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]/DIC</t>
    </r>
  </si>
  <si>
    <r>
      <t>[HCO</t>
    </r>
    <r>
      <rPr>
        <vertAlign val="subscript"/>
        <sz val="11"/>
        <color theme="1"/>
        <rFont val="Calibri"/>
        <family val="2"/>
      </rPr>
      <t>3</t>
    </r>
    <r>
      <rPr>
        <vertAlign val="superscript"/>
        <sz val="11"/>
        <color theme="1"/>
        <rFont val="Calibri"/>
        <family val="2"/>
      </rPr>
      <t>-</t>
    </r>
    <r>
      <rPr>
        <sz val="11"/>
        <color theme="1"/>
        <rFont val="Calibri"/>
        <family val="2"/>
      </rPr>
      <t>]/DIC</t>
    </r>
  </si>
  <si>
    <r>
      <t>[CO</t>
    </r>
    <r>
      <rPr>
        <vertAlign val="subscript"/>
        <sz val="11"/>
        <color theme="1"/>
        <rFont val="Calibri"/>
        <family val="2"/>
      </rPr>
      <t>3</t>
    </r>
    <r>
      <rPr>
        <vertAlign val="superscript"/>
        <sz val="11"/>
        <color theme="1"/>
        <rFont val="Calibri"/>
        <family val="2"/>
      </rPr>
      <t>2-</t>
    </r>
    <r>
      <rPr>
        <sz val="11"/>
        <color theme="1"/>
        <rFont val="Calibri"/>
        <family val="2"/>
      </rPr>
      <t>]/DIC</t>
    </r>
  </si>
  <si>
    <r>
      <t>α = 10</t>
    </r>
    <r>
      <rPr>
        <vertAlign val="superscript"/>
        <sz val="11"/>
        <color theme="1"/>
        <rFont val="Calibri"/>
        <family val="2"/>
      </rPr>
      <t>(pH-pK1)</t>
    </r>
  </si>
  <si>
    <r>
      <t>β = 10</t>
    </r>
    <r>
      <rPr>
        <vertAlign val="superscript"/>
        <sz val="11"/>
        <color theme="1"/>
        <rFont val="Calibri"/>
        <family val="2"/>
      </rPr>
      <t>(pH-pK2)</t>
    </r>
  </si>
  <si>
    <t>H+</t>
  </si>
  <si>
    <r>
      <t xml:space="preserve">Enter </t>
    </r>
    <r>
      <rPr>
        <b/>
        <i/>
        <sz val="16"/>
        <color rgb="FFC00000"/>
        <rFont val="Calibri"/>
        <family val="2"/>
        <scheme val="minor"/>
      </rPr>
      <t>%CO</t>
    </r>
    <r>
      <rPr>
        <b/>
        <i/>
        <vertAlign val="subscript"/>
        <sz val="16"/>
        <color rgb="FFC00000"/>
        <rFont val="Calibri"/>
        <family val="2"/>
        <scheme val="minor"/>
      </rPr>
      <t>2</t>
    </r>
    <r>
      <rPr>
        <i/>
        <sz val="16"/>
        <color rgb="FFC00000"/>
        <rFont val="Calibri"/>
        <family val="2"/>
        <scheme val="minor"/>
      </rPr>
      <t xml:space="preserve"> and </t>
    </r>
    <r>
      <rPr>
        <b/>
        <i/>
        <sz val="16"/>
        <color rgb="FFC00000"/>
        <rFont val="Calibri"/>
        <family val="2"/>
        <scheme val="minor"/>
      </rPr>
      <t>pH</t>
    </r>
    <r>
      <rPr>
        <i/>
        <sz val="16"/>
        <color rgb="FFC00000"/>
        <rFont val="Calibri"/>
        <family val="2"/>
        <scheme val="minor"/>
      </rPr>
      <t xml:space="preserve"> </t>
    </r>
    <r>
      <rPr>
        <sz val="16"/>
        <color rgb="FFC00000"/>
        <rFont val="Calibri"/>
        <family val="2"/>
      </rPr>
      <t>→</t>
    </r>
    <r>
      <rPr>
        <i/>
        <sz val="16"/>
        <color rgb="FFC00000"/>
        <rFont val="Calibri"/>
        <family val="2"/>
        <scheme val="minor"/>
      </rPr>
      <t xml:space="preserve"> calculate </t>
    </r>
    <r>
      <rPr>
        <b/>
        <i/>
        <sz val="16"/>
        <color rgb="FFC00000"/>
        <rFont val="Calibri"/>
        <family val="2"/>
        <scheme val="minor"/>
      </rPr>
      <t>DIC</t>
    </r>
    <r>
      <rPr>
        <i/>
        <sz val="16"/>
        <color rgb="FFC00000"/>
        <rFont val="Calibri"/>
        <family val="2"/>
        <scheme val="minor"/>
      </rPr>
      <t xml:space="preserve"> and </t>
    </r>
    <r>
      <rPr>
        <b/>
        <i/>
        <sz val="16"/>
        <color rgb="FFC00000"/>
        <rFont val="Calibri"/>
        <family val="2"/>
        <scheme val="minor"/>
      </rPr>
      <t>DIC species</t>
    </r>
  </si>
  <si>
    <r>
      <t>%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</t>
    </r>
  </si>
  <si>
    <t>(mM)</t>
  </si>
  <si>
    <r>
      <t>(mg C 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</si>
  <si>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pH =</t>
  </si>
  <si>
    <r>
      <t>[CO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 =</t>
    </r>
  </si>
  <si>
    <r>
      <t>α = [HCO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]/[CO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 =</t>
    </r>
  </si>
  <si>
    <r>
      <t>[HCO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vertAlign val="superscript"/>
        <sz val="11"/>
        <color theme="1"/>
        <rFont val="Calibri"/>
        <family val="2"/>
        <scheme val="minor"/>
      </rPr>
      <t>-</t>
    </r>
    <r>
      <rPr>
        <b/>
        <sz val="11"/>
        <color theme="1"/>
        <rFont val="Calibri"/>
        <family val="2"/>
        <scheme val="minor"/>
      </rPr>
      <t>] =</t>
    </r>
  </si>
  <si>
    <r>
      <t>β =[CO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>]/[HCO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] =</t>
    </r>
  </si>
  <si>
    <r>
      <t>[CO</t>
    </r>
    <r>
      <rPr>
        <b/>
        <vertAlign val="subscript"/>
        <sz val="11"/>
        <color theme="1"/>
        <rFont val="Calibri"/>
        <family val="2"/>
        <scheme val="minor"/>
      </rPr>
      <t>3</t>
    </r>
    <r>
      <rPr>
        <b/>
        <vertAlign val="superscript"/>
        <sz val="11"/>
        <color theme="1"/>
        <rFont val="Calibri"/>
        <family val="2"/>
        <scheme val="minor"/>
      </rPr>
      <t>2-</t>
    </r>
    <r>
      <rPr>
        <b/>
        <sz val="11"/>
        <color theme="1"/>
        <rFont val="Calibri"/>
        <family val="2"/>
        <scheme val="minor"/>
      </rPr>
      <t>] =</t>
    </r>
  </si>
  <si>
    <r>
      <t>[CO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]/DIC =</t>
    </r>
  </si>
  <si>
    <t>DIC =</t>
  </si>
  <si>
    <r>
      <t>[HCO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]/DIC =</t>
    </r>
  </si>
  <si>
    <r>
      <t>[CO</t>
    </r>
    <r>
      <rPr>
        <vertAlign val="subscript"/>
        <sz val="11"/>
        <color theme="1"/>
        <rFont val="Calibri"/>
        <family val="2"/>
        <scheme val="minor"/>
      </rPr>
      <t>3</t>
    </r>
    <r>
      <rPr>
        <vertAlign val="superscript"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>]/DIC =</t>
    </r>
  </si>
  <si>
    <r>
      <t xml:space="preserve">Enter </t>
    </r>
    <r>
      <rPr>
        <b/>
        <i/>
        <sz val="16"/>
        <color rgb="FFC00000"/>
        <rFont val="Calibri"/>
        <family val="2"/>
        <scheme val="minor"/>
      </rPr>
      <t>DIC</t>
    </r>
    <r>
      <rPr>
        <i/>
        <sz val="16"/>
        <color rgb="FFC00000"/>
        <rFont val="Calibri"/>
        <family val="2"/>
        <scheme val="minor"/>
      </rPr>
      <t xml:space="preserve"> and </t>
    </r>
    <r>
      <rPr>
        <b/>
        <i/>
        <sz val="16"/>
        <color rgb="FFC00000"/>
        <rFont val="Calibri"/>
        <family val="2"/>
        <scheme val="minor"/>
      </rPr>
      <t>pH</t>
    </r>
    <r>
      <rPr>
        <i/>
        <sz val="16"/>
        <color rgb="FFC00000"/>
        <rFont val="Calibri"/>
        <family val="2"/>
        <scheme val="minor"/>
      </rPr>
      <t xml:space="preserve"> </t>
    </r>
    <r>
      <rPr>
        <sz val="16"/>
        <color rgb="FFC00000"/>
        <rFont val="Calibri"/>
        <family val="2"/>
      </rPr>
      <t>→</t>
    </r>
    <r>
      <rPr>
        <i/>
        <sz val="16"/>
        <color rgb="FFC00000"/>
        <rFont val="Calibri"/>
        <family val="2"/>
        <scheme val="minor"/>
      </rPr>
      <t xml:space="preserve"> calculate </t>
    </r>
    <r>
      <rPr>
        <b/>
        <i/>
        <sz val="16"/>
        <color rgb="FFC00000"/>
        <rFont val="Calibri"/>
        <family val="2"/>
        <scheme val="minor"/>
      </rPr>
      <t>DIC species</t>
    </r>
  </si>
  <si>
    <t>DIC (mM) =</t>
  </si>
  <si>
    <t>DIC conversion:</t>
  </si>
  <si>
    <r>
      <t>(mg C 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</si>
  <si>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(mM) =</t>
  </si>
  <si>
    <t>Cal TIC (mg C L-1)</t>
  </si>
  <si>
    <t>Real TIC (mg C L-1)</t>
  </si>
  <si>
    <t>Done by NUF</t>
  </si>
  <si>
    <t>Origin</t>
  </si>
  <si>
    <t>Cal. Curve</t>
  </si>
  <si>
    <t>Manual Dilution</t>
  </si>
  <si>
    <t>Notes</t>
  </si>
  <si>
    <t>Spl. No.</t>
  </si>
  <si>
    <t>Inj. No.</t>
  </si>
  <si>
    <t>Analysis(Inj.)</t>
  </si>
  <si>
    <t>Area</t>
  </si>
  <si>
    <t>Mean Area</t>
  </si>
  <si>
    <t>Conc.</t>
  </si>
  <si>
    <t>Mean Conc.</t>
  </si>
  <si>
    <t>Result</t>
  </si>
  <si>
    <t>Mean Result</t>
  </si>
  <si>
    <t>SD Conc</t>
  </si>
  <si>
    <t>CV Conc</t>
  </si>
  <si>
    <t>Excluded</t>
  </si>
  <si>
    <t>Inj. Vol.</t>
  </si>
  <si>
    <t>Auto. Dil.</t>
  </si>
  <si>
    <t>C:\Program Files\Shimadzu\TOC-L\CalCurves\IC_300mg_15_06_2022.2022_07_19_14_01_54.cal</t>
  </si>
  <si>
    <t xml:space="preserve"> </t>
  </si>
  <si>
    <t>C:\Program Files\Shimadzu\TOC-L\CalCurves\IC_300mg_15_06_2022.cal</t>
  </si>
  <si>
    <t>IC:139.2mg/L</t>
  </si>
  <si>
    <t>Results:</t>
  </si>
  <si>
    <t>IC:48.42mg/L</t>
  </si>
  <si>
    <t>IC:76.28mg/L</t>
  </si>
  <si>
    <t>IC:53.71mg/L</t>
  </si>
  <si>
    <t>IC:77.41mg/L</t>
  </si>
  <si>
    <t>IC:142.1mg/L</t>
  </si>
  <si>
    <t>C:\Program Files\Shimadzu\TOC-L\CalCurves\IC_2000mg_15_06_2022.2022_07_19_15_26_14.cal</t>
  </si>
  <si>
    <t>C:\Program Files\Shimadzu\TOC-L\CalCurves\IC_2000mg_15_06_2022.cal</t>
  </si>
  <si>
    <t>IC:1289mg/L</t>
  </si>
  <si>
    <t>IC:733.7mg/L</t>
  </si>
  <si>
    <t>IC:743.9mg/L</t>
  </si>
  <si>
    <t>IC:1148mg/L</t>
  </si>
  <si>
    <t>IC:716.6mg/L</t>
  </si>
  <si>
    <t>IC:1291mg/L</t>
  </si>
  <si>
    <t>Ph (at collection time)</t>
  </si>
  <si>
    <t>Summary</t>
  </si>
  <si>
    <t>Average</t>
  </si>
  <si>
    <t>Stddev</t>
  </si>
  <si>
    <t>Chl a/biomass</t>
  </si>
  <si>
    <t>Chl a cont</t>
  </si>
  <si>
    <t>PC/Chl a</t>
  </si>
  <si>
    <t>Dilu</t>
  </si>
  <si>
    <t xml:space="preserve">Real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</si>
</sst>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7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vertAlign val="subscript"/>
      <sz val="20"/>
      <color theme="1"/>
      <name val="Calibri"/>
      <family val="2"/>
      <scheme val="minor"/>
    </font>
    <font>
      <i/>
      <sz val="16"/>
      <color rgb="FFC00000"/>
      <name val="Calibri"/>
      <family val="2"/>
      <scheme val="minor"/>
    </font>
    <font>
      <b/>
      <i/>
      <sz val="16"/>
      <color rgb="FFC00000"/>
      <name val="Calibri"/>
      <family val="2"/>
      <scheme val="minor"/>
    </font>
    <font>
      <sz val="16"/>
      <color rgb="FFC00000"/>
      <name val="Calibri"/>
      <family val="2"/>
    </font>
    <font>
      <i/>
      <sz val="16"/>
      <color rgb="FFC00000"/>
      <name val="Calibri"/>
      <family val="2"/>
    </font>
    <font>
      <b/>
      <sz val="16"/>
      <color rgb="FFC00000"/>
      <name val="Calibri"/>
      <family val="2"/>
    </font>
    <font>
      <b/>
      <i/>
      <vertAlign val="subscript"/>
      <sz val="16"/>
      <color rgb="FFC00000"/>
      <name val="Calibri"/>
      <family val="2"/>
    </font>
    <font>
      <b/>
      <i/>
      <sz val="16"/>
      <color rgb="FFC00000"/>
      <name val="Calibri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212121"/>
      <name val="Times New Roman"/>
      <family val="1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i/>
      <vertAlign val="subscript"/>
      <sz val="16"/>
      <color rgb="FFC00000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/>
      <top/>
      <bottom style="thin">
        <color indexed="64"/>
      </bottom>
      <diagonal/>
    </border>
    <border>
      <left style="thin">
        <color rgb="FF7030A0"/>
      </left>
      <right/>
      <top style="thin">
        <color rgb="FF7030A0"/>
      </top>
      <bottom style="thin">
        <color indexed="64"/>
      </bottom>
      <diagonal/>
    </border>
    <border>
      <left/>
      <right/>
      <top style="thin">
        <color rgb="FF7030A0"/>
      </top>
      <bottom style="thin">
        <color indexed="64"/>
      </bottom>
      <diagonal/>
    </border>
    <border>
      <left/>
      <right style="thin">
        <color rgb="FF7030A0"/>
      </right>
      <top style="thin">
        <color rgb="FF7030A0"/>
      </top>
      <bottom style="thin">
        <color indexed="64"/>
      </bottom>
      <diagonal/>
    </border>
    <border>
      <left/>
      <right style="thin">
        <color rgb="FF7030A0"/>
      </right>
      <top/>
      <bottom/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/>
    <xf numFmtId="0" fontId="2" fillId="0" borderId="5" xfId="0" applyFont="1" applyBorder="1" applyAlignment="1">
      <alignment vertical="center" wrapText="1"/>
    </xf>
    <xf numFmtId="0" fontId="2" fillId="0" borderId="0" xfId="0" applyFont="1"/>
    <xf numFmtId="0" fontId="0" fillId="0" borderId="0" xfId="0" applyFill="1" applyBorder="1" applyAlignment="1"/>
    <xf numFmtId="2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/>
    <xf numFmtId="0" fontId="0" fillId="0" borderId="0" xfId="0" applyFont="1" applyFill="1" applyBorder="1"/>
    <xf numFmtId="0" fontId="0" fillId="0" borderId="5" xfId="0" applyFont="1" applyBorder="1"/>
    <xf numFmtId="0" fontId="0" fillId="0" borderId="0" xfId="0" applyFill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/>
    <xf numFmtId="0" fontId="1" fillId="0" borderId="5" xfId="0" applyFont="1" applyFill="1" applyBorder="1" applyAlignment="1">
      <alignment vertical="center"/>
    </xf>
    <xf numFmtId="0" fontId="0" fillId="0" borderId="5" xfId="0" applyFont="1" applyFill="1" applyBorder="1"/>
    <xf numFmtId="2" fontId="1" fillId="0" borderId="5" xfId="0" applyNumberFormat="1" applyFont="1" applyFill="1" applyBorder="1"/>
    <xf numFmtId="0" fontId="0" fillId="0" borderId="5" xfId="0" applyFont="1" applyFill="1" applyBorder="1" applyAlignment="1">
      <alignment vertical="center"/>
    </xf>
    <xf numFmtId="0" fontId="1" fillId="4" borderId="5" xfId="0" applyFont="1" applyFill="1" applyBorder="1"/>
    <xf numFmtId="0" fontId="0" fillId="4" borderId="5" xfId="0" applyFont="1" applyFill="1" applyBorder="1"/>
    <xf numFmtId="0" fontId="0" fillId="0" borderId="5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7" xfId="0" applyFont="1" applyBorder="1"/>
    <xf numFmtId="0" fontId="0" fillId="0" borderId="9" xfId="0" applyFont="1" applyBorder="1"/>
    <xf numFmtId="0" fontId="0" fillId="0" borderId="7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1" fillId="0" borderId="1" xfId="0" applyFont="1" applyBorder="1"/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9" fontId="1" fillId="0" borderId="0" xfId="0" applyNumberFormat="1" applyFont="1"/>
    <xf numFmtId="0" fontId="1" fillId="0" borderId="6" xfId="0" applyFont="1" applyBorder="1"/>
    <xf numFmtId="0" fontId="1" fillId="0" borderId="0" xfId="0" applyFont="1" applyBorder="1"/>
    <xf numFmtId="0" fontId="1" fillId="4" borderId="2" xfId="0" applyFont="1" applyFill="1" applyBorder="1"/>
    <xf numFmtId="0" fontId="1" fillId="4" borderId="3" xfId="0" applyFont="1" applyFill="1" applyBorder="1"/>
    <xf numFmtId="0" fontId="4" fillId="0" borderId="0" xfId="0" applyFont="1"/>
    <xf numFmtId="0" fontId="0" fillId="0" borderId="0" xfId="0" applyBorder="1" applyAlignment="1">
      <alignment vertical="center" wrapText="1"/>
    </xf>
    <xf numFmtId="2" fontId="0" fillId="0" borderId="5" xfId="0" applyNumberFormat="1" applyFill="1" applyBorder="1" applyAlignment="1">
      <alignment horizontal="center" vertical="center"/>
    </xf>
    <xf numFmtId="0" fontId="0" fillId="0" borderId="0" xfId="0" applyFill="1"/>
    <xf numFmtId="2" fontId="0" fillId="0" borderId="7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2" fontId="0" fillId="0" borderId="9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2" fontId="0" fillId="0" borderId="5" xfId="0" applyNumberFormat="1" applyFont="1" applyFill="1" applyBorder="1" applyAlignment="1">
      <alignment horizontal="center" vertical="center"/>
    </xf>
    <xf numFmtId="2" fontId="0" fillId="0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7" xfId="0" applyNumberFormat="1" applyFont="1" applyFill="1" applyBorder="1" applyAlignment="1">
      <alignment horizontal="center" vertical="center"/>
    </xf>
    <xf numFmtId="2" fontId="0" fillId="0" borderId="9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7" xfId="0" applyNumberFormat="1" applyFont="1" applyFill="1" applyBorder="1" applyAlignment="1">
      <alignment vertical="center" wrapText="1"/>
    </xf>
    <xf numFmtId="22" fontId="0" fillId="0" borderId="0" xfId="0" applyNumberFormat="1"/>
    <xf numFmtId="3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0" xfId="0" applyFont="1"/>
    <xf numFmtId="0" fontId="8" fillId="6" borderId="0" xfId="0" applyFont="1" applyFill="1"/>
    <xf numFmtId="0" fontId="0" fillId="6" borderId="0" xfId="0" applyFill="1"/>
    <xf numFmtId="0" fontId="8" fillId="7" borderId="0" xfId="0" applyFont="1" applyFill="1"/>
    <xf numFmtId="0" fontId="0" fillId="7" borderId="0" xfId="0" applyFill="1"/>
    <xf numFmtId="0" fontId="8" fillId="0" borderId="0" xfId="0" applyFont="1"/>
    <xf numFmtId="0" fontId="1" fillId="6" borderId="15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7" borderId="17" xfId="0" applyFont="1" applyFill="1" applyBorder="1"/>
    <xf numFmtId="0" fontId="1" fillId="7" borderId="18" xfId="0" applyFont="1" applyFill="1" applyBorder="1"/>
    <xf numFmtId="0" fontId="17" fillId="0" borderId="0" xfId="0" applyFont="1" applyAlignment="1">
      <alignment horizontal="center"/>
    </xf>
    <xf numFmtId="0" fontId="1" fillId="6" borderId="19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1" fillId="7" borderId="21" xfId="0" applyFont="1" applyFill="1" applyBorder="1"/>
    <xf numFmtId="0" fontId="18" fillId="0" borderId="0" xfId="0" applyFont="1"/>
    <xf numFmtId="0" fontId="2" fillId="2" borderId="0" xfId="0" applyFont="1" applyFill="1"/>
    <xf numFmtId="0" fontId="0" fillId="2" borderId="0" xfId="0" applyFill="1"/>
    <xf numFmtId="0" fontId="1" fillId="7" borderId="22" xfId="0" applyFont="1" applyFill="1" applyBorder="1"/>
    <xf numFmtId="0" fontId="0" fillId="5" borderId="23" xfId="0" applyFill="1" applyBorder="1"/>
    <xf numFmtId="0" fontId="19" fillId="5" borderId="23" xfId="0" applyFont="1" applyFill="1" applyBorder="1" applyAlignment="1">
      <alignment horizontal="center"/>
    </xf>
    <xf numFmtId="0" fontId="19" fillId="5" borderId="0" xfId="0" applyFont="1" applyFill="1" applyBorder="1" applyAlignment="1">
      <alignment horizontal="center"/>
    </xf>
    <xf numFmtId="2" fontId="0" fillId="0" borderId="0" xfId="0" applyNumberFormat="1"/>
    <xf numFmtId="0" fontId="0" fillId="7" borderId="24" xfId="0" applyFill="1" applyBorder="1"/>
    <xf numFmtId="0" fontId="1" fillId="7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vertical="top"/>
    </xf>
    <xf numFmtId="165" fontId="1" fillId="7" borderId="0" xfId="0" applyNumberFormat="1" applyFont="1" applyFill="1" applyBorder="1" applyAlignment="1">
      <alignment vertical="top"/>
    </xf>
    <xf numFmtId="164" fontId="1" fillId="7" borderId="27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ont="1" applyBorder="1" applyAlignment="1">
      <alignment vertical="top"/>
    </xf>
    <xf numFmtId="0" fontId="1" fillId="7" borderId="22" xfId="0" applyFont="1" applyFill="1" applyBorder="1" applyAlignment="1">
      <alignment vertical="top"/>
    </xf>
    <xf numFmtId="165" fontId="1" fillId="7" borderId="28" xfId="0" applyNumberFormat="1" applyFont="1" applyFill="1" applyBorder="1" applyAlignment="1">
      <alignment vertical="top"/>
    </xf>
    <xf numFmtId="164" fontId="1" fillId="7" borderId="29" xfId="0" applyNumberFormat="1" applyFont="1" applyFill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center"/>
    </xf>
    <xf numFmtId="1" fontId="0" fillId="0" borderId="10" xfId="0" applyNumberFormat="1" applyBorder="1"/>
    <xf numFmtId="0" fontId="0" fillId="0" borderId="10" xfId="0" applyBorder="1"/>
    <xf numFmtId="22" fontId="0" fillId="0" borderId="10" xfId="0" applyNumberFormat="1" applyBorder="1"/>
    <xf numFmtId="3" fontId="0" fillId="0" borderId="10" xfId="0" applyNumberFormat="1" applyBorder="1"/>
    <xf numFmtId="0" fontId="0" fillId="3" borderId="10" xfId="0" applyFill="1" applyBorder="1"/>
    <xf numFmtId="22" fontId="0" fillId="0" borderId="0" xfId="0" applyNumberFormat="1" applyBorder="1"/>
    <xf numFmtId="3" fontId="0" fillId="0" borderId="0" xfId="0" applyNumberFormat="1" applyBorder="1"/>
    <xf numFmtId="0" fontId="0" fillId="0" borderId="30" xfId="0" applyBorder="1"/>
    <xf numFmtId="22" fontId="0" fillId="0" borderId="30" xfId="0" applyNumberFormat="1" applyBorder="1"/>
    <xf numFmtId="3" fontId="0" fillId="0" borderId="30" xfId="0" applyNumberFormat="1" applyBorder="1"/>
    <xf numFmtId="1" fontId="0" fillId="0" borderId="0" xfId="0" applyNumberFormat="1" applyBorder="1"/>
    <xf numFmtId="1" fontId="0" fillId="2" borderId="10" xfId="0" applyNumberFormat="1" applyFill="1" applyBorder="1"/>
    <xf numFmtId="0" fontId="1" fillId="0" borderId="0" xfId="0" applyFont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2" fontId="0" fillId="0" borderId="5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2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2" fontId="0" fillId="0" borderId="7" xfId="0" applyNumberFormat="1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3" borderId="0" xfId="0" applyFill="1" applyBorder="1"/>
    <xf numFmtId="0" fontId="17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3" borderId="3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1" fillId="9" borderId="34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center"/>
    </xf>
    <xf numFmtId="0" fontId="1" fillId="9" borderId="32" xfId="0" applyFont="1" applyFill="1" applyBorder="1" applyAlignment="1">
      <alignment horizontal="left"/>
    </xf>
    <xf numFmtId="0" fontId="1" fillId="9" borderId="33" xfId="0" applyFont="1" applyFill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1" fillId="9" borderId="3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2" fontId="0" fillId="0" borderId="31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7" xfId="0" applyNumberFormat="1" applyBorder="1" applyAlignment="1">
      <alignment horizontal="center" vertical="center"/>
    </xf>
    <xf numFmtId="0" fontId="0" fillId="0" borderId="31" xfId="0" applyNumberFormat="1" applyBorder="1" applyAlignment="1">
      <alignment horizontal="center"/>
    </xf>
    <xf numFmtId="1" fontId="0" fillId="0" borderId="5" xfId="0" applyNumberFormat="1" applyFont="1" applyFill="1" applyBorder="1" applyAlignment="1">
      <alignment horizontal="center" vertical="center"/>
    </xf>
    <xf numFmtId="1" fontId="0" fillId="0" borderId="2" xfId="0" applyNumberFormat="1" applyFont="1" applyFill="1" applyBorder="1" applyAlignment="1">
      <alignment horizontal="center" vertical="center"/>
    </xf>
    <xf numFmtId="1" fontId="0" fillId="0" borderId="7" xfId="0" applyNumberFormat="1" applyFont="1" applyFill="1" applyBorder="1" applyAlignment="1">
      <alignment horizontal="center" vertical="center"/>
    </xf>
    <xf numFmtId="0" fontId="0" fillId="3" borderId="36" xfId="0" applyFill="1" applyBorder="1"/>
    <xf numFmtId="1" fontId="0" fillId="0" borderId="36" xfId="0" applyNumberFormat="1" applyBorder="1"/>
    <xf numFmtId="2" fontId="0" fillId="0" borderId="36" xfId="0" applyNumberFormat="1" applyBorder="1"/>
    <xf numFmtId="0" fontId="0" fillId="0" borderId="36" xfId="0" applyBorder="1"/>
    <xf numFmtId="0" fontId="0" fillId="3" borderId="34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left" vertical="center"/>
    </xf>
    <xf numFmtId="0" fontId="1" fillId="3" borderId="32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167" fontId="0" fillId="0" borderId="31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2" xfId="0" applyNumberFormat="1" applyFont="1" applyFill="1" applyBorder="1" applyAlignment="1">
      <alignment horizontal="center" vertical="center"/>
    </xf>
    <xf numFmtId="167" fontId="0" fillId="0" borderId="5" xfId="0" applyNumberFormat="1" applyFont="1" applyFill="1" applyBorder="1" applyAlignment="1">
      <alignment horizontal="center" vertical="center"/>
    </xf>
    <xf numFmtId="167" fontId="0" fillId="0" borderId="7" xfId="0" applyNumberFormat="1" applyFont="1" applyFill="1" applyBorder="1" applyAlignment="1">
      <alignment horizontal="center" vertical="center"/>
    </xf>
    <xf numFmtId="167" fontId="0" fillId="0" borderId="2" xfId="0" applyNumberFormat="1" applyFont="1" applyFill="1" applyBorder="1" applyAlignment="1">
      <alignment horizontal="center" vertical="center" wrapText="1"/>
    </xf>
    <xf numFmtId="167" fontId="0" fillId="0" borderId="5" xfId="0" applyNumberFormat="1" applyFont="1" applyFill="1" applyBorder="1" applyAlignment="1">
      <alignment horizontal="center" vertical="center" wrapText="1"/>
    </xf>
    <xf numFmtId="167" fontId="0" fillId="0" borderId="7" xfId="0" applyNumberFormat="1" applyFont="1" applyFill="1" applyBorder="1" applyAlignment="1">
      <alignment horizontal="center" vertical="center" wrapText="1"/>
    </xf>
    <xf numFmtId="1" fontId="0" fillId="0" borderId="37" xfId="0" applyNumberFormat="1" applyBorder="1" applyAlignment="1">
      <alignment horizontal="center" vertical="center"/>
    </xf>
    <xf numFmtId="1" fontId="0" fillId="0" borderId="38" xfId="0" applyNumberFormat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25" fillId="0" borderId="2" xfId="0" applyNumberFormat="1" applyFont="1" applyBorder="1" applyAlignment="1">
      <alignment horizontal="center"/>
    </xf>
    <xf numFmtId="1" fontId="25" fillId="0" borderId="7" xfId="0" applyNumberFormat="1" applyFont="1" applyBorder="1" applyAlignment="1">
      <alignment horizontal="center"/>
    </xf>
    <xf numFmtId="1" fontId="25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1% CO2 samples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OD!$B$1</c:f>
              <c:strCache>
                <c:ptCount val="1"/>
                <c:pt idx="0">
                  <c:v>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OD!$A$2:$A$3</c:f>
              <c:numCache>
                <c:formatCode>General</c:formatCode>
                <c:ptCount val="2"/>
                <c:pt idx="0">
                  <c:v>0</c:v>
                </c:pt>
                <c:pt idx="1">
                  <c:v>21.75</c:v>
                </c:pt>
              </c:numCache>
            </c:numRef>
          </c:xVal>
          <c:yVal>
            <c:numRef>
              <c:f>OD!$B$2:$B$3</c:f>
              <c:numCache>
                <c:formatCode>General</c:formatCode>
                <c:ptCount val="2"/>
                <c:pt idx="0">
                  <c:v>6.0199999999999997E-2</c:v>
                </c:pt>
                <c:pt idx="1">
                  <c:v>0.95611999999999997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9-4117-94F7-3A14F549B646}"/>
            </c:ext>
          </c:extLst>
        </c:ser>
        <c:ser>
          <c:idx val="1"/>
          <c:order val="1"/>
          <c:tx>
            <c:strRef>
              <c:f>OD!$C$1</c:f>
              <c:strCache>
                <c:ptCount val="1"/>
                <c:pt idx="0">
                  <c:v>s2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OD!$A$2:$A$3</c:f>
              <c:numCache>
                <c:formatCode>General</c:formatCode>
                <c:ptCount val="2"/>
                <c:pt idx="0">
                  <c:v>0</c:v>
                </c:pt>
                <c:pt idx="1">
                  <c:v>21.75</c:v>
                </c:pt>
              </c:numCache>
            </c:numRef>
          </c:xVal>
          <c:yVal>
            <c:numRef>
              <c:f>OD!$C$2:$C$3</c:f>
              <c:numCache>
                <c:formatCode>General</c:formatCode>
                <c:ptCount val="2"/>
                <c:pt idx="0">
                  <c:v>6.0199999999999997E-2</c:v>
                </c:pt>
                <c:pt idx="1">
                  <c:v>0.84772000000000003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89-4117-94F7-3A14F549B646}"/>
            </c:ext>
          </c:extLst>
        </c:ser>
        <c:ser>
          <c:idx val="2"/>
          <c:order val="2"/>
          <c:tx>
            <c:strRef>
              <c:f>OD!$D$1</c:f>
              <c:strCache>
                <c:ptCount val="1"/>
                <c:pt idx="0">
                  <c:v>s3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OD!$A$2:$A$3</c:f>
              <c:numCache>
                <c:formatCode>General</c:formatCode>
                <c:ptCount val="2"/>
                <c:pt idx="0">
                  <c:v>0</c:v>
                </c:pt>
                <c:pt idx="1">
                  <c:v>21.75</c:v>
                </c:pt>
              </c:numCache>
            </c:numRef>
          </c:xVal>
          <c:yVal>
            <c:numRef>
              <c:f>OD!$D$2:$D$3</c:f>
              <c:numCache>
                <c:formatCode>General</c:formatCode>
                <c:ptCount val="2"/>
                <c:pt idx="0">
                  <c:v>6.0199999999999997E-2</c:v>
                </c:pt>
                <c:pt idx="1">
                  <c:v>1.0460799999999999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89-4117-94F7-3A14F549B646}"/>
            </c:ext>
          </c:extLst>
        </c:ser>
        <c:ser>
          <c:idx val="3"/>
          <c:order val="3"/>
          <c:tx>
            <c:strRef>
              <c:f>OD!$E$1</c:f>
              <c:strCache>
                <c:ptCount val="1"/>
                <c:pt idx="0">
                  <c:v>s4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OD!$A$2:$A$3</c:f>
              <c:numCache>
                <c:formatCode>General</c:formatCode>
                <c:ptCount val="2"/>
                <c:pt idx="0">
                  <c:v>0</c:v>
                </c:pt>
                <c:pt idx="1">
                  <c:v>21.75</c:v>
                </c:pt>
              </c:numCache>
            </c:numRef>
          </c:xVal>
          <c:yVal>
            <c:numRef>
              <c:f>OD!$E$2:$E$3</c:f>
              <c:numCache>
                <c:formatCode>General</c:formatCode>
                <c:ptCount val="2"/>
                <c:pt idx="0">
                  <c:v>6.0199999999999997E-2</c:v>
                </c:pt>
                <c:pt idx="1">
                  <c:v>0.98419999999999996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89-4117-94F7-3A14F549B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684496"/>
        <c:axId val="431689416"/>
      </c:scatterChart>
      <c:valAx>
        <c:axId val="43168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9416"/>
        <c:crosses val="autoZero"/>
        <c:crossBetween val="midCat"/>
      </c:valAx>
      <c:valAx>
        <c:axId val="43168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68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15%CO2 samples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OD!$G$1</c:f>
              <c:strCache>
                <c:ptCount val="1"/>
                <c:pt idx="0">
                  <c:v>s5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OD!$F$2:$F$3</c:f>
              <c:numCache>
                <c:formatCode>General</c:formatCode>
                <c:ptCount val="2"/>
                <c:pt idx="0">
                  <c:v>0</c:v>
                </c:pt>
                <c:pt idx="1">
                  <c:v>27.5</c:v>
                </c:pt>
              </c:numCache>
            </c:numRef>
          </c:xVal>
          <c:yVal>
            <c:numRef>
              <c:f>OD!$G$2:$G$3</c:f>
              <c:numCache>
                <c:formatCode>General</c:formatCode>
                <c:ptCount val="2"/>
                <c:pt idx="0">
                  <c:v>6.3280000000000003E-2</c:v>
                </c:pt>
                <c:pt idx="1">
                  <c:v>0.83696000000000004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55-47F8-954C-C6BFA1E86A7A}"/>
            </c:ext>
          </c:extLst>
        </c:ser>
        <c:ser>
          <c:idx val="1"/>
          <c:order val="1"/>
          <c:tx>
            <c:strRef>
              <c:f>OD!$H$1</c:f>
              <c:strCache>
                <c:ptCount val="1"/>
                <c:pt idx="0">
                  <c:v>s6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OD!$F$2:$F$3</c:f>
              <c:numCache>
                <c:formatCode>General</c:formatCode>
                <c:ptCount val="2"/>
                <c:pt idx="0">
                  <c:v>0</c:v>
                </c:pt>
                <c:pt idx="1">
                  <c:v>27.5</c:v>
                </c:pt>
              </c:numCache>
            </c:numRef>
          </c:xVal>
          <c:yVal>
            <c:numRef>
              <c:f>OD!$H$2:$H$3</c:f>
              <c:numCache>
                <c:formatCode>General</c:formatCode>
                <c:ptCount val="2"/>
                <c:pt idx="0">
                  <c:v>6.3280000000000003E-2</c:v>
                </c:pt>
                <c:pt idx="1">
                  <c:v>0.96711999999999998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55-47F8-954C-C6BFA1E86A7A}"/>
            </c:ext>
          </c:extLst>
        </c:ser>
        <c:ser>
          <c:idx val="2"/>
          <c:order val="2"/>
          <c:tx>
            <c:strRef>
              <c:f>OD!$I$1</c:f>
              <c:strCache>
                <c:ptCount val="1"/>
                <c:pt idx="0">
                  <c:v>s7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OD!$F$2:$F$3</c:f>
              <c:numCache>
                <c:formatCode>General</c:formatCode>
                <c:ptCount val="2"/>
                <c:pt idx="0">
                  <c:v>0</c:v>
                </c:pt>
                <c:pt idx="1">
                  <c:v>27.5</c:v>
                </c:pt>
              </c:numCache>
            </c:numRef>
          </c:xVal>
          <c:yVal>
            <c:numRef>
              <c:f>OD!$I$2:$I$3</c:f>
              <c:numCache>
                <c:formatCode>General</c:formatCode>
                <c:ptCount val="2"/>
                <c:pt idx="0">
                  <c:v>6.3280000000000003E-2</c:v>
                </c:pt>
                <c:pt idx="1">
                  <c:v>0.97436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55-47F8-954C-C6BFA1E86A7A}"/>
            </c:ext>
          </c:extLst>
        </c:ser>
        <c:ser>
          <c:idx val="3"/>
          <c:order val="3"/>
          <c:tx>
            <c:strRef>
              <c:f>OD!$J$1</c:f>
              <c:strCache>
                <c:ptCount val="1"/>
                <c:pt idx="0">
                  <c:v>s8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OD!$F$2:$F$3</c:f>
              <c:numCache>
                <c:formatCode>General</c:formatCode>
                <c:ptCount val="2"/>
                <c:pt idx="0">
                  <c:v>0</c:v>
                </c:pt>
                <c:pt idx="1">
                  <c:v>27.5</c:v>
                </c:pt>
              </c:numCache>
            </c:numRef>
          </c:xVal>
          <c:yVal>
            <c:numRef>
              <c:f>OD!$J$2:$J$3</c:f>
              <c:numCache>
                <c:formatCode>General</c:formatCode>
                <c:ptCount val="2"/>
                <c:pt idx="0">
                  <c:v>6.3280000000000003E-2</c:v>
                </c:pt>
                <c:pt idx="1">
                  <c:v>0.92132000000000003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55-47F8-954C-C6BFA1E86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921840"/>
        <c:axId val="431926104"/>
      </c:scatterChart>
      <c:valAx>
        <c:axId val="43192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6104"/>
        <c:crosses val="autoZero"/>
        <c:crossBetween val="midCat"/>
      </c:valAx>
      <c:valAx>
        <c:axId val="431926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lines</a:t>
            </a:r>
          </a:p>
        </c:rich>
      </c:tx>
      <c:layout>
        <c:manualLayout>
          <c:xMode val="edge"/>
          <c:yMode val="edge"/>
          <c:x val="0.36010806722491179"/>
          <c:y val="2.5127459201678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152707377468284E-2"/>
          <c:y val="0.2222897159621624"/>
          <c:w val="0.89403125413765661"/>
          <c:h val="0.669003742171075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'Growth rates'!$B$1</c:f>
              <c:strCache>
                <c:ptCount val="1"/>
                <c:pt idx="0">
                  <c:v>s1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72336655584929832"/>
                  <c:y val="-0.310584997717220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rates'!$B$2:$B$4</c:f>
              <c:numCache>
                <c:formatCode>General</c:formatCode>
                <c:ptCount val="3"/>
                <c:pt idx="0">
                  <c:v>6.0199999999999997E-2</c:v>
                </c:pt>
                <c:pt idx="1">
                  <c:v>0.95611999999999997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F4-4D71-9DFF-13191BC9BB96}"/>
            </c:ext>
          </c:extLst>
        </c:ser>
        <c:ser>
          <c:idx val="1"/>
          <c:order val="1"/>
          <c:tx>
            <c:strRef>
              <c:f>'Growth rates'!$C$1</c:f>
              <c:strCache>
                <c:ptCount val="1"/>
                <c:pt idx="0">
                  <c:v>s2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69310340601709031"/>
                  <c:y val="-0.285299437099737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rates'!$C$2:$C$4</c:f>
              <c:numCache>
                <c:formatCode>General</c:formatCode>
                <c:ptCount val="3"/>
                <c:pt idx="0">
                  <c:v>6.0199999999999997E-2</c:v>
                </c:pt>
                <c:pt idx="1">
                  <c:v>0.84772000000000003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F4-4D71-9DFF-13191BC9BB96}"/>
            </c:ext>
          </c:extLst>
        </c:ser>
        <c:ser>
          <c:idx val="2"/>
          <c:order val="2"/>
          <c:tx>
            <c:strRef>
              <c:f>'Growth rates'!$D$1</c:f>
              <c:strCache>
                <c:ptCount val="1"/>
                <c:pt idx="0">
                  <c:v>s3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64554702770933492"/>
                  <c:y val="-0.214824665289646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rates'!$D$2:$D$4</c:f>
              <c:numCache>
                <c:formatCode>General</c:formatCode>
                <c:ptCount val="3"/>
                <c:pt idx="0">
                  <c:v>6.0199999999999997E-2</c:v>
                </c:pt>
                <c:pt idx="1">
                  <c:v>1.0460799999999999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F4-4D71-9DFF-13191BC9BB96}"/>
            </c:ext>
          </c:extLst>
        </c:ser>
        <c:ser>
          <c:idx val="3"/>
          <c:order val="3"/>
          <c:tx>
            <c:strRef>
              <c:f>'Growth rates'!$E$1</c:f>
              <c:strCache>
                <c:ptCount val="1"/>
                <c:pt idx="0">
                  <c:v>s4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59799064940157942"/>
                  <c:y val="-0.17285414549248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rates'!$E$2:$E$4</c:f>
              <c:numCache>
                <c:formatCode>General</c:formatCode>
                <c:ptCount val="3"/>
                <c:pt idx="0">
                  <c:v>6.0199999999999997E-2</c:v>
                </c:pt>
                <c:pt idx="1">
                  <c:v>0.98419999999999996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F4-4D71-9DFF-13191BC9BB96}"/>
            </c:ext>
          </c:extLst>
        </c:ser>
        <c:ser>
          <c:idx val="4"/>
          <c:order val="4"/>
          <c:tx>
            <c:strRef>
              <c:f>'Growth rates'!$F$1</c:f>
              <c:strCache>
                <c:ptCount val="1"/>
                <c:pt idx="0">
                  <c:v>s5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1810355920513778"/>
                  <c:y val="-0.4201710221754935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rates'!$F$2:$F$4</c:f>
              <c:numCache>
                <c:formatCode>General</c:formatCode>
                <c:ptCount val="3"/>
                <c:pt idx="0">
                  <c:v>6.3280000000000003E-2</c:v>
                </c:pt>
                <c:pt idx="2">
                  <c:v>0.83696000000000004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F4-4D71-9DFF-13191BC9BB96}"/>
            </c:ext>
          </c:extLst>
        </c:ser>
        <c:ser>
          <c:idx val="5"/>
          <c:order val="5"/>
          <c:tx>
            <c:strRef>
              <c:f>'Growth rates'!$G$1</c:f>
              <c:strCache>
                <c:ptCount val="1"/>
                <c:pt idx="0">
                  <c:v>s6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5.1092298862391521E-2"/>
                  <c:y val="-0.361443065178871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rates'!$G$2:$G$4</c:f>
              <c:numCache>
                <c:formatCode>General</c:formatCode>
                <c:ptCount val="3"/>
                <c:pt idx="0">
                  <c:v>6.3280000000000003E-2</c:v>
                </c:pt>
                <c:pt idx="2">
                  <c:v>0.96711999999999998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F4-4D71-9DFF-13191BC9BB96}"/>
            </c:ext>
          </c:extLst>
        </c:ser>
        <c:ser>
          <c:idx val="6"/>
          <c:order val="6"/>
          <c:tx>
            <c:strRef>
              <c:f>'Growth rates'!$H$1</c:f>
              <c:strCache>
                <c:ptCount val="1"/>
                <c:pt idx="0">
                  <c:v>s7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2.9490401236942419E-3"/>
                  <c:y val="-0.313637972105786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rates'!$H$2:$H$4</c:f>
              <c:numCache>
                <c:formatCode>General</c:formatCode>
                <c:ptCount val="3"/>
                <c:pt idx="0">
                  <c:v>6.3280000000000003E-2</c:v>
                </c:pt>
                <c:pt idx="2">
                  <c:v>0.97436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F4-4D71-9DFF-13191BC9BB96}"/>
            </c:ext>
          </c:extLst>
        </c:ser>
        <c:ser>
          <c:idx val="7"/>
          <c:order val="7"/>
          <c:tx>
            <c:strRef>
              <c:f>'Growth rates'!$I$1</c:f>
              <c:strCache>
                <c:ptCount val="1"/>
                <c:pt idx="0">
                  <c:v>s8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5.2667071990893141E-2"/>
                  <c:y val="-0.264913464766321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'Growth rates'!$A$2:$A$4</c:f>
              <c:numCache>
                <c:formatCode>General</c:formatCode>
                <c:ptCount val="3"/>
                <c:pt idx="0">
                  <c:v>0</c:v>
                </c:pt>
                <c:pt idx="1">
                  <c:v>21.75</c:v>
                </c:pt>
                <c:pt idx="2">
                  <c:v>27.5</c:v>
                </c:pt>
              </c:numCache>
            </c:numRef>
          </c:xVal>
          <c:yVal>
            <c:numRef>
              <c:f>'Growth rates'!$I$2:$I$4</c:f>
              <c:numCache>
                <c:formatCode>General</c:formatCode>
                <c:ptCount val="3"/>
                <c:pt idx="0">
                  <c:v>6.3280000000000003E-2</c:v>
                </c:pt>
                <c:pt idx="2">
                  <c:v>0.92132000000000003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F4-4D71-9DFF-13191BC9B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840768"/>
        <c:axId val="553846344"/>
      </c:scatterChart>
      <c:valAx>
        <c:axId val="55384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46344"/>
        <c:crosses val="autoZero"/>
        <c:crossBetween val="midCat"/>
      </c:valAx>
      <c:valAx>
        <c:axId val="5538463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84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 spect OD1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'Pigments graph'!$P$1</c:f>
              <c:strCache>
                <c:ptCount val="1"/>
                <c:pt idx="0">
                  <c:v>S4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'Pigments graph'!$L$2:$L$402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'Pigments graph'!$P$2:$P$402</c:f>
              <c:numCache>
                <c:formatCode>General</c:formatCode>
                <c:ptCount val="401"/>
                <c:pt idx="0">
                  <c:v>1.20472</c:v>
                </c:pt>
                <c:pt idx="1">
                  <c:v>1.2057599999999999</c:v>
                </c:pt>
                <c:pt idx="2">
                  <c:v>1.2075199999999999</c:v>
                </c:pt>
                <c:pt idx="3">
                  <c:v>1.2083600000000001</c:v>
                </c:pt>
                <c:pt idx="4">
                  <c:v>1.21008</c:v>
                </c:pt>
                <c:pt idx="5">
                  <c:v>1.21312</c:v>
                </c:pt>
                <c:pt idx="6">
                  <c:v>1.2143600000000001</c:v>
                </c:pt>
                <c:pt idx="7">
                  <c:v>1.2174799999999999</c:v>
                </c:pt>
                <c:pt idx="8">
                  <c:v>1.2203200000000001</c:v>
                </c:pt>
                <c:pt idx="9">
                  <c:v>1.2228399999999999</c:v>
                </c:pt>
                <c:pt idx="10">
                  <c:v>1.2270399999999999</c:v>
                </c:pt>
                <c:pt idx="11">
                  <c:v>1.23024</c:v>
                </c:pt>
                <c:pt idx="12">
                  <c:v>1.2334000000000001</c:v>
                </c:pt>
                <c:pt idx="13">
                  <c:v>1.23692</c:v>
                </c:pt>
                <c:pt idx="14">
                  <c:v>1.2410399999999999</c:v>
                </c:pt>
                <c:pt idx="15">
                  <c:v>1.24352</c:v>
                </c:pt>
                <c:pt idx="16">
                  <c:v>1.2463200000000001</c:v>
                </c:pt>
                <c:pt idx="17">
                  <c:v>1.25</c:v>
                </c:pt>
                <c:pt idx="18">
                  <c:v>1.25292</c:v>
                </c:pt>
                <c:pt idx="19">
                  <c:v>1.2554799999999999</c:v>
                </c:pt>
                <c:pt idx="20">
                  <c:v>1.25684</c:v>
                </c:pt>
                <c:pt idx="21">
                  <c:v>1.2589600000000001</c:v>
                </c:pt>
                <c:pt idx="22">
                  <c:v>1.25932</c:v>
                </c:pt>
                <c:pt idx="23">
                  <c:v>1.26196</c:v>
                </c:pt>
                <c:pt idx="24">
                  <c:v>1.2643599999999999</c:v>
                </c:pt>
                <c:pt idx="25">
                  <c:v>1.2647600000000001</c:v>
                </c:pt>
                <c:pt idx="26">
                  <c:v>1.2664</c:v>
                </c:pt>
                <c:pt idx="27">
                  <c:v>1.2683199999999999</c:v>
                </c:pt>
                <c:pt idx="28">
                  <c:v>1.2707999999999999</c:v>
                </c:pt>
                <c:pt idx="29">
                  <c:v>1.27336</c:v>
                </c:pt>
                <c:pt idx="30">
                  <c:v>1.2762</c:v>
                </c:pt>
                <c:pt idx="31">
                  <c:v>1.2805200000000001</c:v>
                </c:pt>
                <c:pt idx="32">
                  <c:v>1.28352</c:v>
                </c:pt>
                <c:pt idx="33">
                  <c:v>1.2878000000000001</c:v>
                </c:pt>
                <c:pt idx="34">
                  <c:v>1.29216</c:v>
                </c:pt>
                <c:pt idx="35">
                  <c:v>1.29644</c:v>
                </c:pt>
                <c:pt idx="36">
                  <c:v>1.3002400000000001</c:v>
                </c:pt>
                <c:pt idx="37">
                  <c:v>1.3042800000000001</c:v>
                </c:pt>
                <c:pt idx="38">
                  <c:v>1.3080000000000001</c:v>
                </c:pt>
                <c:pt idx="39">
                  <c:v>1.3111999999999999</c:v>
                </c:pt>
                <c:pt idx="40">
                  <c:v>1.3129200000000001</c:v>
                </c:pt>
                <c:pt idx="41">
                  <c:v>1.3153600000000001</c:v>
                </c:pt>
                <c:pt idx="42">
                  <c:v>1.3155600000000001</c:v>
                </c:pt>
                <c:pt idx="43">
                  <c:v>1.3156000000000001</c:v>
                </c:pt>
                <c:pt idx="44">
                  <c:v>1.3142</c:v>
                </c:pt>
                <c:pt idx="45">
                  <c:v>1.3126800000000001</c:v>
                </c:pt>
                <c:pt idx="46">
                  <c:v>1.30932</c:v>
                </c:pt>
                <c:pt idx="47">
                  <c:v>1.3051600000000001</c:v>
                </c:pt>
                <c:pt idx="48">
                  <c:v>1.3000400000000001</c:v>
                </c:pt>
                <c:pt idx="49">
                  <c:v>1.2945599999999999</c:v>
                </c:pt>
                <c:pt idx="50">
                  <c:v>1.2883199999999999</c:v>
                </c:pt>
                <c:pt idx="51">
                  <c:v>1.28264</c:v>
                </c:pt>
                <c:pt idx="52">
                  <c:v>1.2771600000000001</c:v>
                </c:pt>
                <c:pt idx="53">
                  <c:v>1.2714399999999999</c:v>
                </c:pt>
                <c:pt idx="54">
                  <c:v>1.26692</c:v>
                </c:pt>
                <c:pt idx="55">
                  <c:v>1.2620800000000001</c:v>
                </c:pt>
                <c:pt idx="56">
                  <c:v>1.2569600000000001</c:v>
                </c:pt>
                <c:pt idx="57">
                  <c:v>1.25396</c:v>
                </c:pt>
                <c:pt idx="58">
                  <c:v>1.25048</c:v>
                </c:pt>
                <c:pt idx="59">
                  <c:v>1.2474799999999999</c:v>
                </c:pt>
                <c:pt idx="60">
                  <c:v>1.2445200000000001</c:v>
                </c:pt>
                <c:pt idx="61">
                  <c:v>1.2432799999999999</c:v>
                </c:pt>
                <c:pt idx="62">
                  <c:v>1.2410399999999999</c:v>
                </c:pt>
                <c:pt idx="63">
                  <c:v>1.23872</c:v>
                </c:pt>
                <c:pt idx="64">
                  <c:v>1.2372000000000001</c:v>
                </c:pt>
                <c:pt idx="65">
                  <c:v>1.2352799999999999</c:v>
                </c:pt>
                <c:pt idx="66">
                  <c:v>1.23332</c:v>
                </c:pt>
                <c:pt idx="67">
                  <c:v>1.2316800000000001</c:v>
                </c:pt>
                <c:pt idx="68">
                  <c:v>1.2297199999999999</c:v>
                </c:pt>
                <c:pt idx="69">
                  <c:v>1.2278</c:v>
                </c:pt>
                <c:pt idx="70">
                  <c:v>1.2256400000000001</c:v>
                </c:pt>
                <c:pt idx="71">
                  <c:v>1.2239199999999999</c:v>
                </c:pt>
                <c:pt idx="72">
                  <c:v>1.2218</c:v>
                </c:pt>
                <c:pt idx="73">
                  <c:v>1.2205999999999999</c:v>
                </c:pt>
                <c:pt idx="74">
                  <c:v>1.2183999999999999</c:v>
                </c:pt>
                <c:pt idx="75">
                  <c:v>1.2159599999999999</c:v>
                </c:pt>
                <c:pt idx="76">
                  <c:v>1.2139200000000001</c:v>
                </c:pt>
                <c:pt idx="77">
                  <c:v>1.21248</c:v>
                </c:pt>
                <c:pt idx="78">
                  <c:v>1.21088</c:v>
                </c:pt>
                <c:pt idx="79">
                  <c:v>1.2094</c:v>
                </c:pt>
                <c:pt idx="80">
                  <c:v>1.2074</c:v>
                </c:pt>
                <c:pt idx="81">
                  <c:v>1.20644</c:v>
                </c:pt>
                <c:pt idx="82">
                  <c:v>1.2054400000000001</c:v>
                </c:pt>
                <c:pt idx="83">
                  <c:v>1.20452</c:v>
                </c:pt>
                <c:pt idx="84">
                  <c:v>1.2032</c:v>
                </c:pt>
                <c:pt idx="85">
                  <c:v>1.2028799999999999</c:v>
                </c:pt>
                <c:pt idx="86">
                  <c:v>1.2026399999999999</c:v>
                </c:pt>
                <c:pt idx="87">
                  <c:v>1.2027600000000001</c:v>
                </c:pt>
                <c:pt idx="88">
                  <c:v>1.2016</c:v>
                </c:pt>
                <c:pt idx="89">
                  <c:v>1.2014</c:v>
                </c:pt>
                <c:pt idx="90">
                  <c:v>1.2015199999999999</c:v>
                </c:pt>
                <c:pt idx="91">
                  <c:v>1.20076</c:v>
                </c:pt>
                <c:pt idx="92">
                  <c:v>1.20044</c:v>
                </c:pt>
                <c:pt idx="93">
                  <c:v>1.2005600000000001</c:v>
                </c:pt>
                <c:pt idx="94">
                  <c:v>1.2001200000000001</c:v>
                </c:pt>
                <c:pt idx="95">
                  <c:v>1.1994800000000001</c:v>
                </c:pt>
                <c:pt idx="96">
                  <c:v>1.19916</c:v>
                </c:pt>
                <c:pt idx="97">
                  <c:v>1.1981999999999999</c:v>
                </c:pt>
                <c:pt idx="98">
                  <c:v>1.19652</c:v>
                </c:pt>
                <c:pt idx="99">
                  <c:v>1.1952400000000001</c:v>
                </c:pt>
                <c:pt idx="100">
                  <c:v>1.1939599999999999</c:v>
                </c:pt>
                <c:pt idx="101">
                  <c:v>1.1925600000000001</c:v>
                </c:pt>
                <c:pt idx="102">
                  <c:v>1.19092</c:v>
                </c:pt>
                <c:pt idx="103">
                  <c:v>1.18892</c:v>
                </c:pt>
                <c:pt idx="104">
                  <c:v>1.18672</c:v>
                </c:pt>
                <c:pt idx="105">
                  <c:v>1.18408</c:v>
                </c:pt>
                <c:pt idx="106">
                  <c:v>1.18184</c:v>
                </c:pt>
                <c:pt idx="107">
                  <c:v>1.1788799999999999</c:v>
                </c:pt>
                <c:pt idx="108">
                  <c:v>1.1766399999999999</c:v>
                </c:pt>
                <c:pt idx="109">
                  <c:v>1.17364</c:v>
                </c:pt>
                <c:pt idx="110">
                  <c:v>1.17072</c:v>
                </c:pt>
                <c:pt idx="111">
                  <c:v>1.1674</c:v>
                </c:pt>
                <c:pt idx="112">
                  <c:v>1.1641999999999999</c:v>
                </c:pt>
                <c:pt idx="113">
                  <c:v>1.16124</c:v>
                </c:pt>
                <c:pt idx="114">
                  <c:v>1.15808</c:v>
                </c:pt>
                <c:pt idx="115">
                  <c:v>1.1548400000000001</c:v>
                </c:pt>
                <c:pt idx="116">
                  <c:v>1.15144</c:v>
                </c:pt>
                <c:pt idx="117">
                  <c:v>1.14808</c:v>
                </c:pt>
                <c:pt idx="118">
                  <c:v>1.1446000000000001</c:v>
                </c:pt>
                <c:pt idx="119">
                  <c:v>1.1412800000000001</c:v>
                </c:pt>
                <c:pt idx="120">
                  <c:v>1.1379999999999999</c:v>
                </c:pt>
                <c:pt idx="121">
                  <c:v>1.1346000000000001</c:v>
                </c:pt>
                <c:pt idx="122">
                  <c:v>1.1312800000000001</c:v>
                </c:pt>
                <c:pt idx="123">
                  <c:v>1.1282799999999999</c:v>
                </c:pt>
                <c:pt idx="124">
                  <c:v>1.1255599999999999</c:v>
                </c:pt>
                <c:pt idx="125">
                  <c:v>1.12256</c:v>
                </c:pt>
                <c:pt idx="126">
                  <c:v>1.1192800000000001</c:v>
                </c:pt>
                <c:pt idx="127">
                  <c:v>1.1166400000000001</c:v>
                </c:pt>
                <c:pt idx="128">
                  <c:v>1.11372</c:v>
                </c:pt>
                <c:pt idx="129">
                  <c:v>1.1115600000000001</c:v>
                </c:pt>
                <c:pt idx="130">
                  <c:v>1.10876</c:v>
                </c:pt>
                <c:pt idx="131">
                  <c:v>1.1065199999999999</c:v>
                </c:pt>
                <c:pt idx="132">
                  <c:v>1.1042000000000001</c:v>
                </c:pt>
                <c:pt idx="133">
                  <c:v>1.10168</c:v>
                </c:pt>
                <c:pt idx="134">
                  <c:v>1.09924</c:v>
                </c:pt>
                <c:pt idx="135">
                  <c:v>1.0969199999999999</c:v>
                </c:pt>
                <c:pt idx="136">
                  <c:v>1.09504</c:v>
                </c:pt>
                <c:pt idx="137">
                  <c:v>1.0924799999999999</c:v>
                </c:pt>
                <c:pt idx="138">
                  <c:v>1.09056</c:v>
                </c:pt>
                <c:pt idx="139">
                  <c:v>1.089</c:v>
                </c:pt>
                <c:pt idx="140">
                  <c:v>1.0869200000000001</c:v>
                </c:pt>
                <c:pt idx="141">
                  <c:v>1.0851999999999999</c:v>
                </c:pt>
                <c:pt idx="142">
                  <c:v>1.0838000000000001</c:v>
                </c:pt>
                <c:pt idx="143">
                  <c:v>1.08192</c:v>
                </c:pt>
                <c:pt idx="144">
                  <c:v>1.0804</c:v>
                </c:pt>
                <c:pt idx="145">
                  <c:v>1.07924</c:v>
                </c:pt>
                <c:pt idx="146">
                  <c:v>1.07744</c:v>
                </c:pt>
                <c:pt idx="147">
                  <c:v>1.0762400000000001</c:v>
                </c:pt>
                <c:pt idx="148">
                  <c:v>1.07484</c:v>
                </c:pt>
                <c:pt idx="149">
                  <c:v>1.07368</c:v>
                </c:pt>
                <c:pt idx="150">
                  <c:v>1.0723199999999999</c:v>
                </c:pt>
                <c:pt idx="151">
                  <c:v>1.07104</c:v>
                </c:pt>
                <c:pt idx="152">
                  <c:v>1.0702400000000001</c:v>
                </c:pt>
                <c:pt idx="153">
                  <c:v>1.0689599999999999</c:v>
                </c:pt>
                <c:pt idx="154">
                  <c:v>1.0682400000000001</c:v>
                </c:pt>
                <c:pt idx="155">
                  <c:v>1.0674399999999999</c:v>
                </c:pt>
                <c:pt idx="156">
                  <c:v>1.0665199999999999</c:v>
                </c:pt>
                <c:pt idx="157">
                  <c:v>1.06568</c:v>
                </c:pt>
                <c:pt idx="158">
                  <c:v>1.0654399999999999</c:v>
                </c:pt>
                <c:pt idx="159">
                  <c:v>1.06464</c:v>
                </c:pt>
                <c:pt idx="160">
                  <c:v>1.06456</c:v>
                </c:pt>
                <c:pt idx="161">
                  <c:v>1.06392</c:v>
                </c:pt>
                <c:pt idx="162">
                  <c:v>1.06372</c:v>
                </c:pt>
                <c:pt idx="163">
                  <c:v>1.0633999999999999</c:v>
                </c:pt>
                <c:pt idx="164">
                  <c:v>1.0642</c:v>
                </c:pt>
                <c:pt idx="165">
                  <c:v>1.0633999999999999</c:v>
                </c:pt>
                <c:pt idx="166">
                  <c:v>1.06352</c:v>
                </c:pt>
                <c:pt idx="167">
                  <c:v>1.0638000000000001</c:v>
                </c:pt>
                <c:pt idx="168">
                  <c:v>1.0640799999999999</c:v>
                </c:pt>
                <c:pt idx="169">
                  <c:v>1.0644</c:v>
                </c:pt>
                <c:pt idx="170">
                  <c:v>1.0648</c:v>
                </c:pt>
                <c:pt idx="171">
                  <c:v>1.0654399999999999</c:v>
                </c:pt>
                <c:pt idx="172">
                  <c:v>1.06616</c:v>
                </c:pt>
                <c:pt idx="173">
                  <c:v>1.06684</c:v>
                </c:pt>
                <c:pt idx="174">
                  <c:v>1.06792</c:v>
                </c:pt>
                <c:pt idx="175">
                  <c:v>1.0686</c:v>
                </c:pt>
                <c:pt idx="176">
                  <c:v>1.0696399999999999</c:v>
                </c:pt>
                <c:pt idx="177">
                  <c:v>1.0703199999999999</c:v>
                </c:pt>
                <c:pt idx="178">
                  <c:v>1.0711200000000001</c:v>
                </c:pt>
                <c:pt idx="179">
                  <c:v>1.07216</c:v>
                </c:pt>
                <c:pt idx="180">
                  <c:v>1.0729200000000001</c:v>
                </c:pt>
                <c:pt idx="181">
                  <c:v>1.0733600000000001</c:v>
                </c:pt>
                <c:pt idx="182">
                  <c:v>1.0740400000000001</c:v>
                </c:pt>
                <c:pt idx="183">
                  <c:v>1.07484</c:v>
                </c:pt>
                <c:pt idx="184">
                  <c:v>1.07544</c:v>
                </c:pt>
                <c:pt idx="185">
                  <c:v>1.07576</c:v>
                </c:pt>
                <c:pt idx="186">
                  <c:v>1.0765199999999999</c:v>
                </c:pt>
                <c:pt idx="187">
                  <c:v>1.0771599999999999</c:v>
                </c:pt>
                <c:pt idx="188">
                  <c:v>1.07728</c:v>
                </c:pt>
                <c:pt idx="189">
                  <c:v>1.0778000000000001</c:v>
                </c:pt>
                <c:pt idx="190">
                  <c:v>1.0784400000000001</c:v>
                </c:pt>
                <c:pt idx="191">
                  <c:v>1.0786800000000001</c:v>
                </c:pt>
                <c:pt idx="192">
                  <c:v>1.0793999999999999</c:v>
                </c:pt>
                <c:pt idx="193">
                  <c:v>1.0798399999999999</c:v>
                </c:pt>
                <c:pt idx="194">
                  <c:v>1.08</c:v>
                </c:pt>
                <c:pt idx="195">
                  <c:v>1.0803199999999999</c:v>
                </c:pt>
                <c:pt idx="196">
                  <c:v>1.08064</c:v>
                </c:pt>
                <c:pt idx="197">
                  <c:v>1.0809200000000001</c:v>
                </c:pt>
                <c:pt idx="198">
                  <c:v>1.0813600000000001</c:v>
                </c:pt>
                <c:pt idx="199">
                  <c:v>1.0818000000000001</c:v>
                </c:pt>
                <c:pt idx="200">
                  <c:v>1.0822000000000001</c:v>
                </c:pt>
                <c:pt idx="201">
                  <c:v>1.0827599999999999</c:v>
                </c:pt>
                <c:pt idx="202">
                  <c:v>1.0835600000000001</c:v>
                </c:pt>
                <c:pt idx="203">
                  <c:v>1.0844800000000001</c:v>
                </c:pt>
                <c:pt idx="204">
                  <c:v>1.08508</c:v>
                </c:pt>
                <c:pt idx="205">
                  <c:v>1.08612</c:v>
                </c:pt>
                <c:pt idx="206">
                  <c:v>1.0873999999999999</c:v>
                </c:pt>
                <c:pt idx="207">
                  <c:v>1.0891599999999999</c:v>
                </c:pt>
                <c:pt idx="208">
                  <c:v>1.0906800000000001</c:v>
                </c:pt>
                <c:pt idx="209">
                  <c:v>1.0931999999999999</c:v>
                </c:pt>
                <c:pt idx="210">
                  <c:v>1.0949199999999999</c:v>
                </c:pt>
                <c:pt idx="211">
                  <c:v>1.0977600000000001</c:v>
                </c:pt>
                <c:pt idx="212">
                  <c:v>1.1004</c:v>
                </c:pt>
                <c:pt idx="213">
                  <c:v>1.10364</c:v>
                </c:pt>
                <c:pt idx="214">
                  <c:v>1.1073599999999999</c:v>
                </c:pt>
                <c:pt idx="215">
                  <c:v>1.1109599999999999</c:v>
                </c:pt>
                <c:pt idx="216">
                  <c:v>1.11452</c:v>
                </c:pt>
                <c:pt idx="217">
                  <c:v>1.1186</c:v>
                </c:pt>
                <c:pt idx="218">
                  <c:v>1.1226799999999999</c:v>
                </c:pt>
                <c:pt idx="219">
                  <c:v>1.1272</c:v>
                </c:pt>
                <c:pt idx="220">
                  <c:v>1.13164</c:v>
                </c:pt>
                <c:pt idx="221">
                  <c:v>1.1361600000000001</c:v>
                </c:pt>
                <c:pt idx="222">
                  <c:v>1.1406799999999999</c:v>
                </c:pt>
                <c:pt idx="223">
                  <c:v>1.14568</c:v>
                </c:pt>
                <c:pt idx="224">
                  <c:v>1.15056</c:v>
                </c:pt>
                <c:pt idx="225">
                  <c:v>1.1557200000000001</c:v>
                </c:pt>
                <c:pt idx="226">
                  <c:v>1.16052</c:v>
                </c:pt>
                <c:pt idx="227">
                  <c:v>1.1650400000000001</c:v>
                </c:pt>
                <c:pt idx="228">
                  <c:v>1.1695599999999999</c:v>
                </c:pt>
                <c:pt idx="229">
                  <c:v>1.1733199999999999</c:v>
                </c:pt>
                <c:pt idx="230">
                  <c:v>1.1775599999999999</c:v>
                </c:pt>
                <c:pt idx="231">
                  <c:v>1.18116</c:v>
                </c:pt>
                <c:pt idx="232">
                  <c:v>1.18408</c:v>
                </c:pt>
                <c:pt idx="233">
                  <c:v>1.1866000000000001</c:v>
                </c:pt>
                <c:pt idx="234">
                  <c:v>1.1893199999999999</c:v>
                </c:pt>
                <c:pt idx="235">
                  <c:v>1.19068</c:v>
                </c:pt>
                <c:pt idx="236">
                  <c:v>1.19184</c:v>
                </c:pt>
                <c:pt idx="237">
                  <c:v>1.1924399999999999</c:v>
                </c:pt>
                <c:pt idx="238">
                  <c:v>1.19276</c:v>
                </c:pt>
                <c:pt idx="239">
                  <c:v>1.1921999999999999</c:v>
                </c:pt>
                <c:pt idx="240">
                  <c:v>1.1912400000000001</c:v>
                </c:pt>
                <c:pt idx="241">
                  <c:v>1.18964</c:v>
                </c:pt>
                <c:pt idx="242">
                  <c:v>1.1875199999999999</c:v>
                </c:pt>
                <c:pt idx="243">
                  <c:v>1.18544</c:v>
                </c:pt>
                <c:pt idx="244">
                  <c:v>1.1828799999999999</c:v>
                </c:pt>
                <c:pt idx="245">
                  <c:v>1.1801600000000001</c:v>
                </c:pt>
                <c:pt idx="246">
                  <c:v>1.177</c:v>
                </c:pt>
                <c:pt idx="247">
                  <c:v>1.1736</c:v>
                </c:pt>
                <c:pt idx="248">
                  <c:v>1.1706399999999999</c:v>
                </c:pt>
                <c:pt idx="249">
                  <c:v>1.1674800000000001</c:v>
                </c:pt>
                <c:pt idx="250">
                  <c:v>1.1639600000000001</c:v>
                </c:pt>
                <c:pt idx="251">
                  <c:v>1.1606000000000001</c:v>
                </c:pt>
                <c:pt idx="252">
                  <c:v>1.1573599999999999</c:v>
                </c:pt>
                <c:pt idx="253">
                  <c:v>1.1537999999999999</c:v>
                </c:pt>
                <c:pt idx="254">
                  <c:v>1.1504399999999999</c:v>
                </c:pt>
                <c:pt idx="255">
                  <c:v>1.1473199999999999</c:v>
                </c:pt>
                <c:pt idx="256">
                  <c:v>1.1446000000000001</c:v>
                </c:pt>
                <c:pt idx="257">
                  <c:v>1.1417200000000001</c:v>
                </c:pt>
                <c:pt idx="258">
                  <c:v>1.1390800000000001</c:v>
                </c:pt>
                <c:pt idx="259">
                  <c:v>1.1370800000000001</c:v>
                </c:pt>
                <c:pt idx="260">
                  <c:v>1.13548</c:v>
                </c:pt>
                <c:pt idx="261">
                  <c:v>1.13428</c:v>
                </c:pt>
                <c:pt idx="262">
                  <c:v>1.1341600000000001</c:v>
                </c:pt>
                <c:pt idx="263">
                  <c:v>1.13428</c:v>
                </c:pt>
                <c:pt idx="264">
                  <c:v>1.13524</c:v>
                </c:pt>
                <c:pt idx="265">
                  <c:v>1.1368400000000001</c:v>
                </c:pt>
                <c:pt idx="266">
                  <c:v>1.13916</c:v>
                </c:pt>
                <c:pt idx="267">
                  <c:v>1.1419600000000001</c:v>
                </c:pt>
                <c:pt idx="268">
                  <c:v>1.1453199999999999</c:v>
                </c:pt>
                <c:pt idx="269">
                  <c:v>1.1488</c:v>
                </c:pt>
                <c:pt idx="270">
                  <c:v>1.1528799999999999</c:v>
                </c:pt>
                <c:pt idx="271">
                  <c:v>1.1566799999999999</c:v>
                </c:pt>
                <c:pt idx="272">
                  <c:v>1.16052</c:v>
                </c:pt>
                <c:pt idx="273">
                  <c:v>1.1643600000000001</c:v>
                </c:pt>
                <c:pt idx="274">
                  <c:v>1.1684000000000001</c:v>
                </c:pt>
                <c:pt idx="275">
                  <c:v>1.17248</c:v>
                </c:pt>
                <c:pt idx="276">
                  <c:v>1.1766799999999999</c:v>
                </c:pt>
                <c:pt idx="277">
                  <c:v>1.1810799999999999</c:v>
                </c:pt>
                <c:pt idx="278">
                  <c:v>1.1859599999999999</c:v>
                </c:pt>
                <c:pt idx="279">
                  <c:v>1.19024</c:v>
                </c:pt>
                <c:pt idx="280">
                  <c:v>1.19408</c:v>
                </c:pt>
                <c:pt idx="281">
                  <c:v>1.1974</c:v>
                </c:pt>
                <c:pt idx="282">
                  <c:v>1.19916</c:v>
                </c:pt>
                <c:pt idx="283">
                  <c:v>1.1997199999999999</c:v>
                </c:pt>
                <c:pt idx="284">
                  <c:v>1.1983600000000001</c:v>
                </c:pt>
                <c:pt idx="285">
                  <c:v>1.19556</c:v>
                </c:pt>
                <c:pt idx="286">
                  <c:v>1.1916</c:v>
                </c:pt>
                <c:pt idx="287">
                  <c:v>1.1861600000000001</c:v>
                </c:pt>
                <c:pt idx="288">
                  <c:v>1.1795199999999999</c:v>
                </c:pt>
                <c:pt idx="289">
                  <c:v>1.1721200000000001</c:v>
                </c:pt>
                <c:pt idx="290">
                  <c:v>1.1635599999999999</c:v>
                </c:pt>
                <c:pt idx="291">
                  <c:v>1.15456</c:v>
                </c:pt>
                <c:pt idx="292">
                  <c:v>1.1457999999999999</c:v>
                </c:pt>
                <c:pt idx="293">
                  <c:v>1.1370800000000001</c:v>
                </c:pt>
                <c:pt idx="294">
                  <c:v>1.12768</c:v>
                </c:pt>
                <c:pt idx="295">
                  <c:v>1.11896</c:v>
                </c:pt>
                <c:pt idx="296">
                  <c:v>1.1102799999999999</c:v>
                </c:pt>
                <c:pt idx="297">
                  <c:v>1.1020000000000001</c:v>
                </c:pt>
                <c:pt idx="298">
                  <c:v>1.0946800000000001</c:v>
                </c:pt>
                <c:pt idx="299">
                  <c:v>1.08728</c:v>
                </c:pt>
                <c:pt idx="300">
                  <c:v>1.0802799999999999</c:v>
                </c:pt>
                <c:pt idx="301">
                  <c:v>1.0740799999999999</c:v>
                </c:pt>
                <c:pt idx="302">
                  <c:v>1.0680400000000001</c:v>
                </c:pt>
                <c:pt idx="303">
                  <c:v>1.06264</c:v>
                </c:pt>
                <c:pt idx="304">
                  <c:v>1.0576000000000001</c:v>
                </c:pt>
                <c:pt idx="305">
                  <c:v>1.0527200000000001</c:v>
                </c:pt>
                <c:pt idx="306">
                  <c:v>1.0480799999999999</c:v>
                </c:pt>
                <c:pt idx="307">
                  <c:v>1.04376</c:v>
                </c:pt>
                <c:pt idx="308">
                  <c:v>1.0398000000000001</c:v>
                </c:pt>
                <c:pt idx="309">
                  <c:v>1.0358799999999999</c:v>
                </c:pt>
                <c:pt idx="310">
                  <c:v>1.0322800000000001</c:v>
                </c:pt>
                <c:pt idx="311">
                  <c:v>1.0292399999999999</c:v>
                </c:pt>
                <c:pt idx="312">
                  <c:v>1.0258</c:v>
                </c:pt>
                <c:pt idx="313">
                  <c:v>1.0226</c:v>
                </c:pt>
                <c:pt idx="314">
                  <c:v>1.0196400000000001</c:v>
                </c:pt>
                <c:pt idx="315">
                  <c:v>1.0169600000000001</c:v>
                </c:pt>
                <c:pt idx="316">
                  <c:v>1.0140400000000001</c:v>
                </c:pt>
                <c:pt idx="317">
                  <c:v>1.0119199999999999</c:v>
                </c:pt>
                <c:pt idx="318">
                  <c:v>1.0091600000000001</c:v>
                </c:pt>
                <c:pt idx="319">
                  <c:v>1.0067200000000001</c:v>
                </c:pt>
                <c:pt idx="320">
                  <c:v>1.00396</c:v>
                </c:pt>
                <c:pt idx="321">
                  <c:v>1.002</c:v>
                </c:pt>
                <c:pt idx="322">
                  <c:v>1</c:v>
                </c:pt>
                <c:pt idx="323">
                  <c:v>0.99768000000000001</c:v>
                </c:pt>
                <c:pt idx="324">
                  <c:v>0.99568000000000001</c:v>
                </c:pt>
                <c:pt idx="325">
                  <c:v>0.99372000000000005</c:v>
                </c:pt>
                <c:pt idx="326">
                  <c:v>0.99143999999999999</c:v>
                </c:pt>
                <c:pt idx="327">
                  <c:v>0.98963999999999996</c:v>
                </c:pt>
                <c:pt idx="328">
                  <c:v>0.98780000000000001</c:v>
                </c:pt>
                <c:pt idx="329">
                  <c:v>0.98572000000000004</c:v>
                </c:pt>
                <c:pt idx="330">
                  <c:v>0.98419999999999996</c:v>
                </c:pt>
                <c:pt idx="331">
                  <c:v>0.98216000000000003</c:v>
                </c:pt>
                <c:pt idx="332">
                  <c:v>0.98036000000000001</c:v>
                </c:pt>
                <c:pt idx="333">
                  <c:v>0.97911999999999999</c:v>
                </c:pt>
                <c:pt idx="334">
                  <c:v>0.97728000000000004</c:v>
                </c:pt>
                <c:pt idx="335">
                  <c:v>0.97552000000000005</c:v>
                </c:pt>
                <c:pt idx="336">
                  <c:v>0.97375999999999996</c:v>
                </c:pt>
                <c:pt idx="337">
                  <c:v>0.97216000000000002</c:v>
                </c:pt>
                <c:pt idx="338">
                  <c:v>0.97028000000000003</c:v>
                </c:pt>
                <c:pt idx="339">
                  <c:v>0.96828000000000003</c:v>
                </c:pt>
                <c:pt idx="340">
                  <c:v>0.96716000000000002</c:v>
                </c:pt>
                <c:pt idx="341">
                  <c:v>0.96555999999999997</c:v>
                </c:pt>
                <c:pt idx="342">
                  <c:v>0.96364000000000005</c:v>
                </c:pt>
                <c:pt idx="343">
                  <c:v>0.96228000000000002</c:v>
                </c:pt>
                <c:pt idx="344">
                  <c:v>0.96052000000000004</c:v>
                </c:pt>
                <c:pt idx="345">
                  <c:v>0.95911999999999997</c:v>
                </c:pt>
                <c:pt idx="346">
                  <c:v>0.95760000000000001</c:v>
                </c:pt>
                <c:pt idx="347">
                  <c:v>0.95611999999999997</c:v>
                </c:pt>
                <c:pt idx="348">
                  <c:v>0.9546</c:v>
                </c:pt>
                <c:pt idx="349">
                  <c:v>0.95320000000000005</c:v>
                </c:pt>
                <c:pt idx="350">
                  <c:v>0.95152000000000003</c:v>
                </c:pt>
                <c:pt idx="351">
                  <c:v>0.95011999999999996</c:v>
                </c:pt>
                <c:pt idx="352">
                  <c:v>0.94867999999999997</c:v>
                </c:pt>
                <c:pt idx="353">
                  <c:v>0.94767999999999997</c:v>
                </c:pt>
                <c:pt idx="354">
                  <c:v>0.94603999999999999</c:v>
                </c:pt>
                <c:pt idx="355">
                  <c:v>0.94440000000000002</c:v>
                </c:pt>
                <c:pt idx="356">
                  <c:v>0.94311999999999996</c:v>
                </c:pt>
                <c:pt idx="357">
                  <c:v>0.94140000000000001</c:v>
                </c:pt>
                <c:pt idx="358">
                  <c:v>0.93976000000000004</c:v>
                </c:pt>
                <c:pt idx="359">
                  <c:v>0.93884000000000001</c:v>
                </c:pt>
                <c:pt idx="360">
                  <c:v>0.93732000000000004</c:v>
                </c:pt>
                <c:pt idx="361">
                  <c:v>0.93608000000000002</c:v>
                </c:pt>
                <c:pt idx="362">
                  <c:v>0.93467999999999996</c:v>
                </c:pt>
                <c:pt idx="363">
                  <c:v>0.93335999999999997</c:v>
                </c:pt>
                <c:pt idx="364">
                  <c:v>0.93208000000000002</c:v>
                </c:pt>
                <c:pt idx="365">
                  <c:v>0.93059999999999998</c:v>
                </c:pt>
                <c:pt idx="366">
                  <c:v>0.92964000000000002</c:v>
                </c:pt>
                <c:pt idx="367">
                  <c:v>0.92811999999999995</c:v>
                </c:pt>
                <c:pt idx="368">
                  <c:v>0.92667999999999995</c:v>
                </c:pt>
                <c:pt idx="369">
                  <c:v>0.92559999999999998</c:v>
                </c:pt>
                <c:pt idx="370">
                  <c:v>0.92420000000000002</c:v>
                </c:pt>
                <c:pt idx="371">
                  <c:v>0.92296</c:v>
                </c:pt>
                <c:pt idx="372">
                  <c:v>0.92176000000000002</c:v>
                </c:pt>
                <c:pt idx="373">
                  <c:v>0.9204</c:v>
                </c:pt>
                <c:pt idx="374">
                  <c:v>0.91908000000000001</c:v>
                </c:pt>
                <c:pt idx="375">
                  <c:v>0.91779999999999995</c:v>
                </c:pt>
                <c:pt idx="376">
                  <c:v>0.91664000000000001</c:v>
                </c:pt>
                <c:pt idx="377">
                  <c:v>0.91576000000000002</c:v>
                </c:pt>
                <c:pt idx="378">
                  <c:v>0.91432000000000002</c:v>
                </c:pt>
                <c:pt idx="379">
                  <c:v>0.91279999999999994</c:v>
                </c:pt>
                <c:pt idx="380">
                  <c:v>0.91191999999999995</c:v>
                </c:pt>
                <c:pt idx="381">
                  <c:v>0.91064000000000001</c:v>
                </c:pt>
                <c:pt idx="382">
                  <c:v>0.90915999999999997</c:v>
                </c:pt>
                <c:pt idx="383">
                  <c:v>0.90808</c:v>
                </c:pt>
                <c:pt idx="384">
                  <c:v>0.90680000000000005</c:v>
                </c:pt>
                <c:pt idx="385">
                  <c:v>0.90556000000000003</c:v>
                </c:pt>
                <c:pt idx="386">
                  <c:v>0.90439999999999998</c:v>
                </c:pt>
                <c:pt idx="387">
                  <c:v>0.90307999999999999</c:v>
                </c:pt>
                <c:pt idx="388">
                  <c:v>0.90183999999999997</c:v>
                </c:pt>
                <c:pt idx="389">
                  <c:v>0.90080000000000005</c:v>
                </c:pt>
                <c:pt idx="390">
                  <c:v>0.89915999999999996</c:v>
                </c:pt>
                <c:pt idx="391">
                  <c:v>0.8982</c:v>
                </c:pt>
                <c:pt idx="392">
                  <c:v>0.89692000000000005</c:v>
                </c:pt>
                <c:pt idx="393">
                  <c:v>0.89568000000000003</c:v>
                </c:pt>
                <c:pt idx="394">
                  <c:v>0.89448000000000005</c:v>
                </c:pt>
                <c:pt idx="395">
                  <c:v>0.89324000000000003</c:v>
                </c:pt>
                <c:pt idx="396">
                  <c:v>0.89244000000000001</c:v>
                </c:pt>
                <c:pt idx="397">
                  <c:v>0.89124000000000003</c:v>
                </c:pt>
                <c:pt idx="398">
                  <c:v>0.89012000000000002</c:v>
                </c:pt>
                <c:pt idx="399">
                  <c:v>0.88904000000000005</c:v>
                </c:pt>
                <c:pt idx="400">
                  <c:v>0.88744000000000001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9D-4678-9013-2B0B0AFAC543}"/>
            </c:ext>
          </c:extLst>
        </c:ser>
        <c:ser>
          <c:idx val="1"/>
          <c:order val="1"/>
          <c:tx>
            <c:strRef>
              <c:f>'Pigments graph'!$Q$1</c:f>
              <c:strCache>
                <c:ptCount val="1"/>
                <c:pt idx="0">
                  <c:v>S5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'Pigments graph'!$L$2:$L$402</c:f>
              <c:numCache>
                <c:formatCode>General</c:formatCode>
                <c:ptCount val="401"/>
                <c:pt idx="0">
                  <c:v>400</c:v>
                </c:pt>
                <c:pt idx="1">
                  <c:v>401</c:v>
                </c:pt>
                <c:pt idx="2">
                  <c:v>402</c:v>
                </c:pt>
                <c:pt idx="3">
                  <c:v>403</c:v>
                </c:pt>
                <c:pt idx="4">
                  <c:v>404</c:v>
                </c:pt>
                <c:pt idx="5">
                  <c:v>405</c:v>
                </c:pt>
                <c:pt idx="6">
                  <c:v>406</c:v>
                </c:pt>
                <c:pt idx="7">
                  <c:v>407</c:v>
                </c:pt>
                <c:pt idx="8">
                  <c:v>408</c:v>
                </c:pt>
                <c:pt idx="9">
                  <c:v>409</c:v>
                </c:pt>
                <c:pt idx="10">
                  <c:v>410</c:v>
                </c:pt>
                <c:pt idx="11">
                  <c:v>411</c:v>
                </c:pt>
                <c:pt idx="12">
                  <c:v>412</c:v>
                </c:pt>
                <c:pt idx="13">
                  <c:v>413</c:v>
                </c:pt>
                <c:pt idx="14">
                  <c:v>414</c:v>
                </c:pt>
                <c:pt idx="15">
                  <c:v>415</c:v>
                </c:pt>
                <c:pt idx="16">
                  <c:v>416</c:v>
                </c:pt>
                <c:pt idx="17">
                  <c:v>417</c:v>
                </c:pt>
                <c:pt idx="18">
                  <c:v>418</c:v>
                </c:pt>
                <c:pt idx="19">
                  <c:v>419</c:v>
                </c:pt>
                <c:pt idx="20">
                  <c:v>420</c:v>
                </c:pt>
                <c:pt idx="21">
                  <c:v>421</c:v>
                </c:pt>
                <c:pt idx="22">
                  <c:v>422</c:v>
                </c:pt>
                <c:pt idx="23">
                  <c:v>423</c:v>
                </c:pt>
                <c:pt idx="24">
                  <c:v>424</c:v>
                </c:pt>
                <c:pt idx="25">
                  <c:v>425</c:v>
                </c:pt>
                <c:pt idx="26">
                  <c:v>426</c:v>
                </c:pt>
                <c:pt idx="27">
                  <c:v>427</c:v>
                </c:pt>
                <c:pt idx="28">
                  <c:v>428</c:v>
                </c:pt>
                <c:pt idx="29">
                  <c:v>429</c:v>
                </c:pt>
                <c:pt idx="30">
                  <c:v>430</c:v>
                </c:pt>
                <c:pt idx="31">
                  <c:v>431</c:v>
                </c:pt>
                <c:pt idx="32">
                  <c:v>432</c:v>
                </c:pt>
                <c:pt idx="33">
                  <c:v>433</c:v>
                </c:pt>
                <c:pt idx="34">
                  <c:v>434</c:v>
                </c:pt>
                <c:pt idx="35">
                  <c:v>435</c:v>
                </c:pt>
                <c:pt idx="36">
                  <c:v>436</c:v>
                </c:pt>
                <c:pt idx="37">
                  <c:v>437</c:v>
                </c:pt>
                <c:pt idx="38">
                  <c:v>438</c:v>
                </c:pt>
                <c:pt idx="39">
                  <c:v>439</c:v>
                </c:pt>
                <c:pt idx="40">
                  <c:v>440</c:v>
                </c:pt>
                <c:pt idx="41">
                  <c:v>441</c:v>
                </c:pt>
                <c:pt idx="42">
                  <c:v>442</c:v>
                </c:pt>
                <c:pt idx="43">
                  <c:v>443</c:v>
                </c:pt>
                <c:pt idx="44">
                  <c:v>444</c:v>
                </c:pt>
                <c:pt idx="45">
                  <c:v>445</c:v>
                </c:pt>
                <c:pt idx="46">
                  <c:v>446</c:v>
                </c:pt>
                <c:pt idx="47">
                  <c:v>447</c:v>
                </c:pt>
                <c:pt idx="48">
                  <c:v>448</c:v>
                </c:pt>
                <c:pt idx="49">
                  <c:v>449</c:v>
                </c:pt>
                <c:pt idx="50">
                  <c:v>450</c:v>
                </c:pt>
                <c:pt idx="51">
                  <c:v>451</c:v>
                </c:pt>
                <c:pt idx="52">
                  <c:v>452</c:v>
                </c:pt>
                <c:pt idx="53">
                  <c:v>453</c:v>
                </c:pt>
                <c:pt idx="54">
                  <c:v>454</c:v>
                </c:pt>
                <c:pt idx="55">
                  <c:v>455</c:v>
                </c:pt>
                <c:pt idx="56">
                  <c:v>456</c:v>
                </c:pt>
                <c:pt idx="57">
                  <c:v>457</c:v>
                </c:pt>
                <c:pt idx="58">
                  <c:v>458</c:v>
                </c:pt>
                <c:pt idx="59">
                  <c:v>459</c:v>
                </c:pt>
                <c:pt idx="60">
                  <c:v>460</c:v>
                </c:pt>
                <c:pt idx="61">
                  <c:v>461</c:v>
                </c:pt>
                <c:pt idx="62">
                  <c:v>462</c:v>
                </c:pt>
                <c:pt idx="63">
                  <c:v>463</c:v>
                </c:pt>
                <c:pt idx="64">
                  <c:v>464</c:v>
                </c:pt>
                <c:pt idx="65">
                  <c:v>465</c:v>
                </c:pt>
                <c:pt idx="66">
                  <c:v>466</c:v>
                </c:pt>
                <c:pt idx="67">
                  <c:v>467</c:v>
                </c:pt>
                <c:pt idx="68">
                  <c:v>468</c:v>
                </c:pt>
                <c:pt idx="69">
                  <c:v>469</c:v>
                </c:pt>
                <c:pt idx="70">
                  <c:v>470</c:v>
                </c:pt>
                <c:pt idx="71">
                  <c:v>471</c:v>
                </c:pt>
                <c:pt idx="72">
                  <c:v>472</c:v>
                </c:pt>
                <c:pt idx="73">
                  <c:v>473</c:v>
                </c:pt>
                <c:pt idx="74">
                  <c:v>474</c:v>
                </c:pt>
                <c:pt idx="75">
                  <c:v>475</c:v>
                </c:pt>
                <c:pt idx="76">
                  <c:v>476</c:v>
                </c:pt>
                <c:pt idx="77">
                  <c:v>477</c:v>
                </c:pt>
                <c:pt idx="78">
                  <c:v>478</c:v>
                </c:pt>
                <c:pt idx="79">
                  <c:v>479</c:v>
                </c:pt>
                <c:pt idx="80">
                  <c:v>480</c:v>
                </c:pt>
                <c:pt idx="81">
                  <c:v>481</c:v>
                </c:pt>
                <c:pt idx="82">
                  <c:v>482</c:v>
                </c:pt>
                <c:pt idx="83">
                  <c:v>483</c:v>
                </c:pt>
                <c:pt idx="84">
                  <c:v>484</c:v>
                </c:pt>
                <c:pt idx="85">
                  <c:v>485</c:v>
                </c:pt>
                <c:pt idx="86">
                  <c:v>486</c:v>
                </c:pt>
                <c:pt idx="87">
                  <c:v>487</c:v>
                </c:pt>
                <c:pt idx="88">
                  <c:v>488</c:v>
                </c:pt>
                <c:pt idx="89">
                  <c:v>489</c:v>
                </c:pt>
                <c:pt idx="90">
                  <c:v>490</c:v>
                </c:pt>
                <c:pt idx="91">
                  <c:v>491</c:v>
                </c:pt>
                <c:pt idx="92">
                  <c:v>492</c:v>
                </c:pt>
                <c:pt idx="93">
                  <c:v>493</c:v>
                </c:pt>
                <c:pt idx="94">
                  <c:v>494</c:v>
                </c:pt>
                <c:pt idx="95">
                  <c:v>495</c:v>
                </c:pt>
                <c:pt idx="96">
                  <c:v>496</c:v>
                </c:pt>
                <c:pt idx="97">
                  <c:v>497</c:v>
                </c:pt>
                <c:pt idx="98">
                  <c:v>498</c:v>
                </c:pt>
                <c:pt idx="99">
                  <c:v>499</c:v>
                </c:pt>
                <c:pt idx="100">
                  <c:v>500</c:v>
                </c:pt>
                <c:pt idx="101">
                  <c:v>501</c:v>
                </c:pt>
                <c:pt idx="102">
                  <c:v>502</c:v>
                </c:pt>
                <c:pt idx="103">
                  <c:v>503</c:v>
                </c:pt>
                <c:pt idx="104">
                  <c:v>504</c:v>
                </c:pt>
                <c:pt idx="105">
                  <c:v>505</c:v>
                </c:pt>
                <c:pt idx="106">
                  <c:v>506</c:v>
                </c:pt>
                <c:pt idx="107">
                  <c:v>507</c:v>
                </c:pt>
                <c:pt idx="108">
                  <c:v>508</c:v>
                </c:pt>
                <c:pt idx="109">
                  <c:v>509</c:v>
                </c:pt>
                <c:pt idx="110">
                  <c:v>510</c:v>
                </c:pt>
                <c:pt idx="111">
                  <c:v>511</c:v>
                </c:pt>
                <c:pt idx="112">
                  <c:v>512</c:v>
                </c:pt>
                <c:pt idx="113">
                  <c:v>513</c:v>
                </c:pt>
                <c:pt idx="114">
                  <c:v>514</c:v>
                </c:pt>
                <c:pt idx="115">
                  <c:v>515</c:v>
                </c:pt>
                <c:pt idx="116">
                  <c:v>516</c:v>
                </c:pt>
                <c:pt idx="117">
                  <c:v>517</c:v>
                </c:pt>
                <c:pt idx="118">
                  <c:v>518</c:v>
                </c:pt>
                <c:pt idx="119">
                  <c:v>519</c:v>
                </c:pt>
                <c:pt idx="120">
                  <c:v>520</c:v>
                </c:pt>
                <c:pt idx="121">
                  <c:v>521</c:v>
                </c:pt>
                <c:pt idx="122">
                  <c:v>522</c:v>
                </c:pt>
                <c:pt idx="123">
                  <c:v>523</c:v>
                </c:pt>
                <c:pt idx="124">
                  <c:v>524</c:v>
                </c:pt>
                <c:pt idx="125">
                  <c:v>525</c:v>
                </c:pt>
                <c:pt idx="126">
                  <c:v>526</c:v>
                </c:pt>
                <c:pt idx="127">
                  <c:v>527</c:v>
                </c:pt>
                <c:pt idx="128">
                  <c:v>528</c:v>
                </c:pt>
                <c:pt idx="129">
                  <c:v>529</c:v>
                </c:pt>
                <c:pt idx="130">
                  <c:v>530</c:v>
                </c:pt>
                <c:pt idx="131">
                  <c:v>531</c:v>
                </c:pt>
                <c:pt idx="132">
                  <c:v>532</c:v>
                </c:pt>
                <c:pt idx="133">
                  <c:v>533</c:v>
                </c:pt>
                <c:pt idx="134">
                  <c:v>534</c:v>
                </c:pt>
                <c:pt idx="135">
                  <c:v>535</c:v>
                </c:pt>
                <c:pt idx="136">
                  <c:v>536</c:v>
                </c:pt>
                <c:pt idx="137">
                  <c:v>537</c:v>
                </c:pt>
                <c:pt idx="138">
                  <c:v>538</c:v>
                </c:pt>
                <c:pt idx="139">
                  <c:v>539</c:v>
                </c:pt>
                <c:pt idx="140">
                  <c:v>540</c:v>
                </c:pt>
                <c:pt idx="141">
                  <c:v>541</c:v>
                </c:pt>
                <c:pt idx="142">
                  <c:v>542</c:v>
                </c:pt>
                <c:pt idx="143">
                  <c:v>543</c:v>
                </c:pt>
                <c:pt idx="144">
                  <c:v>544</c:v>
                </c:pt>
                <c:pt idx="145">
                  <c:v>545</c:v>
                </c:pt>
                <c:pt idx="146">
                  <c:v>546</c:v>
                </c:pt>
                <c:pt idx="147">
                  <c:v>547</c:v>
                </c:pt>
                <c:pt idx="148">
                  <c:v>548</c:v>
                </c:pt>
                <c:pt idx="149">
                  <c:v>549</c:v>
                </c:pt>
                <c:pt idx="150">
                  <c:v>550</c:v>
                </c:pt>
                <c:pt idx="151">
                  <c:v>551</c:v>
                </c:pt>
                <c:pt idx="152">
                  <c:v>552</c:v>
                </c:pt>
                <c:pt idx="153">
                  <c:v>553</c:v>
                </c:pt>
                <c:pt idx="154">
                  <c:v>554</c:v>
                </c:pt>
                <c:pt idx="155">
                  <c:v>555</c:v>
                </c:pt>
                <c:pt idx="156">
                  <c:v>556</c:v>
                </c:pt>
                <c:pt idx="157">
                  <c:v>557</c:v>
                </c:pt>
                <c:pt idx="158">
                  <c:v>558</c:v>
                </c:pt>
                <c:pt idx="159">
                  <c:v>559</c:v>
                </c:pt>
                <c:pt idx="160">
                  <c:v>560</c:v>
                </c:pt>
                <c:pt idx="161">
                  <c:v>561</c:v>
                </c:pt>
                <c:pt idx="162">
                  <c:v>562</c:v>
                </c:pt>
                <c:pt idx="163">
                  <c:v>563</c:v>
                </c:pt>
                <c:pt idx="164">
                  <c:v>564</c:v>
                </c:pt>
                <c:pt idx="165">
                  <c:v>565</c:v>
                </c:pt>
                <c:pt idx="166">
                  <c:v>566</c:v>
                </c:pt>
                <c:pt idx="167">
                  <c:v>567</c:v>
                </c:pt>
                <c:pt idx="168">
                  <c:v>568</c:v>
                </c:pt>
                <c:pt idx="169">
                  <c:v>569</c:v>
                </c:pt>
                <c:pt idx="170">
                  <c:v>570</c:v>
                </c:pt>
                <c:pt idx="171">
                  <c:v>571</c:v>
                </c:pt>
                <c:pt idx="172">
                  <c:v>572</c:v>
                </c:pt>
                <c:pt idx="173">
                  <c:v>573</c:v>
                </c:pt>
                <c:pt idx="174">
                  <c:v>574</c:v>
                </c:pt>
                <c:pt idx="175">
                  <c:v>575</c:v>
                </c:pt>
                <c:pt idx="176">
                  <c:v>576</c:v>
                </c:pt>
                <c:pt idx="177">
                  <c:v>577</c:v>
                </c:pt>
                <c:pt idx="178">
                  <c:v>578</c:v>
                </c:pt>
                <c:pt idx="179">
                  <c:v>579</c:v>
                </c:pt>
                <c:pt idx="180">
                  <c:v>580</c:v>
                </c:pt>
                <c:pt idx="181">
                  <c:v>581</c:v>
                </c:pt>
                <c:pt idx="182">
                  <c:v>582</c:v>
                </c:pt>
                <c:pt idx="183">
                  <c:v>583</c:v>
                </c:pt>
                <c:pt idx="184">
                  <c:v>584</c:v>
                </c:pt>
                <c:pt idx="185">
                  <c:v>585</c:v>
                </c:pt>
                <c:pt idx="186">
                  <c:v>586</c:v>
                </c:pt>
                <c:pt idx="187">
                  <c:v>587</c:v>
                </c:pt>
                <c:pt idx="188">
                  <c:v>588</c:v>
                </c:pt>
                <c:pt idx="189">
                  <c:v>589</c:v>
                </c:pt>
                <c:pt idx="190">
                  <c:v>590</c:v>
                </c:pt>
                <c:pt idx="191">
                  <c:v>591</c:v>
                </c:pt>
                <c:pt idx="192">
                  <c:v>592</c:v>
                </c:pt>
                <c:pt idx="193">
                  <c:v>593</c:v>
                </c:pt>
                <c:pt idx="194">
                  <c:v>594</c:v>
                </c:pt>
                <c:pt idx="195">
                  <c:v>595</c:v>
                </c:pt>
                <c:pt idx="196">
                  <c:v>596</c:v>
                </c:pt>
                <c:pt idx="197">
                  <c:v>597</c:v>
                </c:pt>
                <c:pt idx="198">
                  <c:v>598</c:v>
                </c:pt>
                <c:pt idx="199">
                  <c:v>599</c:v>
                </c:pt>
                <c:pt idx="200">
                  <c:v>600</c:v>
                </c:pt>
                <c:pt idx="201">
                  <c:v>601</c:v>
                </c:pt>
                <c:pt idx="202">
                  <c:v>602</c:v>
                </c:pt>
                <c:pt idx="203">
                  <c:v>603</c:v>
                </c:pt>
                <c:pt idx="204">
                  <c:v>604</c:v>
                </c:pt>
                <c:pt idx="205">
                  <c:v>605</c:v>
                </c:pt>
                <c:pt idx="206">
                  <c:v>606</c:v>
                </c:pt>
                <c:pt idx="207">
                  <c:v>607</c:v>
                </c:pt>
                <c:pt idx="208">
                  <c:v>608</c:v>
                </c:pt>
                <c:pt idx="209">
                  <c:v>609</c:v>
                </c:pt>
                <c:pt idx="210">
                  <c:v>610</c:v>
                </c:pt>
                <c:pt idx="211">
                  <c:v>611</c:v>
                </c:pt>
                <c:pt idx="212">
                  <c:v>612</c:v>
                </c:pt>
                <c:pt idx="213">
                  <c:v>613</c:v>
                </c:pt>
                <c:pt idx="214">
                  <c:v>614</c:v>
                </c:pt>
                <c:pt idx="215">
                  <c:v>615</c:v>
                </c:pt>
                <c:pt idx="216">
                  <c:v>616</c:v>
                </c:pt>
                <c:pt idx="217">
                  <c:v>617</c:v>
                </c:pt>
                <c:pt idx="218">
                  <c:v>618</c:v>
                </c:pt>
                <c:pt idx="219">
                  <c:v>619</c:v>
                </c:pt>
                <c:pt idx="220">
                  <c:v>620</c:v>
                </c:pt>
                <c:pt idx="221">
                  <c:v>621</c:v>
                </c:pt>
                <c:pt idx="222">
                  <c:v>622</c:v>
                </c:pt>
                <c:pt idx="223">
                  <c:v>623</c:v>
                </c:pt>
                <c:pt idx="224">
                  <c:v>624</c:v>
                </c:pt>
                <c:pt idx="225">
                  <c:v>625</c:v>
                </c:pt>
                <c:pt idx="226">
                  <c:v>626</c:v>
                </c:pt>
                <c:pt idx="227">
                  <c:v>627</c:v>
                </c:pt>
                <c:pt idx="228">
                  <c:v>628</c:v>
                </c:pt>
                <c:pt idx="229">
                  <c:v>629</c:v>
                </c:pt>
                <c:pt idx="230">
                  <c:v>630</c:v>
                </c:pt>
                <c:pt idx="231">
                  <c:v>631</c:v>
                </c:pt>
                <c:pt idx="232">
                  <c:v>632</c:v>
                </c:pt>
                <c:pt idx="233">
                  <c:v>633</c:v>
                </c:pt>
                <c:pt idx="234">
                  <c:v>634</c:v>
                </c:pt>
                <c:pt idx="235">
                  <c:v>635</c:v>
                </c:pt>
                <c:pt idx="236">
                  <c:v>636</c:v>
                </c:pt>
                <c:pt idx="237">
                  <c:v>637</c:v>
                </c:pt>
                <c:pt idx="238">
                  <c:v>638</c:v>
                </c:pt>
                <c:pt idx="239">
                  <c:v>639</c:v>
                </c:pt>
                <c:pt idx="240">
                  <c:v>640</c:v>
                </c:pt>
                <c:pt idx="241">
                  <c:v>641</c:v>
                </c:pt>
                <c:pt idx="242">
                  <c:v>642</c:v>
                </c:pt>
                <c:pt idx="243">
                  <c:v>643</c:v>
                </c:pt>
                <c:pt idx="244">
                  <c:v>644</c:v>
                </c:pt>
                <c:pt idx="245">
                  <c:v>645</c:v>
                </c:pt>
                <c:pt idx="246">
                  <c:v>646</c:v>
                </c:pt>
                <c:pt idx="247">
                  <c:v>647</c:v>
                </c:pt>
                <c:pt idx="248">
                  <c:v>648</c:v>
                </c:pt>
                <c:pt idx="249">
                  <c:v>649</c:v>
                </c:pt>
                <c:pt idx="250">
                  <c:v>650</c:v>
                </c:pt>
                <c:pt idx="251">
                  <c:v>651</c:v>
                </c:pt>
                <c:pt idx="252">
                  <c:v>652</c:v>
                </c:pt>
                <c:pt idx="253">
                  <c:v>653</c:v>
                </c:pt>
                <c:pt idx="254">
                  <c:v>654</c:v>
                </c:pt>
                <c:pt idx="255">
                  <c:v>655</c:v>
                </c:pt>
                <c:pt idx="256">
                  <c:v>656</c:v>
                </c:pt>
                <c:pt idx="257">
                  <c:v>657</c:v>
                </c:pt>
                <c:pt idx="258">
                  <c:v>658</c:v>
                </c:pt>
                <c:pt idx="259">
                  <c:v>659</c:v>
                </c:pt>
                <c:pt idx="260">
                  <c:v>660</c:v>
                </c:pt>
                <c:pt idx="261">
                  <c:v>661</c:v>
                </c:pt>
                <c:pt idx="262">
                  <c:v>662</c:v>
                </c:pt>
                <c:pt idx="263">
                  <c:v>663</c:v>
                </c:pt>
                <c:pt idx="264">
                  <c:v>664</c:v>
                </c:pt>
                <c:pt idx="265">
                  <c:v>665</c:v>
                </c:pt>
                <c:pt idx="266">
                  <c:v>666</c:v>
                </c:pt>
                <c:pt idx="267">
                  <c:v>667</c:v>
                </c:pt>
                <c:pt idx="268">
                  <c:v>668</c:v>
                </c:pt>
                <c:pt idx="269">
                  <c:v>669</c:v>
                </c:pt>
                <c:pt idx="270">
                  <c:v>670</c:v>
                </c:pt>
                <c:pt idx="271">
                  <c:v>671</c:v>
                </c:pt>
                <c:pt idx="272">
                  <c:v>672</c:v>
                </c:pt>
                <c:pt idx="273">
                  <c:v>673</c:v>
                </c:pt>
                <c:pt idx="274">
                  <c:v>674</c:v>
                </c:pt>
                <c:pt idx="275">
                  <c:v>675</c:v>
                </c:pt>
                <c:pt idx="276">
                  <c:v>676</c:v>
                </c:pt>
                <c:pt idx="277">
                  <c:v>677</c:v>
                </c:pt>
                <c:pt idx="278">
                  <c:v>678</c:v>
                </c:pt>
                <c:pt idx="279">
                  <c:v>679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683</c:v>
                </c:pt>
                <c:pt idx="284">
                  <c:v>684</c:v>
                </c:pt>
                <c:pt idx="285">
                  <c:v>685</c:v>
                </c:pt>
                <c:pt idx="286">
                  <c:v>686</c:v>
                </c:pt>
                <c:pt idx="287">
                  <c:v>687</c:v>
                </c:pt>
                <c:pt idx="288">
                  <c:v>688</c:v>
                </c:pt>
                <c:pt idx="289">
                  <c:v>689</c:v>
                </c:pt>
                <c:pt idx="290">
                  <c:v>690</c:v>
                </c:pt>
                <c:pt idx="291">
                  <c:v>691</c:v>
                </c:pt>
                <c:pt idx="292">
                  <c:v>692</c:v>
                </c:pt>
                <c:pt idx="293">
                  <c:v>693</c:v>
                </c:pt>
                <c:pt idx="294">
                  <c:v>694</c:v>
                </c:pt>
                <c:pt idx="295">
                  <c:v>695</c:v>
                </c:pt>
                <c:pt idx="296">
                  <c:v>696</c:v>
                </c:pt>
                <c:pt idx="297">
                  <c:v>697</c:v>
                </c:pt>
                <c:pt idx="298">
                  <c:v>698</c:v>
                </c:pt>
                <c:pt idx="299">
                  <c:v>699</c:v>
                </c:pt>
                <c:pt idx="300">
                  <c:v>700</c:v>
                </c:pt>
                <c:pt idx="301">
                  <c:v>701</c:v>
                </c:pt>
                <c:pt idx="302">
                  <c:v>702</c:v>
                </c:pt>
                <c:pt idx="303">
                  <c:v>703</c:v>
                </c:pt>
                <c:pt idx="304">
                  <c:v>704</c:v>
                </c:pt>
                <c:pt idx="305">
                  <c:v>705</c:v>
                </c:pt>
                <c:pt idx="306">
                  <c:v>706</c:v>
                </c:pt>
                <c:pt idx="307">
                  <c:v>707</c:v>
                </c:pt>
                <c:pt idx="308">
                  <c:v>708</c:v>
                </c:pt>
                <c:pt idx="309">
                  <c:v>709</c:v>
                </c:pt>
                <c:pt idx="310">
                  <c:v>710</c:v>
                </c:pt>
                <c:pt idx="311">
                  <c:v>711</c:v>
                </c:pt>
                <c:pt idx="312">
                  <c:v>712</c:v>
                </c:pt>
                <c:pt idx="313">
                  <c:v>713</c:v>
                </c:pt>
                <c:pt idx="314">
                  <c:v>714</c:v>
                </c:pt>
                <c:pt idx="315">
                  <c:v>715</c:v>
                </c:pt>
                <c:pt idx="316">
                  <c:v>716</c:v>
                </c:pt>
                <c:pt idx="317">
                  <c:v>717</c:v>
                </c:pt>
                <c:pt idx="318">
                  <c:v>718</c:v>
                </c:pt>
                <c:pt idx="319">
                  <c:v>719</c:v>
                </c:pt>
                <c:pt idx="320">
                  <c:v>720</c:v>
                </c:pt>
                <c:pt idx="321">
                  <c:v>721</c:v>
                </c:pt>
                <c:pt idx="322">
                  <c:v>722</c:v>
                </c:pt>
                <c:pt idx="323">
                  <c:v>723</c:v>
                </c:pt>
                <c:pt idx="324">
                  <c:v>724</c:v>
                </c:pt>
                <c:pt idx="325">
                  <c:v>725</c:v>
                </c:pt>
                <c:pt idx="326">
                  <c:v>726</c:v>
                </c:pt>
                <c:pt idx="327">
                  <c:v>727</c:v>
                </c:pt>
                <c:pt idx="328">
                  <c:v>728</c:v>
                </c:pt>
                <c:pt idx="329">
                  <c:v>729</c:v>
                </c:pt>
                <c:pt idx="330">
                  <c:v>730</c:v>
                </c:pt>
                <c:pt idx="331">
                  <c:v>731</c:v>
                </c:pt>
                <c:pt idx="332">
                  <c:v>732</c:v>
                </c:pt>
                <c:pt idx="333">
                  <c:v>733</c:v>
                </c:pt>
                <c:pt idx="334">
                  <c:v>734</c:v>
                </c:pt>
                <c:pt idx="335">
                  <c:v>735</c:v>
                </c:pt>
                <c:pt idx="336">
                  <c:v>736</c:v>
                </c:pt>
                <c:pt idx="337">
                  <c:v>737</c:v>
                </c:pt>
                <c:pt idx="338">
                  <c:v>738</c:v>
                </c:pt>
                <c:pt idx="339">
                  <c:v>739</c:v>
                </c:pt>
                <c:pt idx="340">
                  <c:v>740</c:v>
                </c:pt>
                <c:pt idx="341">
                  <c:v>741</c:v>
                </c:pt>
                <c:pt idx="342">
                  <c:v>742</c:v>
                </c:pt>
                <c:pt idx="343">
                  <c:v>743</c:v>
                </c:pt>
                <c:pt idx="344">
                  <c:v>744</c:v>
                </c:pt>
                <c:pt idx="345">
                  <c:v>745</c:v>
                </c:pt>
                <c:pt idx="346">
                  <c:v>746</c:v>
                </c:pt>
                <c:pt idx="347">
                  <c:v>747</c:v>
                </c:pt>
                <c:pt idx="348">
                  <c:v>748</c:v>
                </c:pt>
                <c:pt idx="349">
                  <c:v>749</c:v>
                </c:pt>
                <c:pt idx="350">
                  <c:v>750</c:v>
                </c:pt>
                <c:pt idx="351">
                  <c:v>751</c:v>
                </c:pt>
                <c:pt idx="352">
                  <c:v>752</c:v>
                </c:pt>
                <c:pt idx="353">
                  <c:v>753</c:v>
                </c:pt>
                <c:pt idx="354">
                  <c:v>754</c:v>
                </c:pt>
                <c:pt idx="355">
                  <c:v>755</c:v>
                </c:pt>
                <c:pt idx="356">
                  <c:v>756</c:v>
                </c:pt>
                <c:pt idx="357">
                  <c:v>757</c:v>
                </c:pt>
                <c:pt idx="358">
                  <c:v>758</c:v>
                </c:pt>
                <c:pt idx="359">
                  <c:v>759</c:v>
                </c:pt>
                <c:pt idx="360">
                  <c:v>760</c:v>
                </c:pt>
                <c:pt idx="361">
                  <c:v>761</c:v>
                </c:pt>
                <c:pt idx="362">
                  <c:v>762</c:v>
                </c:pt>
                <c:pt idx="363">
                  <c:v>763</c:v>
                </c:pt>
                <c:pt idx="364">
                  <c:v>764</c:v>
                </c:pt>
                <c:pt idx="365">
                  <c:v>765</c:v>
                </c:pt>
                <c:pt idx="366">
                  <c:v>766</c:v>
                </c:pt>
                <c:pt idx="367">
                  <c:v>767</c:v>
                </c:pt>
                <c:pt idx="368">
                  <c:v>768</c:v>
                </c:pt>
                <c:pt idx="369">
                  <c:v>769</c:v>
                </c:pt>
                <c:pt idx="370">
                  <c:v>770</c:v>
                </c:pt>
                <c:pt idx="371">
                  <c:v>771</c:v>
                </c:pt>
                <c:pt idx="372">
                  <c:v>772</c:v>
                </c:pt>
                <c:pt idx="373">
                  <c:v>773</c:v>
                </c:pt>
                <c:pt idx="374">
                  <c:v>774</c:v>
                </c:pt>
                <c:pt idx="375">
                  <c:v>775</c:v>
                </c:pt>
                <c:pt idx="376">
                  <c:v>776</c:v>
                </c:pt>
                <c:pt idx="377">
                  <c:v>777</c:v>
                </c:pt>
                <c:pt idx="378">
                  <c:v>778</c:v>
                </c:pt>
                <c:pt idx="379">
                  <c:v>779</c:v>
                </c:pt>
                <c:pt idx="380">
                  <c:v>780</c:v>
                </c:pt>
                <c:pt idx="381">
                  <c:v>781</c:v>
                </c:pt>
                <c:pt idx="382">
                  <c:v>782</c:v>
                </c:pt>
                <c:pt idx="383">
                  <c:v>783</c:v>
                </c:pt>
                <c:pt idx="384">
                  <c:v>784</c:v>
                </c:pt>
                <c:pt idx="385">
                  <c:v>785</c:v>
                </c:pt>
                <c:pt idx="386">
                  <c:v>786</c:v>
                </c:pt>
                <c:pt idx="387">
                  <c:v>787</c:v>
                </c:pt>
                <c:pt idx="388">
                  <c:v>788</c:v>
                </c:pt>
                <c:pt idx="389">
                  <c:v>789</c:v>
                </c:pt>
                <c:pt idx="390">
                  <c:v>790</c:v>
                </c:pt>
                <c:pt idx="391">
                  <c:v>791</c:v>
                </c:pt>
                <c:pt idx="392">
                  <c:v>792</c:v>
                </c:pt>
                <c:pt idx="393">
                  <c:v>793</c:v>
                </c:pt>
                <c:pt idx="394">
                  <c:v>794</c:v>
                </c:pt>
                <c:pt idx="395">
                  <c:v>795</c:v>
                </c:pt>
                <c:pt idx="396">
                  <c:v>796</c:v>
                </c:pt>
                <c:pt idx="397">
                  <c:v>797</c:v>
                </c:pt>
                <c:pt idx="398">
                  <c:v>798</c:v>
                </c:pt>
                <c:pt idx="399">
                  <c:v>799</c:v>
                </c:pt>
                <c:pt idx="400">
                  <c:v>800</c:v>
                </c:pt>
              </c:numCache>
            </c:numRef>
          </c:xVal>
          <c:yVal>
            <c:numRef>
              <c:f>'Pigments graph'!$Q$2:$Q$402</c:f>
              <c:numCache>
                <c:formatCode>General</c:formatCode>
                <c:ptCount val="401"/>
                <c:pt idx="0">
                  <c:v>1.2210000000000001</c:v>
                </c:pt>
                <c:pt idx="1">
                  <c:v>1.22228</c:v>
                </c:pt>
                <c:pt idx="2">
                  <c:v>1.2228399999999999</c:v>
                </c:pt>
                <c:pt idx="3">
                  <c:v>1.2250399999999999</c:v>
                </c:pt>
                <c:pt idx="4">
                  <c:v>1.22492</c:v>
                </c:pt>
                <c:pt idx="5">
                  <c:v>1.2285200000000001</c:v>
                </c:pt>
                <c:pt idx="6">
                  <c:v>1.23028</c:v>
                </c:pt>
                <c:pt idx="7">
                  <c:v>1.23156</c:v>
                </c:pt>
                <c:pt idx="8">
                  <c:v>1.2336</c:v>
                </c:pt>
                <c:pt idx="9">
                  <c:v>1.2363999999999999</c:v>
                </c:pt>
                <c:pt idx="10">
                  <c:v>1.2389600000000001</c:v>
                </c:pt>
                <c:pt idx="11">
                  <c:v>1.2421199999999999</c:v>
                </c:pt>
                <c:pt idx="12">
                  <c:v>1.2438800000000001</c:v>
                </c:pt>
                <c:pt idx="13">
                  <c:v>1.24688</c:v>
                </c:pt>
                <c:pt idx="14">
                  <c:v>1.2503200000000001</c:v>
                </c:pt>
                <c:pt idx="15">
                  <c:v>1.2532399999999999</c:v>
                </c:pt>
                <c:pt idx="16">
                  <c:v>1.2552399999999999</c:v>
                </c:pt>
                <c:pt idx="17">
                  <c:v>1.25868</c:v>
                </c:pt>
                <c:pt idx="18">
                  <c:v>1.2607600000000001</c:v>
                </c:pt>
                <c:pt idx="19">
                  <c:v>1.26312</c:v>
                </c:pt>
                <c:pt idx="20">
                  <c:v>1.2649600000000001</c:v>
                </c:pt>
                <c:pt idx="21">
                  <c:v>1.2665599999999999</c:v>
                </c:pt>
                <c:pt idx="22">
                  <c:v>1.2671600000000001</c:v>
                </c:pt>
                <c:pt idx="23">
                  <c:v>1.2694799999999999</c:v>
                </c:pt>
                <c:pt idx="24">
                  <c:v>1.2709999999999999</c:v>
                </c:pt>
                <c:pt idx="25">
                  <c:v>1.27196</c:v>
                </c:pt>
                <c:pt idx="26">
                  <c:v>1.2734399999999999</c:v>
                </c:pt>
                <c:pt idx="27">
                  <c:v>1.2758</c:v>
                </c:pt>
                <c:pt idx="28">
                  <c:v>1.27704</c:v>
                </c:pt>
                <c:pt idx="29">
                  <c:v>1.27948</c:v>
                </c:pt>
                <c:pt idx="30">
                  <c:v>1.2822800000000001</c:v>
                </c:pt>
                <c:pt idx="31">
                  <c:v>1.2847200000000001</c:v>
                </c:pt>
                <c:pt idx="32">
                  <c:v>1.2880400000000001</c:v>
                </c:pt>
                <c:pt idx="33">
                  <c:v>1.2914399999999999</c:v>
                </c:pt>
                <c:pt idx="34">
                  <c:v>1.2946</c:v>
                </c:pt>
                <c:pt idx="35">
                  <c:v>1.29864</c:v>
                </c:pt>
                <c:pt idx="36">
                  <c:v>1.3013999999999999</c:v>
                </c:pt>
                <c:pt idx="37">
                  <c:v>1.30376</c:v>
                </c:pt>
                <c:pt idx="38">
                  <c:v>1.30732</c:v>
                </c:pt>
                <c:pt idx="39">
                  <c:v>1.30976</c:v>
                </c:pt>
                <c:pt idx="40">
                  <c:v>1.3109599999999999</c:v>
                </c:pt>
                <c:pt idx="41">
                  <c:v>1.3123199999999999</c:v>
                </c:pt>
                <c:pt idx="42">
                  <c:v>1.31304</c:v>
                </c:pt>
                <c:pt idx="43">
                  <c:v>1.3126800000000001</c:v>
                </c:pt>
                <c:pt idx="44">
                  <c:v>1.3116000000000001</c:v>
                </c:pt>
                <c:pt idx="45">
                  <c:v>1.3100400000000001</c:v>
                </c:pt>
                <c:pt idx="46">
                  <c:v>1.30768</c:v>
                </c:pt>
                <c:pt idx="47">
                  <c:v>1.3040799999999999</c:v>
                </c:pt>
                <c:pt idx="48">
                  <c:v>1.3001199999999999</c:v>
                </c:pt>
                <c:pt idx="49">
                  <c:v>1.2962800000000001</c:v>
                </c:pt>
                <c:pt idx="50">
                  <c:v>1.2912399999999999</c:v>
                </c:pt>
                <c:pt idx="51">
                  <c:v>1.2867999999999999</c:v>
                </c:pt>
                <c:pt idx="52">
                  <c:v>1.2824</c:v>
                </c:pt>
                <c:pt idx="53">
                  <c:v>1.2789200000000001</c:v>
                </c:pt>
                <c:pt idx="54">
                  <c:v>1.27504</c:v>
                </c:pt>
                <c:pt idx="55">
                  <c:v>1.2716799999999999</c:v>
                </c:pt>
                <c:pt idx="56">
                  <c:v>1.2681199999999999</c:v>
                </c:pt>
                <c:pt idx="57">
                  <c:v>1.26552</c:v>
                </c:pt>
                <c:pt idx="58">
                  <c:v>1.26312</c:v>
                </c:pt>
                <c:pt idx="59">
                  <c:v>1.26088</c:v>
                </c:pt>
                <c:pt idx="60">
                  <c:v>1.2589600000000001</c:v>
                </c:pt>
                <c:pt idx="61">
                  <c:v>1.2574399999999999</c:v>
                </c:pt>
                <c:pt idx="62">
                  <c:v>1.2557199999999999</c:v>
                </c:pt>
                <c:pt idx="63">
                  <c:v>1.2540800000000001</c:v>
                </c:pt>
                <c:pt idx="64">
                  <c:v>1.25268</c:v>
                </c:pt>
                <c:pt idx="65">
                  <c:v>1.2510399999999999</c:v>
                </c:pt>
                <c:pt idx="66">
                  <c:v>1.2496799999999999</c:v>
                </c:pt>
                <c:pt idx="67">
                  <c:v>1.2476799999999999</c:v>
                </c:pt>
                <c:pt idx="68">
                  <c:v>1.24604</c:v>
                </c:pt>
                <c:pt idx="69">
                  <c:v>1.2436</c:v>
                </c:pt>
                <c:pt idx="70">
                  <c:v>1.24176</c:v>
                </c:pt>
                <c:pt idx="71">
                  <c:v>1.24004</c:v>
                </c:pt>
                <c:pt idx="72">
                  <c:v>1.2381599999999999</c:v>
                </c:pt>
                <c:pt idx="73">
                  <c:v>1.2365600000000001</c:v>
                </c:pt>
                <c:pt idx="74">
                  <c:v>1.23492</c:v>
                </c:pt>
                <c:pt idx="75">
                  <c:v>1.23268</c:v>
                </c:pt>
                <c:pt idx="76">
                  <c:v>1.23048</c:v>
                </c:pt>
                <c:pt idx="77">
                  <c:v>1.22864</c:v>
                </c:pt>
                <c:pt idx="78">
                  <c:v>1.22712</c:v>
                </c:pt>
                <c:pt idx="79">
                  <c:v>1.2260800000000001</c:v>
                </c:pt>
                <c:pt idx="80">
                  <c:v>1.22444</c:v>
                </c:pt>
                <c:pt idx="81">
                  <c:v>1.22292</c:v>
                </c:pt>
                <c:pt idx="82">
                  <c:v>1.2221200000000001</c:v>
                </c:pt>
                <c:pt idx="83">
                  <c:v>1.2214400000000001</c:v>
                </c:pt>
                <c:pt idx="84">
                  <c:v>1.2203200000000001</c:v>
                </c:pt>
                <c:pt idx="85">
                  <c:v>1.21956</c:v>
                </c:pt>
                <c:pt idx="86">
                  <c:v>1.2196800000000001</c:v>
                </c:pt>
                <c:pt idx="87">
                  <c:v>1.2192799999999999</c:v>
                </c:pt>
                <c:pt idx="88">
                  <c:v>1.21868</c:v>
                </c:pt>
                <c:pt idx="89">
                  <c:v>1.2179599999999999</c:v>
                </c:pt>
                <c:pt idx="90">
                  <c:v>1.21784</c:v>
                </c:pt>
                <c:pt idx="91">
                  <c:v>1.21776</c:v>
                </c:pt>
                <c:pt idx="92">
                  <c:v>1.2172799999999999</c:v>
                </c:pt>
                <c:pt idx="93">
                  <c:v>1.21716</c:v>
                </c:pt>
                <c:pt idx="94">
                  <c:v>1.2165999999999999</c:v>
                </c:pt>
                <c:pt idx="95">
                  <c:v>1.21648</c:v>
                </c:pt>
                <c:pt idx="96">
                  <c:v>1.21532</c:v>
                </c:pt>
                <c:pt idx="97">
                  <c:v>1.2141599999999999</c:v>
                </c:pt>
                <c:pt idx="98">
                  <c:v>1.2125999999999999</c:v>
                </c:pt>
                <c:pt idx="99">
                  <c:v>1.21136</c:v>
                </c:pt>
                <c:pt idx="100">
                  <c:v>1.2099599999999999</c:v>
                </c:pt>
                <c:pt idx="101">
                  <c:v>1.20848</c:v>
                </c:pt>
                <c:pt idx="102">
                  <c:v>1.2068000000000001</c:v>
                </c:pt>
                <c:pt idx="103">
                  <c:v>1.20488</c:v>
                </c:pt>
                <c:pt idx="104">
                  <c:v>1.2028000000000001</c:v>
                </c:pt>
                <c:pt idx="105">
                  <c:v>1.20024</c:v>
                </c:pt>
                <c:pt idx="106">
                  <c:v>1.19764</c:v>
                </c:pt>
                <c:pt idx="107">
                  <c:v>1.19496</c:v>
                </c:pt>
                <c:pt idx="108">
                  <c:v>1.19276</c:v>
                </c:pt>
                <c:pt idx="109">
                  <c:v>1.18988</c:v>
                </c:pt>
                <c:pt idx="110">
                  <c:v>1.1872</c:v>
                </c:pt>
                <c:pt idx="111">
                  <c:v>1.1839599999999999</c:v>
                </c:pt>
                <c:pt idx="112">
                  <c:v>1.1805600000000001</c:v>
                </c:pt>
                <c:pt idx="113">
                  <c:v>1.17784</c:v>
                </c:pt>
                <c:pt idx="114">
                  <c:v>1.175</c:v>
                </c:pt>
                <c:pt idx="115">
                  <c:v>1.1719200000000001</c:v>
                </c:pt>
                <c:pt idx="116">
                  <c:v>1.16832</c:v>
                </c:pt>
                <c:pt idx="117">
                  <c:v>1.1651199999999999</c:v>
                </c:pt>
                <c:pt idx="118">
                  <c:v>1.1622399999999999</c:v>
                </c:pt>
                <c:pt idx="119">
                  <c:v>1.15892</c:v>
                </c:pt>
                <c:pt idx="120">
                  <c:v>1.15588</c:v>
                </c:pt>
                <c:pt idx="121">
                  <c:v>1.1528400000000001</c:v>
                </c:pt>
                <c:pt idx="122">
                  <c:v>1.1497999999999999</c:v>
                </c:pt>
                <c:pt idx="123">
                  <c:v>1.1473199999999999</c:v>
                </c:pt>
                <c:pt idx="124">
                  <c:v>1.1444000000000001</c:v>
                </c:pt>
                <c:pt idx="125">
                  <c:v>1.1415599999999999</c:v>
                </c:pt>
                <c:pt idx="126">
                  <c:v>1.13836</c:v>
                </c:pt>
                <c:pt idx="127">
                  <c:v>1.13568</c:v>
                </c:pt>
                <c:pt idx="128">
                  <c:v>1.1329199999999999</c:v>
                </c:pt>
                <c:pt idx="129">
                  <c:v>1.1308</c:v>
                </c:pt>
                <c:pt idx="130">
                  <c:v>1.1282399999999999</c:v>
                </c:pt>
                <c:pt idx="131">
                  <c:v>1.1255599999999999</c:v>
                </c:pt>
                <c:pt idx="132">
                  <c:v>1.12364</c:v>
                </c:pt>
                <c:pt idx="133">
                  <c:v>1.1210800000000001</c:v>
                </c:pt>
                <c:pt idx="134">
                  <c:v>1.1187199999999999</c:v>
                </c:pt>
                <c:pt idx="135">
                  <c:v>1.11632</c:v>
                </c:pt>
                <c:pt idx="136">
                  <c:v>1.11432</c:v>
                </c:pt>
                <c:pt idx="137">
                  <c:v>1.1111599999999999</c:v>
                </c:pt>
                <c:pt idx="138">
                  <c:v>1.10924</c:v>
                </c:pt>
                <c:pt idx="139">
                  <c:v>1.1075600000000001</c:v>
                </c:pt>
                <c:pt idx="140">
                  <c:v>1.10524</c:v>
                </c:pt>
                <c:pt idx="141">
                  <c:v>1.1033200000000001</c:v>
                </c:pt>
                <c:pt idx="142">
                  <c:v>1.10192</c:v>
                </c:pt>
                <c:pt idx="143">
                  <c:v>1.09996</c:v>
                </c:pt>
                <c:pt idx="144">
                  <c:v>1.0982799999999999</c:v>
                </c:pt>
                <c:pt idx="145">
                  <c:v>1.0966</c:v>
                </c:pt>
                <c:pt idx="146">
                  <c:v>1.0949199999999999</c:v>
                </c:pt>
                <c:pt idx="147">
                  <c:v>1.09388</c:v>
                </c:pt>
                <c:pt idx="148">
                  <c:v>1.0918000000000001</c:v>
                </c:pt>
                <c:pt idx="149">
                  <c:v>1.09076</c:v>
                </c:pt>
                <c:pt idx="150">
                  <c:v>1.08924</c:v>
                </c:pt>
                <c:pt idx="151">
                  <c:v>1.0873600000000001</c:v>
                </c:pt>
                <c:pt idx="152">
                  <c:v>1.08656</c:v>
                </c:pt>
                <c:pt idx="153">
                  <c:v>1.08544</c:v>
                </c:pt>
                <c:pt idx="154">
                  <c:v>1.0838000000000001</c:v>
                </c:pt>
                <c:pt idx="155">
                  <c:v>1.083</c:v>
                </c:pt>
                <c:pt idx="156">
                  <c:v>1.08172</c:v>
                </c:pt>
                <c:pt idx="157">
                  <c:v>1.0804400000000001</c:v>
                </c:pt>
                <c:pt idx="158">
                  <c:v>1.0796399999999999</c:v>
                </c:pt>
                <c:pt idx="159">
                  <c:v>1.07884</c:v>
                </c:pt>
                <c:pt idx="160">
                  <c:v>1.0778000000000001</c:v>
                </c:pt>
                <c:pt idx="161">
                  <c:v>1.07684</c:v>
                </c:pt>
                <c:pt idx="162">
                  <c:v>1.0762400000000001</c:v>
                </c:pt>
                <c:pt idx="163">
                  <c:v>1.07524</c:v>
                </c:pt>
                <c:pt idx="164">
                  <c:v>1.07544</c:v>
                </c:pt>
                <c:pt idx="165">
                  <c:v>1.0740799999999999</c:v>
                </c:pt>
                <c:pt idx="166">
                  <c:v>1.07348</c:v>
                </c:pt>
                <c:pt idx="167">
                  <c:v>1.0733200000000001</c:v>
                </c:pt>
                <c:pt idx="168">
                  <c:v>1.07264</c:v>
                </c:pt>
                <c:pt idx="169">
                  <c:v>1.07216</c:v>
                </c:pt>
                <c:pt idx="170">
                  <c:v>1.07216</c:v>
                </c:pt>
                <c:pt idx="171">
                  <c:v>1.07216</c:v>
                </c:pt>
                <c:pt idx="172">
                  <c:v>1.07216</c:v>
                </c:pt>
                <c:pt idx="173">
                  <c:v>1.0718799999999999</c:v>
                </c:pt>
                <c:pt idx="174">
                  <c:v>1.07216</c:v>
                </c:pt>
                <c:pt idx="175">
                  <c:v>1.07176</c:v>
                </c:pt>
                <c:pt idx="176">
                  <c:v>1.07216</c:v>
                </c:pt>
                <c:pt idx="177">
                  <c:v>1.0720799999999999</c:v>
                </c:pt>
                <c:pt idx="178">
                  <c:v>1.07196</c:v>
                </c:pt>
                <c:pt idx="179">
                  <c:v>1.0720799999999999</c:v>
                </c:pt>
                <c:pt idx="180">
                  <c:v>1.0720799999999999</c:v>
                </c:pt>
                <c:pt idx="181">
                  <c:v>1.0720799999999999</c:v>
                </c:pt>
                <c:pt idx="182">
                  <c:v>1.0722</c:v>
                </c:pt>
                <c:pt idx="183">
                  <c:v>1.0724400000000001</c:v>
                </c:pt>
                <c:pt idx="184">
                  <c:v>1.0722799999999999</c:v>
                </c:pt>
                <c:pt idx="185">
                  <c:v>1.0720799999999999</c:v>
                </c:pt>
                <c:pt idx="186">
                  <c:v>1.0722799999999999</c:v>
                </c:pt>
                <c:pt idx="187">
                  <c:v>1.0723199999999999</c:v>
                </c:pt>
                <c:pt idx="188">
                  <c:v>1.0720400000000001</c:v>
                </c:pt>
                <c:pt idx="189">
                  <c:v>1.0720400000000001</c:v>
                </c:pt>
                <c:pt idx="190">
                  <c:v>1.07172</c:v>
                </c:pt>
                <c:pt idx="191">
                  <c:v>1.0713600000000001</c:v>
                </c:pt>
                <c:pt idx="192">
                  <c:v>1.0716000000000001</c:v>
                </c:pt>
                <c:pt idx="193">
                  <c:v>1.0716399999999999</c:v>
                </c:pt>
                <c:pt idx="194">
                  <c:v>1.07148</c:v>
                </c:pt>
                <c:pt idx="195">
                  <c:v>1.0711200000000001</c:v>
                </c:pt>
                <c:pt idx="196">
                  <c:v>1.0706800000000001</c:v>
                </c:pt>
                <c:pt idx="197">
                  <c:v>1.07056</c:v>
                </c:pt>
                <c:pt idx="198">
                  <c:v>1.07036</c:v>
                </c:pt>
                <c:pt idx="199">
                  <c:v>1.07</c:v>
                </c:pt>
                <c:pt idx="200">
                  <c:v>1.0698799999999999</c:v>
                </c:pt>
                <c:pt idx="201">
                  <c:v>1.0698799999999999</c:v>
                </c:pt>
                <c:pt idx="202">
                  <c:v>1.0698399999999999</c:v>
                </c:pt>
                <c:pt idx="203">
                  <c:v>1.07</c:v>
                </c:pt>
                <c:pt idx="204">
                  <c:v>1.0698799999999999</c:v>
                </c:pt>
                <c:pt idx="205">
                  <c:v>1.0698799999999999</c:v>
                </c:pt>
                <c:pt idx="206">
                  <c:v>1.0703199999999999</c:v>
                </c:pt>
                <c:pt idx="207">
                  <c:v>1.0711200000000001</c:v>
                </c:pt>
                <c:pt idx="208">
                  <c:v>1.0716000000000001</c:v>
                </c:pt>
                <c:pt idx="209">
                  <c:v>1.0725199999999999</c:v>
                </c:pt>
                <c:pt idx="210">
                  <c:v>1.0731200000000001</c:v>
                </c:pt>
                <c:pt idx="211">
                  <c:v>1.0745199999999999</c:v>
                </c:pt>
                <c:pt idx="212">
                  <c:v>1.07568</c:v>
                </c:pt>
                <c:pt idx="213">
                  <c:v>1.07752</c:v>
                </c:pt>
                <c:pt idx="214">
                  <c:v>1.07924</c:v>
                </c:pt>
                <c:pt idx="215">
                  <c:v>1.08128</c:v>
                </c:pt>
                <c:pt idx="216">
                  <c:v>1.08308</c:v>
                </c:pt>
                <c:pt idx="217">
                  <c:v>1.08528</c:v>
                </c:pt>
                <c:pt idx="218">
                  <c:v>1.0873999999999999</c:v>
                </c:pt>
                <c:pt idx="219">
                  <c:v>1.0898000000000001</c:v>
                </c:pt>
                <c:pt idx="220">
                  <c:v>1.0926</c:v>
                </c:pt>
                <c:pt idx="221">
                  <c:v>1.09484</c:v>
                </c:pt>
                <c:pt idx="222">
                  <c:v>1.09748</c:v>
                </c:pt>
                <c:pt idx="223">
                  <c:v>1.1002799999999999</c:v>
                </c:pt>
                <c:pt idx="224">
                  <c:v>1.1028</c:v>
                </c:pt>
                <c:pt idx="225">
                  <c:v>1.1057600000000001</c:v>
                </c:pt>
                <c:pt idx="226">
                  <c:v>1.10832</c:v>
                </c:pt>
                <c:pt idx="227">
                  <c:v>1.1109199999999999</c:v>
                </c:pt>
                <c:pt idx="228">
                  <c:v>1.11348</c:v>
                </c:pt>
                <c:pt idx="229">
                  <c:v>1.11548</c:v>
                </c:pt>
                <c:pt idx="230">
                  <c:v>1.11772</c:v>
                </c:pt>
                <c:pt idx="231">
                  <c:v>1.1194</c:v>
                </c:pt>
                <c:pt idx="232">
                  <c:v>1.12096</c:v>
                </c:pt>
                <c:pt idx="233">
                  <c:v>1.1224400000000001</c:v>
                </c:pt>
                <c:pt idx="234">
                  <c:v>1.1235999999999999</c:v>
                </c:pt>
                <c:pt idx="235">
                  <c:v>1.12432</c:v>
                </c:pt>
                <c:pt idx="236">
                  <c:v>1.1246799999999999</c:v>
                </c:pt>
                <c:pt idx="237">
                  <c:v>1.1248800000000001</c:v>
                </c:pt>
                <c:pt idx="238">
                  <c:v>1.1244000000000001</c:v>
                </c:pt>
                <c:pt idx="239">
                  <c:v>1.1237200000000001</c:v>
                </c:pt>
                <c:pt idx="240">
                  <c:v>1.1226</c:v>
                </c:pt>
                <c:pt idx="241">
                  <c:v>1.1215999999999999</c:v>
                </c:pt>
                <c:pt idx="242">
                  <c:v>1.11992</c:v>
                </c:pt>
                <c:pt idx="243">
                  <c:v>1.1182799999999999</c:v>
                </c:pt>
                <c:pt idx="244">
                  <c:v>1.1164400000000001</c:v>
                </c:pt>
                <c:pt idx="245">
                  <c:v>1.11452</c:v>
                </c:pt>
                <c:pt idx="246">
                  <c:v>1.1124400000000001</c:v>
                </c:pt>
                <c:pt idx="247">
                  <c:v>1.1102399999999999</c:v>
                </c:pt>
                <c:pt idx="248">
                  <c:v>1.10816</c:v>
                </c:pt>
                <c:pt idx="249">
                  <c:v>1.1060000000000001</c:v>
                </c:pt>
                <c:pt idx="250">
                  <c:v>1.1037600000000001</c:v>
                </c:pt>
                <c:pt idx="251">
                  <c:v>1.1015200000000001</c:v>
                </c:pt>
                <c:pt idx="252">
                  <c:v>1.0989199999999999</c:v>
                </c:pt>
                <c:pt idx="253">
                  <c:v>1.0966800000000001</c:v>
                </c:pt>
                <c:pt idx="254">
                  <c:v>1.0942799999999999</c:v>
                </c:pt>
                <c:pt idx="255">
                  <c:v>1.09212</c:v>
                </c:pt>
                <c:pt idx="256">
                  <c:v>1.0902000000000001</c:v>
                </c:pt>
                <c:pt idx="257">
                  <c:v>1.08812</c:v>
                </c:pt>
                <c:pt idx="258">
                  <c:v>1.0862000000000001</c:v>
                </c:pt>
                <c:pt idx="259">
                  <c:v>1.0847599999999999</c:v>
                </c:pt>
                <c:pt idx="260">
                  <c:v>1.08344</c:v>
                </c:pt>
                <c:pt idx="261">
                  <c:v>1.0827199999999999</c:v>
                </c:pt>
                <c:pt idx="262">
                  <c:v>1.0823199999999999</c:v>
                </c:pt>
                <c:pt idx="263">
                  <c:v>1.0824400000000001</c:v>
                </c:pt>
                <c:pt idx="264">
                  <c:v>1.0833200000000001</c:v>
                </c:pt>
                <c:pt idx="265">
                  <c:v>1.0842799999999999</c:v>
                </c:pt>
                <c:pt idx="266">
                  <c:v>1.0860399999999999</c:v>
                </c:pt>
                <c:pt idx="267">
                  <c:v>1.0882000000000001</c:v>
                </c:pt>
                <c:pt idx="268">
                  <c:v>1.0905199999999999</c:v>
                </c:pt>
                <c:pt idx="269">
                  <c:v>1.09328</c:v>
                </c:pt>
                <c:pt idx="270">
                  <c:v>1.0962000000000001</c:v>
                </c:pt>
                <c:pt idx="271">
                  <c:v>1.09876</c:v>
                </c:pt>
                <c:pt idx="272">
                  <c:v>1.1017600000000001</c:v>
                </c:pt>
                <c:pt idx="273">
                  <c:v>1.1044799999999999</c:v>
                </c:pt>
                <c:pt idx="274">
                  <c:v>1.10744</c:v>
                </c:pt>
                <c:pt idx="275">
                  <c:v>1.11016</c:v>
                </c:pt>
                <c:pt idx="276">
                  <c:v>1.1131599999999999</c:v>
                </c:pt>
                <c:pt idx="277">
                  <c:v>1.1162000000000001</c:v>
                </c:pt>
                <c:pt idx="278">
                  <c:v>1.1193200000000001</c:v>
                </c:pt>
                <c:pt idx="279">
                  <c:v>1.1224799999999999</c:v>
                </c:pt>
                <c:pt idx="280">
                  <c:v>1.1248800000000001</c:v>
                </c:pt>
                <c:pt idx="281">
                  <c:v>1.1270800000000001</c:v>
                </c:pt>
                <c:pt idx="282">
                  <c:v>1.12812</c:v>
                </c:pt>
                <c:pt idx="283">
                  <c:v>1.1279999999999999</c:v>
                </c:pt>
                <c:pt idx="284">
                  <c:v>1.1266400000000001</c:v>
                </c:pt>
                <c:pt idx="285">
                  <c:v>1.1242000000000001</c:v>
                </c:pt>
                <c:pt idx="286">
                  <c:v>1.1208400000000001</c:v>
                </c:pt>
                <c:pt idx="287">
                  <c:v>1.1162000000000001</c:v>
                </c:pt>
                <c:pt idx="288">
                  <c:v>1.11084</c:v>
                </c:pt>
                <c:pt idx="289">
                  <c:v>1.10484</c:v>
                </c:pt>
                <c:pt idx="290">
                  <c:v>1.0982000000000001</c:v>
                </c:pt>
                <c:pt idx="291">
                  <c:v>1.09124</c:v>
                </c:pt>
                <c:pt idx="292">
                  <c:v>1.08436</c:v>
                </c:pt>
                <c:pt idx="293">
                  <c:v>1.07744</c:v>
                </c:pt>
                <c:pt idx="294">
                  <c:v>1.0703199999999999</c:v>
                </c:pt>
                <c:pt idx="295">
                  <c:v>1.0638399999999999</c:v>
                </c:pt>
                <c:pt idx="296">
                  <c:v>1.05732</c:v>
                </c:pt>
                <c:pt idx="297">
                  <c:v>1.05108</c:v>
                </c:pt>
                <c:pt idx="298">
                  <c:v>1.04576</c:v>
                </c:pt>
                <c:pt idx="299">
                  <c:v>1.03996</c:v>
                </c:pt>
                <c:pt idx="300">
                  <c:v>1.0347200000000001</c:v>
                </c:pt>
                <c:pt idx="301">
                  <c:v>1.0298</c:v>
                </c:pt>
                <c:pt idx="302">
                  <c:v>1.0251600000000001</c:v>
                </c:pt>
                <c:pt idx="303">
                  <c:v>1.02088</c:v>
                </c:pt>
                <c:pt idx="304">
                  <c:v>1.0170399999999999</c:v>
                </c:pt>
                <c:pt idx="305">
                  <c:v>1.0134399999999999</c:v>
                </c:pt>
                <c:pt idx="306">
                  <c:v>1.0098800000000001</c:v>
                </c:pt>
                <c:pt idx="307">
                  <c:v>1.00648</c:v>
                </c:pt>
                <c:pt idx="308">
                  <c:v>1.0031600000000001</c:v>
                </c:pt>
                <c:pt idx="309">
                  <c:v>0.99987999999999999</c:v>
                </c:pt>
                <c:pt idx="310">
                  <c:v>0.99712000000000001</c:v>
                </c:pt>
                <c:pt idx="311">
                  <c:v>0.99451999999999996</c:v>
                </c:pt>
                <c:pt idx="312">
                  <c:v>0.99151999999999996</c:v>
                </c:pt>
                <c:pt idx="313">
                  <c:v>0.98919999999999997</c:v>
                </c:pt>
                <c:pt idx="314">
                  <c:v>0.98687999999999998</c:v>
                </c:pt>
                <c:pt idx="315">
                  <c:v>0.98460000000000003</c:v>
                </c:pt>
                <c:pt idx="316">
                  <c:v>0.98236000000000001</c:v>
                </c:pt>
                <c:pt idx="317">
                  <c:v>0.98036000000000001</c:v>
                </c:pt>
                <c:pt idx="318">
                  <c:v>0.97816000000000003</c:v>
                </c:pt>
                <c:pt idx="319">
                  <c:v>0.97624</c:v>
                </c:pt>
                <c:pt idx="320">
                  <c:v>0.97407999999999995</c:v>
                </c:pt>
                <c:pt idx="321">
                  <c:v>0.97223999999999999</c:v>
                </c:pt>
                <c:pt idx="322">
                  <c:v>0.97063999999999995</c:v>
                </c:pt>
                <c:pt idx="323">
                  <c:v>0.96852000000000005</c:v>
                </c:pt>
                <c:pt idx="324">
                  <c:v>0.96692</c:v>
                </c:pt>
                <c:pt idx="325">
                  <c:v>0.96504000000000001</c:v>
                </c:pt>
                <c:pt idx="326">
                  <c:v>0.96335999999999999</c:v>
                </c:pt>
                <c:pt idx="327">
                  <c:v>0.96160000000000001</c:v>
                </c:pt>
                <c:pt idx="328">
                  <c:v>0.96008000000000004</c:v>
                </c:pt>
                <c:pt idx="329">
                  <c:v>0.95820000000000005</c:v>
                </c:pt>
                <c:pt idx="330">
                  <c:v>0.95691999999999999</c:v>
                </c:pt>
                <c:pt idx="331">
                  <c:v>0.95511999999999997</c:v>
                </c:pt>
                <c:pt idx="332">
                  <c:v>0.95355999999999996</c:v>
                </c:pt>
                <c:pt idx="333">
                  <c:v>0.95232000000000006</c:v>
                </c:pt>
                <c:pt idx="334">
                  <c:v>0.95064000000000004</c:v>
                </c:pt>
                <c:pt idx="335">
                  <c:v>0.94916</c:v>
                </c:pt>
                <c:pt idx="336">
                  <c:v>0.94732000000000005</c:v>
                </c:pt>
                <c:pt idx="337">
                  <c:v>0.94616</c:v>
                </c:pt>
                <c:pt idx="338">
                  <c:v>0.94464000000000004</c:v>
                </c:pt>
                <c:pt idx="339">
                  <c:v>0.94279999999999997</c:v>
                </c:pt>
                <c:pt idx="340">
                  <c:v>0.94164000000000003</c:v>
                </c:pt>
                <c:pt idx="341">
                  <c:v>0.94020000000000004</c:v>
                </c:pt>
                <c:pt idx="342">
                  <c:v>0.93864000000000003</c:v>
                </c:pt>
                <c:pt idx="343">
                  <c:v>0.93700000000000006</c:v>
                </c:pt>
                <c:pt idx="344">
                  <c:v>0.93547999999999998</c:v>
                </c:pt>
                <c:pt idx="345">
                  <c:v>0.93403999999999998</c:v>
                </c:pt>
                <c:pt idx="346">
                  <c:v>0.93288000000000004</c:v>
                </c:pt>
                <c:pt idx="347">
                  <c:v>0.93140000000000001</c:v>
                </c:pt>
                <c:pt idx="348">
                  <c:v>0.92988000000000004</c:v>
                </c:pt>
                <c:pt idx="349">
                  <c:v>0.92884</c:v>
                </c:pt>
                <c:pt idx="350">
                  <c:v>0.92720000000000002</c:v>
                </c:pt>
                <c:pt idx="351">
                  <c:v>0.92584</c:v>
                </c:pt>
                <c:pt idx="352">
                  <c:v>0.92464000000000002</c:v>
                </c:pt>
                <c:pt idx="353">
                  <c:v>0.92347999999999997</c:v>
                </c:pt>
                <c:pt idx="354">
                  <c:v>0.92220000000000002</c:v>
                </c:pt>
                <c:pt idx="355">
                  <c:v>0.9204</c:v>
                </c:pt>
                <c:pt idx="356">
                  <c:v>0.91935999999999996</c:v>
                </c:pt>
                <c:pt idx="357">
                  <c:v>0.91756000000000004</c:v>
                </c:pt>
                <c:pt idx="358">
                  <c:v>0.91632000000000002</c:v>
                </c:pt>
                <c:pt idx="359">
                  <c:v>0.91539999999999999</c:v>
                </c:pt>
                <c:pt idx="360">
                  <c:v>0.91420000000000001</c:v>
                </c:pt>
                <c:pt idx="361">
                  <c:v>0.91352</c:v>
                </c:pt>
                <c:pt idx="362">
                  <c:v>0.91176000000000001</c:v>
                </c:pt>
                <c:pt idx="363">
                  <c:v>0.91088000000000002</c:v>
                </c:pt>
                <c:pt idx="364">
                  <c:v>0.90912000000000004</c:v>
                </c:pt>
                <c:pt idx="365">
                  <c:v>0.90788000000000002</c:v>
                </c:pt>
                <c:pt idx="366">
                  <c:v>0.90712000000000004</c:v>
                </c:pt>
                <c:pt idx="367">
                  <c:v>0.90556000000000003</c:v>
                </c:pt>
                <c:pt idx="368">
                  <c:v>0.90427999999999997</c:v>
                </c:pt>
                <c:pt idx="369">
                  <c:v>0.90307999999999999</c:v>
                </c:pt>
                <c:pt idx="370">
                  <c:v>0.90195999999999998</c:v>
                </c:pt>
                <c:pt idx="371">
                  <c:v>0.90100000000000002</c:v>
                </c:pt>
                <c:pt idx="372">
                  <c:v>0.89947999999999995</c:v>
                </c:pt>
                <c:pt idx="373">
                  <c:v>0.89800000000000002</c:v>
                </c:pt>
                <c:pt idx="374">
                  <c:v>0.89695999999999998</c:v>
                </c:pt>
                <c:pt idx="375">
                  <c:v>0.89568000000000003</c:v>
                </c:pt>
                <c:pt idx="376">
                  <c:v>0.89476</c:v>
                </c:pt>
                <c:pt idx="377">
                  <c:v>0.89383999999999997</c:v>
                </c:pt>
                <c:pt idx="378">
                  <c:v>0.89271999999999996</c:v>
                </c:pt>
                <c:pt idx="379">
                  <c:v>0.89124000000000003</c:v>
                </c:pt>
                <c:pt idx="380">
                  <c:v>0.89044000000000001</c:v>
                </c:pt>
                <c:pt idx="381">
                  <c:v>0.88904000000000005</c:v>
                </c:pt>
                <c:pt idx="382">
                  <c:v>0.88800000000000001</c:v>
                </c:pt>
                <c:pt idx="383">
                  <c:v>0.88648000000000005</c:v>
                </c:pt>
                <c:pt idx="384">
                  <c:v>0.88536000000000004</c:v>
                </c:pt>
                <c:pt idx="385">
                  <c:v>0.88415999999999995</c:v>
                </c:pt>
                <c:pt idx="386">
                  <c:v>0.88324000000000003</c:v>
                </c:pt>
                <c:pt idx="387">
                  <c:v>0.88195999999999997</c:v>
                </c:pt>
                <c:pt idx="388">
                  <c:v>0.88112000000000001</c:v>
                </c:pt>
                <c:pt idx="389">
                  <c:v>0.87956000000000001</c:v>
                </c:pt>
                <c:pt idx="390">
                  <c:v>0.87839999999999996</c:v>
                </c:pt>
                <c:pt idx="391">
                  <c:v>0.87707999999999997</c:v>
                </c:pt>
                <c:pt idx="392">
                  <c:v>0.87572000000000005</c:v>
                </c:pt>
                <c:pt idx="393">
                  <c:v>0.87468000000000001</c:v>
                </c:pt>
                <c:pt idx="394">
                  <c:v>0.87339999999999995</c:v>
                </c:pt>
                <c:pt idx="395">
                  <c:v>0.87224000000000002</c:v>
                </c:pt>
                <c:pt idx="396">
                  <c:v>0.87139999999999995</c:v>
                </c:pt>
                <c:pt idx="397">
                  <c:v>0.86987999999999999</c:v>
                </c:pt>
                <c:pt idx="398">
                  <c:v>0.86907999999999996</c:v>
                </c:pt>
                <c:pt idx="399">
                  <c:v>0.86799999999999999</c:v>
                </c:pt>
                <c:pt idx="400">
                  <c:v>0.86675999999999997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9D-4678-9013-2B0B0AFAC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94528"/>
        <c:axId val="434590264"/>
      </c:scatterChart>
      <c:valAx>
        <c:axId val="434594528"/>
        <c:scaling>
          <c:orientation val="minMax"/>
          <c:max val="8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90264"/>
        <c:crosses val="autoZero"/>
        <c:crossBetween val="midCat"/>
      </c:valAx>
      <c:valAx>
        <c:axId val="434590264"/>
        <c:scaling>
          <c:orientation val="minMax"/>
          <c:max val="1.5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9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Pigments content at OD 1</a:t>
            </a:r>
          </a:p>
          <a:p>
            <a:pPr algn="ctr">
              <a:defRPr/>
            </a:pPr>
            <a:r>
              <a:rPr lang="en-US"/>
              <a:t>June</a:t>
            </a:r>
            <a:r>
              <a:rPr lang="en-US" baseline="0"/>
              <a:t> 2022</a:t>
            </a:r>
          </a:p>
        </c:rich>
      </c:tx>
      <c:layout>
        <c:manualLayout>
          <c:xMode val="edge"/>
          <c:yMode val="edge"/>
          <c:x val="0.33630672484581009"/>
          <c:y val="8.487614711503530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491133436837818E-2"/>
          <c:y val="0.12884644118525976"/>
          <c:w val="0.8105898095966344"/>
          <c:h val="0.7753829680822086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'Pig cal'!$F$25</c:f>
              <c:strCache>
                <c:ptCount val="1"/>
                <c:pt idx="0">
                  <c:v>PC/biomass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'Pig cal'!$F$35:$F$36</c:f>
                <c:numCache>
                  <c:formatCode>General</c:formatCode>
                  <c:ptCount val="2"/>
                  <c:pt idx="0">
                    <c:v>3.7921676545987076E-2</c:v>
                  </c:pt>
                  <c:pt idx="1">
                    <c:v>7.8305446945114709E-3</c:v>
                  </c:pt>
                </c:numCache>
              </c:numRef>
            </c:plus>
            <c:minus>
              <c:numRef>
                <c:f>'Pig cal'!$F$35:$F$36</c:f>
                <c:numCache>
                  <c:formatCode>General</c:formatCode>
                  <c:ptCount val="2"/>
                  <c:pt idx="0">
                    <c:v>3.7921676545987076E-2</c:v>
                  </c:pt>
                  <c:pt idx="1">
                    <c:v>7.8305446945114709E-3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'Pig cal'!$A$26:$A$27</c:f>
              <c:strCache>
                <c:ptCount val="2"/>
                <c:pt idx="0">
                  <c:v>1%CO2 (s1-s4)</c:v>
                </c:pt>
                <c:pt idx="1">
                  <c:v>15%CO2 (s5-s8)</c:v>
                </c:pt>
              </c:strCache>
            </c:strRef>
          </c:cat>
          <c:val>
            <c:numRef>
              <c:f>'Pig cal'!$F$26:$F$27</c:f>
              <c:numCache>
                <c:formatCode>0.00</c:formatCode>
                <c:ptCount val="2"/>
                <c:pt idx="0">
                  <c:v>0.17718176646340617</c:v>
                </c:pt>
                <c:pt idx="1">
                  <c:v>0.11399025810303223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1-4AB5-A2F1-214BCAEDA678}"/>
            </c:ext>
          </c:extLst>
        </c:ser>
        <c:ser>
          <c:idx val="2"/>
          <c:order val="1"/>
          <c:tx>
            <c:strRef>
              <c:f>'Pig cal'!$E$25</c:f>
              <c:strCache>
                <c:ptCount val="1"/>
                <c:pt idx="0">
                  <c:v>Chl a/biomass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('Pig cal'!$E$35,'Pig cal'!$E$39)</c:f>
                <c:numCache>
                  <c:formatCode>General</c:formatCode>
                  <c:ptCount val="2"/>
                  <c:pt idx="0">
                    <c:v>4.0090649868822714E-2</c:v>
                  </c:pt>
                  <c:pt idx="1">
                    <c:v>7.5842259719318961E-3</c:v>
                  </c:pt>
                </c:numCache>
              </c:numRef>
            </c:plus>
            <c:minus>
              <c:numRef>
                <c:f>('Pig cal'!$E$35,'Pig cal'!$E$39)</c:f>
                <c:numCache>
                  <c:formatCode>General</c:formatCode>
                  <c:ptCount val="2"/>
                  <c:pt idx="0">
                    <c:v>4.0090649868822714E-2</c:v>
                  </c:pt>
                  <c:pt idx="1">
                    <c:v>7.5842259719318961E-3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'Pig cal'!$A$26:$A$27</c:f>
              <c:strCache>
                <c:ptCount val="2"/>
                <c:pt idx="0">
                  <c:v>1%CO2 (s1-s4)</c:v>
                </c:pt>
                <c:pt idx="1">
                  <c:v>15%CO2 (s5-s8)</c:v>
                </c:pt>
              </c:strCache>
            </c:strRef>
          </c:cat>
          <c:val>
            <c:numRef>
              <c:f>'Pig cal'!$E$26:$E$27</c:f>
              <c:numCache>
                <c:formatCode>0.00</c:formatCode>
                <c:ptCount val="2"/>
                <c:pt idx="0">
                  <c:v>0.20782051366436552</c:v>
                </c:pt>
                <c:pt idx="1">
                  <c:v>0.15446448517122352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F1-4AB5-A2F1-214BCAEDA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84096"/>
        <c:axId val="453182784"/>
      </c:barChart>
      <c:valAx>
        <c:axId val="4531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Pigment content</a:t>
                </a:r>
                <a:r>
                  <a:rPr lang="en-US" baseline="0"/>
                  <a:t> per biomass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4096"/>
        <c:crosses val="autoZero"/>
        <c:crossBetween val="between"/>
        <c:majorUnit val="1.0000000000000002E-2"/>
      </c:valAx>
      <c:catAx>
        <c:axId val="4531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82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22663049154667"/>
          <c:y val="2.2824351035821019E-2"/>
          <c:w val="0.10521958875451837"/>
          <c:h val="7.069633651632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98298663893989"/>
          <c:y val="7.7705662232519457E-2"/>
          <c:w val="0.6318087993033209"/>
          <c:h val="0.796690820434907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'[1]Calc DIC species'!$N$11</c:f>
              <c:strCache>
                <c:ptCount val="1"/>
                <c:pt idx="0">
                  <c:v>[CO2]/DIC</c:v>
                </c:pt>
              </c:strCache>
            </c:strRef>
          </c:tx>
          <c:spPr>
            <a:ln w="412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'[1]Calc DIC species'!$M$12:$M$82</c:f>
              <c:numCache>
                <c:formatCode>General</c:formatCode>
                <c:ptCount val="71"/>
                <c:pt idx="0">
                  <c:v>4</c:v>
                </c:pt>
                <c:pt idx="1">
                  <c:v>4.0999999999999996</c:v>
                </c:pt>
                <c:pt idx="2">
                  <c:v>4.1999999999999993</c:v>
                </c:pt>
                <c:pt idx="3">
                  <c:v>4.2999999999999989</c:v>
                </c:pt>
                <c:pt idx="4">
                  <c:v>4.3999999999999986</c:v>
                </c:pt>
                <c:pt idx="5">
                  <c:v>4.4999999999999982</c:v>
                </c:pt>
                <c:pt idx="6">
                  <c:v>4.5999999999999979</c:v>
                </c:pt>
                <c:pt idx="7">
                  <c:v>4.6999999999999975</c:v>
                </c:pt>
                <c:pt idx="8">
                  <c:v>4.7999999999999972</c:v>
                </c:pt>
                <c:pt idx="9">
                  <c:v>4.8999999999999968</c:v>
                </c:pt>
                <c:pt idx="10">
                  <c:v>4.9999999999999964</c:v>
                </c:pt>
                <c:pt idx="11">
                  <c:v>5.0999999999999961</c:v>
                </c:pt>
                <c:pt idx="12">
                  <c:v>5.1999999999999957</c:v>
                </c:pt>
                <c:pt idx="13">
                  <c:v>5.2999999999999954</c:v>
                </c:pt>
                <c:pt idx="14">
                  <c:v>5.399999999999995</c:v>
                </c:pt>
                <c:pt idx="15">
                  <c:v>5.4999999999999947</c:v>
                </c:pt>
                <c:pt idx="16">
                  <c:v>5.5999999999999943</c:v>
                </c:pt>
                <c:pt idx="17">
                  <c:v>5.699999999999994</c:v>
                </c:pt>
                <c:pt idx="18">
                  <c:v>5.7999999999999936</c:v>
                </c:pt>
                <c:pt idx="19">
                  <c:v>5.8999999999999932</c:v>
                </c:pt>
                <c:pt idx="20">
                  <c:v>5.9999999999999929</c:v>
                </c:pt>
                <c:pt idx="21">
                  <c:v>6.0999999999999925</c:v>
                </c:pt>
                <c:pt idx="22">
                  <c:v>6.1999999999999922</c:v>
                </c:pt>
                <c:pt idx="23">
                  <c:v>6.2999999999999918</c:v>
                </c:pt>
                <c:pt idx="24">
                  <c:v>6.3999999999999915</c:v>
                </c:pt>
                <c:pt idx="25">
                  <c:v>6.4999999999999911</c:v>
                </c:pt>
                <c:pt idx="26">
                  <c:v>6.5999999999999908</c:v>
                </c:pt>
                <c:pt idx="27">
                  <c:v>6.6999999999999904</c:v>
                </c:pt>
                <c:pt idx="28">
                  <c:v>6.7999999999999901</c:v>
                </c:pt>
                <c:pt idx="29">
                  <c:v>6.8999999999999897</c:v>
                </c:pt>
                <c:pt idx="30">
                  <c:v>6.9999999999999893</c:v>
                </c:pt>
                <c:pt idx="31">
                  <c:v>7.099999999999989</c:v>
                </c:pt>
                <c:pt idx="32">
                  <c:v>7.1999999999999886</c:v>
                </c:pt>
                <c:pt idx="33">
                  <c:v>7.2999999999999883</c:v>
                </c:pt>
                <c:pt idx="34">
                  <c:v>7.3999999999999879</c:v>
                </c:pt>
                <c:pt idx="35">
                  <c:v>7.4999999999999876</c:v>
                </c:pt>
                <c:pt idx="36">
                  <c:v>7.5999999999999872</c:v>
                </c:pt>
                <c:pt idx="37">
                  <c:v>7.6999999999999869</c:v>
                </c:pt>
                <c:pt idx="38">
                  <c:v>7.7999999999999865</c:v>
                </c:pt>
                <c:pt idx="39">
                  <c:v>7.8999999999999861</c:v>
                </c:pt>
                <c:pt idx="40">
                  <c:v>7.9999999999999858</c:v>
                </c:pt>
                <c:pt idx="41">
                  <c:v>8.0999999999999854</c:v>
                </c:pt>
                <c:pt idx="42">
                  <c:v>8.1999999999999851</c:v>
                </c:pt>
                <c:pt idx="43">
                  <c:v>8.2999999999999847</c:v>
                </c:pt>
                <c:pt idx="44">
                  <c:v>8.3999999999999844</c:v>
                </c:pt>
                <c:pt idx="45">
                  <c:v>8.499999999999984</c:v>
                </c:pt>
                <c:pt idx="46">
                  <c:v>8.5999999999999837</c:v>
                </c:pt>
                <c:pt idx="47">
                  <c:v>8.6999999999999833</c:v>
                </c:pt>
                <c:pt idx="48">
                  <c:v>8.7999999999999829</c:v>
                </c:pt>
                <c:pt idx="49">
                  <c:v>8.8999999999999826</c:v>
                </c:pt>
                <c:pt idx="50">
                  <c:v>8.9999999999999822</c:v>
                </c:pt>
                <c:pt idx="51">
                  <c:v>9.0999999999999819</c:v>
                </c:pt>
                <c:pt idx="52">
                  <c:v>9.1999999999999815</c:v>
                </c:pt>
                <c:pt idx="53">
                  <c:v>9.2999999999999812</c:v>
                </c:pt>
                <c:pt idx="54">
                  <c:v>9.3999999999999808</c:v>
                </c:pt>
                <c:pt idx="55">
                  <c:v>9.4999999999999805</c:v>
                </c:pt>
                <c:pt idx="56">
                  <c:v>9.5999999999999801</c:v>
                </c:pt>
                <c:pt idx="57">
                  <c:v>9.6999999999999797</c:v>
                </c:pt>
                <c:pt idx="58">
                  <c:v>9.7999999999999794</c:v>
                </c:pt>
                <c:pt idx="59">
                  <c:v>9.899999999999979</c:v>
                </c:pt>
                <c:pt idx="60">
                  <c:v>9.9999999999999787</c:v>
                </c:pt>
                <c:pt idx="61">
                  <c:v>10.099999999999978</c:v>
                </c:pt>
                <c:pt idx="62">
                  <c:v>10.199999999999978</c:v>
                </c:pt>
                <c:pt idx="63">
                  <c:v>10.299999999999978</c:v>
                </c:pt>
                <c:pt idx="64">
                  <c:v>10.399999999999977</c:v>
                </c:pt>
                <c:pt idx="65">
                  <c:v>10.499999999999977</c:v>
                </c:pt>
                <c:pt idx="66">
                  <c:v>10.599999999999977</c:v>
                </c:pt>
                <c:pt idx="67">
                  <c:v>10.699999999999976</c:v>
                </c:pt>
                <c:pt idx="68">
                  <c:v>10.799999999999976</c:v>
                </c:pt>
                <c:pt idx="69">
                  <c:v>10.899999999999975</c:v>
                </c:pt>
                <c:pt idx="70">
                  <c:v>10.999999999999975</c:v>
                </c:pt>
              </c:numCache>
            </c:numRef>
          </c:xVal>
          <c:yVal>
            <c:numRef>
              <c:f>'[1]Calc DIC species'!$N$12:$N$82</c:f>
              <c:numCache>
                <c:formatCode>General</c:formatCode>
                <c:ptCount val="71"/>
                <c:pt idx="0">
                  <c:v>0.98672539140728677</c:v>
                </c:pt>
                <c:pt idx="1">
                  <c:v>0.98334546325734618</c:v>
                </c:pt>
                <c:pt idx="2">
                  <c:v>0.97912314678834833</c:v>
                </c:pt>
                <c:pt idx="3">
                  <c:v>0.97385881133326913</c:v>
                </c:pt>
                <c:pt idx="4">
                  <c:v>0.96731130172336532</c:v>
                </c:pt>
                <c:pt idx="5">
                  <c:v>0.95919252644181097</c:v>
                </c:pt>
                <c:pt idx="6">
                  <c:v>0.9491632192108459</c:v>
                </c:pt>
                <c:pt idx="7">
                  <c:v>0.93683121194539198</c:v>
                </c:pt>
                <c:pt idx="8">
                  <c:v>0.92175413607693757</c:v>
                </c:pt>
                <c:pt idx="9">
                  <c:v>0.90344908376547284</c:v>
                </c:pt>
                <c:pt idx="10">
                  <c:v>0.88141223648622247</c:v>
                </c:pt>
                <c:pt idx="11">
                  <c:v>0.85515148809412467</c:v>
                </c:pt>
                <c:pt idx="12">
                  <c:v>0.82423418274190141</c:v>
                </c:pt>
                <c:pt idx="13">
                  <c:v>0.78834972077693377</c:v>
                </c:pt>
                <c:pt idx="14">
                  <c:v>0.74738261876741385</c:v>
                </c:pt>
                <c:pt idx="15">
                  <c:v>0.70148595016775817</c:v>
                </c:pt>
                <c:pt idx="16">
                  <c:v>0.65113938314974318</c:v>
                </c:pt>
                <c:pt idx="17">
                  <c:v>0.59717295413670035</c:v>
                </c:pt>
                <c:pt idx="18">
                  <c:v>0.54074036562792138</c:v>
                </c:pt>
                <c:pt idx="19">
                  <c:v>0.48323559495207952</c:v>
                </c:pt>
                <c:pt idx="20">
                  <c:v>0.42616206253812322</c:v>
                </c:pt>
                <c:pt idx="21">
                  <c:v>0.37097881310305825</c:v>
                </c:pt>
                <c:pt idx="22">
                  <c:v>0.31895611795626244</c:v>
                </c:pt>
                <c:pt idx="23">
                  <c:v>0.27106960414868869</c:v>
                </c:pt>
                <c:pt idx="24">
                  <c:v>0.2279491447783609</c:v>
                </c:pt>
                <c:pt idx="25">
                  <c:v>0.18988252789900281</c:v>
                </c:pt>
                <c:pt idx="26">
                  <c:v>0.15686109909089083</c:v>
                </c:pt>
                <c:pt idx="27">
                  <c:v>0.12864879838145876</c:v>
                </c:pt>
                <c:pt idx="28">
                  <c:v>0.10485697584663123</c:v>
                </c:pt>
                <c:pt idx="29">
                  <c:v>8.5012334837303916E-2</c:v>
                </c:pt>
                <c:pt idx="30">
                  <c:v>6.8611287679008842E-2</c:v>
                </c:pt>
                <c:pt idx="31">
                  <c:v>5.5158910959016087E-2</c:v>
                </c:pt>
                <c:pt idx="32">
                  <c:v>4.4193811674798238E-2</c:v>
                </c:pt>
                <c:pt idx="33">
                  <c:v>3.5301687098692663E-2</c:v>
                </c:pt>
                <c:pt idx="34">
                  <c:v>2.8120674430834568E-2</c:v>
                </c:pt>
                <c:pt idx="35">
                  <c:v>2.2341257899660873E-2</c:v>
                </c:pt>
                <c:pt idx="36">
                  <c:v>1.7702916938060583E-2</c:v>
                </c:pt>
                <c:pt idx="37">
                  <c:v>1.398909085128658E-2</c:v>
                </c:pt>
                <c:pt idx="38">
                  <c:v>1.1021513429347941E-2</c:v>
                </c:pt>
                <c:pt idx="39">
                  <c:v>8.6545696909819253E-3</c:v>
                </c:pt>
                <c:pt idx="40">
                  <c:v>6.7700413531453915E-3</c:v>
                </c:pt>
                <c:pt idx="41">
                  <c:v>5.2724168041429278E-3</c:v>
                </c:pt>
                <c:pt idx="42">
                  <c:v>4.084821446665012E-3</c:v>
                </c:pt>
                <c:pt idx="43">
                  <c:v>3.145554254340272E-3</c:v>
                </c:pt>
                <c:pt idx="44">
                  <c:v>2.4051799406894689E-3</c:v>
                </c:pt>
                <c:pt idx="45">
                  <c:v>1.8241115243884619E-3</c:v>
                </c:pt>
                <c:pt idx="46">
                  <c:v>1.3706171051828255E-3</c:v>
                </c:pt>
                <c:pt idx="47">
                  <c:v>1.019191460397278E-3</c:v>
                </c:pt>
                <c:pt idx="48">
                  <c:v>7.4924293776039679E-4</c:v>
                </c:pt>
                <c:pt idx="49">
                  <c:v>5.4405497277664697E-4</c:v>
                </c:pt>
                <c:pt idx="50">
                  <c:v>3.8998623097812946E-4</c:v>
                </c:pt>
                <c:pt idx="51">
                  <c:v>2.7587268837064865E-4</c:v>
                </c:pt>
                <c:pt idx="52">
                  <c:v>1.9259068174469352E-4</c:v>
                </c:pt>
                <c:pt idx="53">
                  <c:v>1.3273634382224295E-4</c:v>
                </c:pt>
                <c:pt idx="54">
                  <c:v>9.0378330771343049E-5</c:v>
                </c:pt>
                <c:pt idx="55">
                  <c:v>6.0849112749282661E-5</c:v>
                </c:pt>
                <c:pt idx="56">
                  <c:v>4.0553220183179736E-5</c:v>
                </c:pt>
                <c:pt idx="57">
                  <c:v>2.6784219355978067E-5</c:v>
                </c:pt>
                <c:pt idx="58">
                  <c:v>1.7551797075689138E-5</c:v>
                </c:pt>
                <c:pt idx="59">
                  <c:v>1.1424581831708602E-5</c:v>
                </c:pt>
                <c:pt idx="60">
                  <c:v>7.3941168884727006E-6</c:v>
                </c:pt>
                <c:pt idx="61">
                  <c:v>4.7628276112266591E-6</c:v>
                </c:pt>
                <c:pt idx="62">
                  <c:v>3.0558446041378924E-6</c:v>
                </c:pt>
                <c:pt idx="63">
                  <c:v>1.9542987687295438E-6</c:v>
                </c:pt>
                <c:pt idx="64">
                  <c:v>1.2465290459688671E-6</c:v>
                </c:pt>
                <c:pt idx="65">
                  <c:v>7.9338055618498234E-7</c:v>
                </c:pt>
                <c:pt idx="66">
                  <c:v>5.0408876516064242E-7</c:v>
                </c:pt>
                <c:pt idx="67">
                  <c:v>3.1983450902422866E-7</c:v>
                </c:pt>
                <c:pt idx="68">
                  <c:v>2.0270099299014796E-7</c:v>
                </c:pt>
                <c:pt idx="69">
                  <c:v>1.2834989029344253E-7</c:v>
                </c:pt>
                <c:pt idx="70">
                  <c:v>8.1212403958081699E-8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BD-4E93-8C44-6E2407DDBB1E}"/>
            </c:ext>
          </c:extLst>
        </c:ser>
        <c:ser>
          <c:idx val="1"/>
          <c:order val="1"/>
          <c:tx>
            <c:strRef>
              <c:f>'[1]Calc DIC species'!$O$11</c:f>
              <c:strCache>
                <c:ptCount val="1"/>
                <c:pt idx="0">
                  <c:v>[HCO3-]/DIC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'[1]Calc DIC species'!$M$12:$M$82</c:f>
              <c:numCache>
                <c:formatCode>General</c:formatCode>
                <c:ptCount val="71"/>
                <c:pt idx="0">
                  <c:v>4</c:v>
                </c:pt>
                <c:pt idx="1">
                  <c:v>4.0999999999999996</c:v>
                </c:pt>
                <c:pt idx="2">
                  <c:v>4.1999999999999993</c:v>
                </c:pt>
                <c:pt idx="3">
                  <c:v>4.2999999999999989</c:v>
                </c:pt>
                <c:pt idx="4">
                  <c:v>4.3999999999999986</c:v>
                </c:pt>
                <c:pt idx="5">
                  <c:v>4.4999999999999982</c:v>
                </c:pt>
                <c:pt idx="6">
                  <c:v>4.5999999999999979</c:v>
                </c:pt>
                <c:pt idx="7">
                  <c:v>4.6999999999999975</c:v>
                </c:pt>
                <c:pt idx="8">
                  <c:v>4.7999999999999972</c:v>
                </c:pt>
                <c:pt idx="9">
                  <c:v>4.8999999999999968</c:v>
                </c:pt>
                <c:pt idx="10">
                  <c:v>4.9999999999999964</c:v>
                </c:pt>
                <c:pt idx="11">
                  <c:v>5.0999999999999961</c:v>
                </c:pt>
                <c:pt idx="12">
                  <c:v>5.1999999999999957</c:v>
                </c:pt>
                <c:pt idx="13">
                  <c:v>5.2999999999999954</c:v>
                </c:pt>
                <c:pt idx="14">
                  <c:v>5.399999999999995</c:v>
                </c:pt>
                <c:pt idx="15">
                  <c:v>5.4999999999999947</c:v>
                </c:pt>
                <c:pt idx="16">
                  <c:v>5.5999999999999943</c:v>
                </c:pt>
                <c:pt idx="17">
                  <c:v>5.699999999999994</c:v>
                </c:pt>
                <c:pt idx="18">
                  <c:v>5.7999999999999936</c:v>
                </c:pt>
                <c:pt idx="19">
                  <c:v>5.8999999999999932</c:v>
                </c:pt>
                <c:pt idx="20">
                  <c:v>5.9999999999999929</c:v>
                </c:pt>
                <c:pt idx="21">
                  <c:v>6.0999999999999925</c:v>
                </c:pt>
                <c:pt idx="22">
                  <c:v>6.1999999999999922</c:v>
                </c:pt>
                <c:pt idx="23">
                  <c:v>6.2999999999999918</c:v>
                </c:pt>
                <c:pt idx="24">
                  <c:v>6.3999999999999915</c:v>
                </c:pt>
                <c:pt idx="25">
                  <c:v>6.4999999999999911</c:v>
                </c:pt>
                <c:pt idx="26">
                  <c:v>6.5999999999999908</c:v>
                </c:pt>
                <c:pt idx="27">
                  <c:v>6.6999999999999904</c:v>
                </c:pt>
                <c:pt idx="28">
                  <c:v>6.7999999999999901</c:v>
                </c:pt>
                <c:pt idx="29">
                  <c:v>6.8999999999999897</c:v>
                </c:pt>
                <c:pt idx="30">
                  <c:v>6.9999999999999893</c:v>
                </c:pt>
                <c:pt idx="31">
                  <c:v>7.099999999999989</c:v>
                </c:pt>
                <c:pt idx="32">
                  <c:v>7.1999999999999886</c:v>
                </c:pt>
                <c:pt idx="33">
                  <c:v>7.2999999999999883</c:v>
                </c:pt>
                <c:pt idx="34">
                  <c:v>7.3999999999999879</c:v>
                </c:pt>
                <c:pt idx="35">
                  <c:v>7.4999999999999876</c:v>
                </c:pt>
                <c:pt idx="36">
                  <c:v>7.5999999999999872</c:v>
                </c:pt>
                <c:pt idx="37">
                  <c:v>7.6999999999999869</c:v>
                </c:pt>
                <c:pt idx="38">
                  <c:v>7.7999999999999865</c:v>
                </c:pt>
                <c:pt idx="39">
                  <c:v>7.8999999999999861</c:v>
                </c:pt>
                <c:pt idx="40">
                  <c:v>7.9999999999999858</c:v>
                </c:pt>
                <c:pt idx="41">
                  <c:v>8.0999999999999854</c:v>
                </c:pt>
                <c:pt idx="42">
                  <c:v>8.1999999999999851</c:v>
                </c:pt>
                <c:pt idx="43">
                  <c:v>8.2999999999999847</c:v>
                </c:pt>
                <c:pt idx="44">
                  <c:v>8.3999999999999844</c:v>
                </c:pt>
                <c:pt idx="45">
                  <c:v>8.499999999999984</c:v>
                </c:pt>
                <c:pt idx="46">
                  <c:v>8.5999999999999837</c:v>
                </c:pt>
                <c:pt idx="47">
                  <c:v>8.6999999999999833</c:v>
                </c:pt>
                <c:pt idx="48">
                  <c:v>8.7999999999999829</c:v>
                </c:pt>
                <c:pt idx="49">
                  <c:v>8.8999999999999826</c:v>
                </c:pt>
                <c:pt idx="50">
                  <c:v>8.9999999999999822</c:v>
                </c:pt>
                <c:pt idx="51">
                  <c:v>9.0999999999999819</c:v>
                </c:pt>
                <c:pt idx="52">
                  <c:v>9.1999999999999815</c:v>
                </c:pt>
                <c:pt idx="53">
                  <c:v>9.2999999999999812</c:v>
                </c:pt>
                <c:pt idx="54">
                  <c:v>9.3999999999999808</c:v>
                </c:pt>
                <c:pt idx="55">
                  <c:v>9.4999999999999805</c:v>
                </c:pt>
                <c:pt idx="56">
                  <c:v>9.5999999999999801</c:v>
                </c:pt>
                <c:pt idx="57">
                  <c:v>9.6999999999999797</c:v>
                </c:pt>
                <c:pt idx="58">
                  <c:v>9.7999999999999794</c:v>
                </c:pt>
                <c:pt idx="59">
                  <c:v>9.899999999999979</c:v>
                </c:pt>
                <c:pt idx="60">
                  <c:v>9.9999999999999787</c:v>
                </c:pt>
                <c:pt idx="61">
                  <c:v>10.099999999999978</c:v>
                </c:pt>
                <c:pt idx="62">
                  <c:v>10.199999999999978</c:v>
                </c:pt>
                <c:pt idx="63">
                  <c:v>10.299999999999978</c:v>
                </c:pt>
                <c:pt idx="64">
                  <c:v>10.399999999999977</c:v>
                </c:pt>
                <c:pt idx="65">
                  <c:v>10.499999999999977</c:v>
                </c:pt>
                <c:pt idx="66">
                  <c:v>10.599999999999977</c:v>
                </c:pt>
                <c:pt idx="67">
                  <c:v>10.699999999999976</c:v>
                </c:pt>
                <c:pt idx="68">
                  <c:v>10.799999999999976</c:v>
                </c:pt>
                <c:pt idx="69">
                  <c:v>10.899999999999975</c:v>
                </c:pt>
                <c:pt idx="70">
                  <c:v>10.999999999999975</c:v>
                </c:pt>
              </c:numCache>
            </c:numRef>
          </c:xVal>
          <c:yVal>
            <c:numRef>
              <c:f>'[1]Calc DIC species'!$O$12:$O$82</c:f>
              <c:numCache>
                <c:formatCode>General</c:formatCode>
                <c:ptCount val="71"/>
                <c:pt idx="0">
                  <c:v>1.3274488420826612E-2</c:v>
                </c:pt>
                <c:pt idx="1">
                  <c:v>1.6654346935448823E-2</c:v>
                </c:pt>
                <c:pt idx="2">
                  <c:v>2.0876553679191889E-2</c:v>
                </c:pt>
                <c:pt idx="3">
                  <c:v>2.6140716492182751E-2</c:v>
                </c:pt>
                <c:pt idx="4">
                  <c:v>3.2687954961736709E-2</c:v>
                </c:pt>
                <c:pt idx="5">
                  <c:v>4.0806305371208614E-2</c:v>
                </c:pt>
                <c:pt idx="6">
                  <c:v>5.0834948696320346E-2</c:v>
                </c:pt>
                <c:pt idx="7">
                  <c:v>6.3165922109111955E-2</c:v>
                </c:pt>
                <c:pt idx="8">
                  <c:v>7.8241394806619249E-2</c:v>
                </c:pt>
                <c:pt idx="9">
                  <c:v>9.6543973824546686E-2</c:v>
                </c:pt>
                <c:pt idx="10">
                  <c:v>0.11857702891909938</c:v>
                </c:pt>
                <c:pt idx="11">
                  <c:v>0.14483200560978818</c:v>
                </c:pt>
                <c:pt idx="12">
                  <c:v>0.17574060236118194</c:v>
                </c:pt>
                <c:pt idx="13">
                  <c:v>0.21161205615942943</c:v>
                </c:pt>
                <c:pt idx="14">
                  <c:v>0.25255994981066138</c:v>
                </c:pt>
                <c:pt idx="15">
                  <c:v>0.2984286168528052</c:v>
                </c:pt>
                <c:pt idx="16">
                  <c:v>0.34873493269251588</c:v>
                </c:pt>
                <c:pt idx="17">
                  <c:v>0.40264435925802128</c:v>
                </c:pt>
                <c:pt idx="18">
                  <c:v>0.45899745690360627</c:v>
                </c:pt>
                <c:pt idx="19">
                  <c:v>0.51639307038417748</c:v>
                </c:pt>
                <c:pt idx="20">
                  <c:v>0.5733189207272319</c:v>
                </c:pt>
                <c:pt idx="21">
                  <c:v>0.62830511656129351</c:v>
                </c:pt>
                <c:pt idx="22">
                  <c:v>0.68006813439779135</c:v>
                </c:pt>
                <c:pt idx="23">
                  <c:v>0.72761611737104692</c:v>
                </c:pt>
                <c:pt idx="24">
                  <c:v>0.77029921647832222</c:v>
                </c:pt>
                <c:pt idx="25">
                  <c:v>0.80780491971167168</c:v>
                </c:pt>
                <c:pt idx="26">
                  <c:v>0.84011113824696038</c:v>
                </c:pt>
                <c:pt idx="27">
                  <c:v>0.86741558931617035</c:v>
                </c:pt>
                <c:pt idx="28">
                  <c:v>0.89005904333251529</c:v>
                </c:pt>
                <c:pt idx="29">
                  <c:v>0.90845502826661906</c:v>
                </c:pt>
                <c:pt idx="30">
                  <c:v>0.92303264085868186</c:v>
                </c:pt>
                <c:pt idx="31">
                  <c:v>0.93419421151338644</c:v>
                </c:pt>
                <c:pt idx="32">
                  <c:v>0.94228645777938824</c:v>
                </c:pt>
                <c:pt idx="33">
                  <c:v>0.94758232241002749</c:v>
                </c:pt>
                <c:pt idx="34">
                  <c:v>0.95027044308393427</c:v>
                </c:pt>
                <c:pt idx="35">
                  <c:v>0.95044964081647521</c:v>
                </c:pt>
                <c:pt idx="36">
                  <c:v>0.94812657729165561</c:v>
                </c:pt>
                <c:pt idx="37">
                  <c:v>0.94321561005072951</c:v>
                </c:pt>
                <c:pt idx="38">
                  <c:v>0.93554078017185016</c:v>
                </c:pt>
                <c:pt idx="39">
                  <c:v>0.92484077378925611</c:v>
                </c:pt>
                <c:pt idx="40">
                  <c:v>0.91077858473541751</c:v>
                </c:pt>
                <c:pt idx="41">
                  <c:v>0.89295839484138528</c:v>
                </c:pt>
                <c:pt idx="42">
                  <c:v>0.87095269354966565</c:v>
                </c:pt>
                <c:pt idx="43">
                  <c:v>0.84434253730181053</c:v>
                </c:pt>
                <c:pt idx="44">
                  <c:v>0.8127726145249935</c:v>
                </c:pt>
                <c:pt idx="45">
                  <c:v>0.77601993180093509</c:v>
                </c:pt>
                <c:pt idx="46">
                  <c:v>0.73407027173045392</c:v>
                </c:pt>
                <c:pt idx="47">
                  <c:v>0.68719068686918461</c:v>
                </c:pt>
                <c:pt idx="48">
                  <c:v>0.63598100843767158</c:v>
                </c:pt>
                <c:pt idx="49">
                  <c:v>0.58138560318133536</c:v>
                </c:pt>
                <c:pt idx="50">
                  <c:v>0.52465131154853906</c:v>
                </c:pt>
                <c:pt idx="51">
                  <c:v>0.46722943602345784</c:v>
                </c:pt>
                <c:pt idx="52">
                  <c:v>0.41063575289209386</c:v>
                </c:pt>
                <c:pt idx="53">
                  <c:v>0.35629632259686778</c:v>
                </c:pt>
                <c:pt idx="54">
                  <c:v>0.30541179458020673</c:v>
                </c:pt>
                <c:pt idx="55">
                  <c:v>0.25886643275101306</c:v>
                </c:pt>
                <c:pt idx="56">
                  <c:v>0.21719350536954371</c:v>
                </c:pt>
                <c:pt idx="57">
                  <c:v>0.18059282099277771</c:v>
                </c:pt>
                <c:pt idx="58">
                  <c:v>0.14898518279607462</c:v>
                </c:pt>
                <c:pt idx="59">
                  <c:v>0.1220848578117707</c:v>
                </c:pt>
                <c:pt idx="60">
                  <c:v>9.9473592017609608E-2</c:v>
                </c:pt>
                <c:pt idx="61">
                  <c:v>8.0665225391232637E-2</c:v>
                </c:pt>
                <c:pt idx="62">
                  <c:v>6.5155750962285069E-2</c:v>
                </c:pt>
                <c:pt idx="63">
                  <c:v>5.2458086798473053E-2</c:v>
                </c:pt>
                <c:pt idx="64">
                  <c:v>4.2123445927418554E-2</c:v>
                </c:pt>
                <c:pt idx="65">
                  <c:v>3.3752274291960101E-2</c:v>
                </c:pt>
                <c:pt idx="66">
                  <c:v>2.6997808171114072E-2</c:v>
                </c:pt>
                <c:pt idx="67">
                  <c:v>2.1564868278542305E-2</c:v>
                </c:pt>
                <c:pt idx="68">
                  <c:v>1.720589883950506E-2</c:v>
                </c:pt>
                <c:pt idx="69">
                  <c:v>1.3715668842373477E-2</c:v>
                </c:pt>
                <c:pt idx="70">
                  <c:v>1.0925563742019934E-2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BD-4E93-8C44-6E2407DDBB1E}"/>
            </c:ext>
          </c:extLst>
        </c:ser>
        <c:ser>
          <c:idx val="2"/>
          <c:order val="2"/>
          <c:tx>
            <c:strRef>
              <c:f>'[1]Calc DIC species'!$P$11</c:f>
              <c:strCache>
                <c:ptCount val="1"/>
                <c:pt idx="0">
                  <c:v>[CO32-]/DIC</c:v>
                </c:pt>
              </c:strCache>
            </c:strRef>
          </c:tx>
          <c:spPr>
            <a:ln w="412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'[1]Calc DIC species'!$M$12:$M$82</c:f>
              <c:numCache>
                <c:formatCode>General</c:formatCode>
                <c:ptCount val="71"/>
                <c:pt idx="0">
                  <c:v>4</c:v>
                </c:pt>
                <c:pt idx="1">
                  <c:v>4.0999999999999996</c:v>
                </c:pt>
                <c:pt idx="2">
                  <c:v>4.1999999999999993</c:v>
                </c:pt>
                <c:pt idx="3">
                  <c:v>4.2999999999999989</c:v>
                </c:pt>
                <c:pt idx="4">
                  <c:v>4.3999999999999986</c:v>
                </c:pt>
                <c:pt idx="5">
                  <c:v>4.4999999999999982</c:v>
                </c:pt>
                <c:pt idx="6">
                  <c:v>4.5999999999999979</c:v>
                </c:pt>
                <c:pt idx="7">
                  <c:v>4.6999999999999975</c:v>
                </c:pt>
                <c:pt idx="8">
                  <c:v>4.7999999999999972</c:v>
                </c:pt>
                <c:pt idx="9">
                  <c:v>4.8999999999999968</c:v>
                </c:pt>
                <c:pt idx="10">
                  <c:v>4.9999999999999964</c:v>
                </c:pt>
                <c:pt idx="11">
                  <c:v>5.0999999999999961</c:v>
                </c:pt>
                <c:pt idx="12">
                  <c:v>5.1999999999999957</c:v>
                </c:pt>
                <c:pt idx="13">
                  <c:v>5.2999999999999954</c:v>
                </c:pt>
                <c:pt idx="14">
                  <c:v>5.399999999999995</c:v>
                </c:pt>
                <c:pt idx="15">
                  <c:v>5.4999999999999947</c:v>
                </c:pt>
                <c:pt idx="16">
                  <c:v>5.5999999999999943</c:v>
                </c:pt>
                <c:pt idx="17">
                  <c:v>5.699999999999994</c:v>
                </c:pt>
                <c:pt idx="18">
                  <c:v>5.7999999999999936</c:v>
                </c:pt>
                <c:pt idx="19">
                  <c:v>5.8999999999999932</c:v>
                </c:pt>
                <c:pt idx="20">
                  <c:v>5.9999999999999929</c:v>
                </c:pt>
                <c:pt idx="21">
                  <c:v>6.0999999999999925</c:v>
                </c:pt>
                <c:pt idx="22">
                  <c:v>6.1999999999999922</c:v>
                </c:pt>
                <c:pt idx="23">
                  <c:v>6.2999999999999918</c:v>
                </c:pt>
                <c:pt idx="24">
                  <c:v>6.3999999999999915</c:v>
                </c:pt>
                <c:pt idx="25">
                  <c:v>6.4999999999999911</c:v>
                </c:pt>
                <c:pt idx="26">
                  <c:v>6.5999999999999908</c:v>
                </c:pt>
                <c:pt idx="27">
                  <c:v>6.6999999999999904</c:v>
                </c:pt>
                <c:pt idx="28">
                  <c:v>6.7999999999999901</c:v>
                </c:pt>
                <c:pt idx="29">
                  <c:v>6.8999999999999897</c:v>
                </c:pt>
                <c:pt idx="30">
                  <c:v>6.9999999999999893</c:v>
                </c:pt>
                <c:pt idx="31">
                  <c:v>7.099999999999989</c:v>
                </c:pt>
                <c:pt idx="32">
                  <c:v>7.1999999999999886</c:v>
                </c:pt>
                <c:pt idx="33">
                  <c:v>7.2999999999999883</c:v>
                </c:pt>
                <c:pt idx="34">
                  <c:v>7.3999999999999879</c:v>
                </c:pt>
                <c:pt idx="35">
                  <c:v>7.4999999999999876</c:v>
                </c:pt>
                <c:pt idx="36">
                  <c:v>7.5999999999999872</c:v>
                </c:pt>
                <c:pt idx="37">
                  <c:v>7.6999999999999869</c:v>
                </c:pt>
                <c:pt idx="38">
                  <c:v>7.7999999999999865</c:v>
                </c:pt>
                <c:pt idx="39">
                  <c:v>7.8999999999999861</c:v>
                </c:pt>
                <c:pt idx="40">
                  <c:v>7.9999999999999858</c:v>
                </c:pt>
                <c:pt idx="41">
                  <c:v>8.0999999999999854</c:v>
                </c:pt>
                <c:pt idx="42">
                  <c:v>8.1999999999999851</c:v>
                </c:pt>
                <c:pt idx="43">
                  <c:v>8.2999999999999847</c:v>
                </c:pt>
                <c:pt idx="44">
                  <c:v>8.3999999999999844</c:v>
                </c:pt>
                <c:pt idx="45">
                  <c:v>8.499999999999984</c:v>
                </c:pt>
                <c:pt idx="46">
                  <c:v>8.5999999999999837</c:v>
                </c:pt>
                <c:pt idx="47">
                  <c:v>8.6999999999999833</c:v>
                </c:pt>
                <c:pt idx="48">
                  <c:v>8.7999999999999829</c:v>
                </c:pt>
                <c:pt idx="49">
                  <c:v>8.8999999999999826</c:v>
                </c:pt>
                <c:pt idx="50">
                  <c:v>8.9999999999999822</c:v>
                </c:pt>
                <c:pt idx="51">
                  <c:v>9.0999999999999819</c:v>
                </c:pt>
                <c:pt idx="52">
                  <c:v>9.1999999999999815</c:v>
                </c:pt>
                <c:pt idx="53">
                  <c:v>9.2999999999999812</c:v>
                </c:pt>
                <c:pt idx="54">
                  <c:v>9.3999999999999808</c:v>
                </c:pt>
                <c:pt idx="55">
                  <c:v>9.4999999999999805</c:v>
                </c:pt>
                <c:pt idx="56">
                  <c:v>9.5999999999999801</c:v>
                </c:pt>
                <c:pt idx="57">
                  <c:v>9.6999999999999797</c:v>
                </c:pt>
                <c:pt idx="58">
                  <c:v>9.7999999999999794</c:v>
                </c:pt>
                <c:pt idx="59">
                  <c:v>9.899999999999979</c:v>
                </c:pt>
                <c:pt idx="60">
                  <c:v>9.9999999999999787</c:v>
                </c:pt>
                <c:pt idx="61">
                  <c:v>10.099999999999978</c:v>
                </c:pt>
                <c:pt idx="62">
                  <c:v>10.199999999999978</c:v>
                </c:pt>
                <c:pt idx="63">
                  <c:v>10.299999999999978</c:v>
                </c:pt>
                <c:pt idx="64">
                  <c:v>10.399999999999977</c:v>
                </c:pt>
                <c:pt idx="65">
                  <c:v>10.499999999999977</c:v>
                </c:pt>
                <c:pt idx="66">
                  <c:v>10.599999999999977</c:v>
                </c:pt>
                <c:pt idx="67">
                  <c:v>10.699999999999976</c:v>
                </c:pt>
                <c:pt idx="68">
                  <c:v>10.799999999999976</c:v>
                </c:pt>
                <c:pt idx="69">
                  <c:v>10.899999999999975</c:v>
                </c:pt>
                <c:pt idx="70">
                  <c:v>10.999999999999975</c:v>
                </c:pt>
              </c:numCache>
            </c:numRef>
          </c:xVal>
          <c:yVal>
            <c:numRef>
              <c:f>'[1]Calc DIC species'!$P$12:$P$82</c:f>
              <c:numCache>
                <c:formatCode>General</c:formatCode>
                <c:ptCount val="71"/>
                <c:pt idx="0">
                  <c:v>1.2017188662671601E-7</c:v>
                </c:pt>
                <c:pt idx="1">
                  <c:v>1.8980720490292563E-7</c:v>
                </c:pt>
                <c:pt idx="2">
                  <c:v>2.9953245972889738E-7</c:v>
                </c:pt>
                <c:pt idx="3">
                  <c:v>4.721745481463817E-7</c:v>
                </c:pt>
                <c:pt idx="4">
                  <c:v>7.4331489797618078E-7</c:v>
                </c:pt>
                <c:pt idx="5">
                  <c:v>1.1681869803346211E-6</c:v>
                </c:pt>
                <c:pt idx="6">
                  <c:v>1.8320928337666389E-6</c:v>
                </c:pt>
                <c:pt idx="7">
                  <c:v>2.8659454960823543E-6</c:v>
                </c:pt>
                <c:pt idx="8">
                  <c:v>4.4691164431559554E-6</c:v>
                </c:pt>
                <c:pt idx="9">
                  <c:v>6.9424099804206747E-6</c:v>
                </c:pt>
                <c:pt idx="10">
                  <c:v>1.0734594678196544E-5</c:v>
                </c:pt>
                <c:pt idx="11">
                  <c:v>1.6506296087038782E-5</c:v>
                </c:pt>
                <c:pt idx="12">
                  <c:v>2.5214896916606462E-5</c:v>
                </c:pt>
                <c:pt idx="13">
                  <c:v>3.8223063636868747E-5</c:v>
                </c:pt>
                <c:pt idx="14">
                  <c:v>5.743142192472156E-5</c:v>
                </c:pt>
                <c:pt idx="15">
                  <c:v>8.5432979436723719E-5</c:v>
                </c:pt>
                <c:pt idx="16">
                  <c:v>1.2568415774093068E-4</c:v>
                </c:pt>
                <c:pt idx="17">
                  <c:v>1.8268660527826275E-4</c:v>
                </c:pt>
                <c:pt idx="18">
                  <c:v>2.621774684723688E-4</c:v>
                </c:pt>
                <c:pt idx="19">
                  <c:v>3.7133466374300632E-4</c:v>
                </c:pt>
                <c:pt idx="20">
                  <c:v>5.1901673464484969E-4</c:v>
                </c:pt>
                <c:pt idx="21">
                  <c:v>7.1607033564831965E-4</c:v>
                </c:pt>
                <c:pt idx="22">
                  <c:v>9.7574764594619899E-4</c:v>
                </c:pt>
                <c:pt idx="23">
                  <c:v>1.3142784802644316E-3</c:v>
                </c:pt>
                <c:pt idx="24">
                  <c:v>1.7516387433167398E-3</c:v>
                </c:pt>
                <c:pt idx="25">
                  <c:v>2.3125523893256705E-3</c:v>
                </c:pt>
                <c:pt idx="26">
                  <c:v>3.0277626621489592E-3</c:v>
                </c:pt>
                <c:pt idx="27">
                  <c:v>3.9356123023709475E-3</c:v>
                </c:pt>
                <c:pt idx="28">
                  <c:v>5.0839808208536941E-3</c:v>
                </c:pt>
                <c:pt idx="29">
                  <c:v>6.5326368960771731E-3</c:v>
                </c:pt>
                <c:pt idx="30">
                  <c:v>8.3560714623093363E-3</c:v>
                </c:pt>
                <c:pt idx="31">
                  <c:v>1.0646877527597604E-2</c:v>
                </c:pt>
                <c:pt idx="32">
                  <c:v>1.3519730545813369E-2</c:v>
                </c:pt>
                <c:pt idx="33">
                  <c:v>1.7115990491279869E-2</c:v>
                </c:pt>
                <c:pt idx="34">
                  <c:v>2.1608882485231167E-2</c:v>
                </c:pt>
                <c:pt idx="35">
                  <c:v>2.720910128386396E-2</c:v>
                </c:pt>
                <c:pt idx="36">
                  <c:v>3.4170505770283743E-2</c:v>
                </c:pt>
                <c:pt idx="37">
                  <c:v>4.2795299097983804E-2</c:v>
                </c:pt>
                <c:pt idx="38">
                  <c:v>5.3437706398801972E-2</c:v>
                </c:pt>
                <c:pt idx="39">
                  <c:v>6.6504656519761896E-2</c:v>
                </c:pt>
                <c:pt idx="40">
                  <c:v>8.245137391143724E-2</c:v>
                </c:pt>
                <c:pt idx="41">
                  <c:v>0.10176918835447166</c:v>
                </c:pt>
                <c:pt idx="42">
                  <c:v>0.12496248500366933</c:v>
                </c:pt>
                <c:pt idx="43">
                  <c:v>0.15251190844384901</c:v>
                </c:pt>
                <c:pt idx="44">
                  <c:v>0.18482220553431702</c:v>
                </c:pt>
                <c:pt idx="45">
                  <c:v>0.22215595667467652</c:v>
                </c:pt>
                <c:pt idx="46">
                  <c:v>0.26455911116436315</c:v>
                </c:pt>
                <c:pt idx="47">
                  <c:v>0.31179012167041809</c:v>
                </c:pt>
                <c:pt idx="48">
                  <c:v>0.36326974862456801</c:v>
                </c:pt>
                <c:pt idx="49">
                  <c:v>0.41807034184588804</c:v>
                </c:pt>
                <c:pt idx="50">
                  <c:v>0.47495870222048275</c:v>
                </c:pt>
                <c:pt idx="51">
                  <c:v>0.5324946912881714</c:v>
                </c:pt>
                <c:pt idx="52">
                  <c:v>0.58917165642616143</c:v>
                </c:pt>
                <c:pt idx="53">
                  <c:v>0.6435709410593099</c:v>
                </c:pt>
                <c:pt idx="54">
                  <c:v>0.69449782708902197</c:v>
                </c:pt>
                <c:pt idx="55">
                  <c:v>0.74107271813623754</c:v>
                </c:pt>
                <c:pt idx="56">
                  <c:v>0.78276594141027311</c:v>
                </c:pt>
                <c:pt idx="57">
                  <c:v>0.81938039478786628</c:v>
                </c:pt>
                <c:pt idx="58">
                  <c:v>0.85099726540684961</c:v>
                </c:pt>
                <c:pt idx="59">
                  <c:v>0.87790371760639752</c:v>
                </c:pt>
                <c:pt idx="60">
                  <c:v>0.90051901386550193</c:v>
                </c:pt>
                <c:pt idx="61">
                  <c:v>0.91933001178115625</c:v>
                </c:pt>
                <c:pt idx="62">
                  <c:v>0.93484119319311065</c:v>
                </c:pt>
                <c:pt idx="63">
                  <c:v>0.94753995890275822</c:v>
                </c:pt>
                <c:pt idx="64">
                  <c:v>0.95787530754353556</c:v>
                </c:pt>
                <c:pt idx="65">
                  <c:v>0.9662469323274836</c:v>
                </c:pt>
                <c:pt idx="66">
                  <c:v>0.97300168774012075</c:v>
                </c:pt>
                <c:pt idx="67">
                  <c:v>0.9784348118869487</c:v>
                </c:pt>
                <c:pt idx="68">
                  <c:v>0.98279389845950216</c:v>
                </c:pt>
                <c:pt idx="69">
                  <c:v>0.98628420280773621</c:v>
                </c:pt>
                <c:pt idx="70">
                  <c:v>0.98907435504557606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BD-4E93-8C44-6E2407DD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679984"/>
        <c:axId val="633680640"/>
      </c:scatterChart>
      <c:valAx>
        <c:axId val="633679984"/>
        <c:scaling>
          <c:orientation val="minMax"/>
          <c:max val="11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80640"/>
        <c:crosses val="autoZero"/>
        <c:crossBetween val="midCat"/>
        <c:majorUnit val="1"/>
        <c:minorUnit val="0.1"/>
      </c:valAx>
      <c:valAx>
        <c:axId val="6336806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Fraction (%) of each carbonate species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79984"/>
        <c:crosses val="autoZero"/>
        <c:crossBetween val="midCat"/>
        <c:majorUnit val="0.2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929278794269518"/>
          <c:y val="0.27876153576054641"/>
          <c:w val="0.21930236841682357"/>
          <c:h val="0.38853914340896778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[2]Calculations!$D$3</c:f>
              <c:strCache>
                <c:ptCount val="1"/>
                <c:pt idx="0">
                  <c:v>500mg</c:v>
                </c:pt>
              </c:strCache>
            </c:strRef>
          </c:tx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27915769903762028"/>
                  <c:y val="-7.4433143773694949E-2"/>
                </c:manualLayout>
              </c:layout>
              <c:numFmt formatCode="General" sourceLinked="0"/>
            </c:trendlineLbl>
          </c:trendline>
          <c:xVal>
            <c:numRef>
              <c:f>([2]Calculations!$N$3,[2]Calculations!$N$6,[2]Calculations!$N$8)</c:f>
              <c:numCache>
                <c:formatCode>General</c:formatCode>
                <c:ptCount val="3"/>
                <c:pt idx="0">
                  <c:v>173.1</c:v>
                </c:pt>
                <c:pt idx="1">
                  <c:v>740.5</c:v>
                </c:pt>
                <c:pt idx="2">
                  <c:v>1579</c:v>
                </c:pt>
              </c:numCache>
            </c:numRef>
          </c:xVal>
          <c:yVal>
            <c:numRef>
              <c:f>([2]Calculations!$O$3,[2]Calculations!$O$6,[2]Calculations!$O$8)</c:f>
              <c:numCache>
                <c:formatCode>General</c:formatCode>
                <c:ptCount val="3"/>
                <c:pt idx="0">
                  <c:v>50</c:v>
                </c:pt>
                <c:pt idx="1">
                  <c:v>150</c:v>
                </c:pt>
                <c:pt idx="2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BC-4BCA-9356-B8C5238E5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63456"/>
        <c:axId val="66561920"/>
      </c:scatterChart>
      <c:valAx>
        <c:axId val="6656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Area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66561920"/>
        <c:crosses val="autoZero"/>
        <c:crossBetween val="midCat"/>
      </c:valAx>
      <c:valAx>
        <c:axId val="66561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mg C/L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665634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[2]Calculations!$D$23</c:f>
              <c:strCache>
                <c:ptCount val="1"/>
                <c:pt idx="0">
                  <c:v>3000mg</c:v>
                </c:pt>
              </c:strCache>
            </c:strRef>
          </c:tx>
          <c:spPr>
            <a:ln w="19050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8586753977795329"/>
                  <c:y val="-8.5865360174521732E-2"/>
                </c:manualLayout>
              </c:layout>
              <c:numFmt formatCode="General" sourceLinked="0"/>
            </c:trendlineLbl>
          </c:trendline>
          <c:xVal>
            <c:numRef>
              <c:f>([2]Calculations!$N$23,[2]Calculations!$N$26,[2]Calculations!$N$29)</c:f>
              <c:numCache>
                <c:formatCode>General</c:formatCode>
                <c:ptCount val="3"/>
                <c:pt idx="0">
                  <c:v>608.20000000000005</c:v>
                </c:pt>
                <c:pt idx="1">
                  <c:v>1026</c:v>
                </c:pt>
                <c:pt idx="2">
                  <c:v>1461</c:v>
                </c:pt>
              </c:numCache>
            </c:numRef>
          </c:xVal>
          <c:yVal>
            <c:numRef>
              <c:f>([2]Calculations!$O$23,[2]Calculations!$O$26,[2]Calculations!$O$29)</c:f>
              <c:numCache>
                <c:formatCode>General</c:formatCode>
                <c:ptCount val="3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8-4517-B546-3C68D30A6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63456"/>
        <c:axId val="66561920"/>
      </c:scatterChart>
      <c:valAx>
        <c:axId val="66563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Area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66561920"/>
        <c:crosses val="autoZero"/>
        <c:crossBetween val="midCat"/>
      </c:valAx>
      <c:valAx>
        <c:axId val="66561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a-DK"/>
                  <a:t>mg C/L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665634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</xdr:colOff>
      <xdr:row>4</xdr:row>
      <xdr:rowOff>124239</xdr:rowOff>
    </xdr:from>
    <xdr:to>
      <xdr:col>6</xdr:col>
      <xdr:colOff>462444</xdr:colOff>
      <xdr:row>17</xdr:row>
      <xdr:rowOff>131141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545272</xdr:colOff>
      <xdr:row>4</xdr:row>
      <xdr:rowOff>124376</xdr:rowOff>
    </xdr:from>
    <xdr:to>
      <xdr:col>14</xdr:col>
      <xdr:colOff>143705</xdr:colOff>
      <xdr:row>17</xdr:row>
      <xdr:rowOff>144946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336824</xdr:colOff>
      <xdr:row>1</xdr:row>
      <xdr:rowOff>38653</xdr:rowOff>
    </xdr:from>
    <xdr:to>
      <xdr:col>19</xdr:col>
      <xdr:colOff>138043</xdr:colOff>
      <xdr:row>30</xdr:row>
      <xdr:rowOff>149087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461131</xdr:colOff>
      <xdr:row>5</xdr:row>
      <xdr:rowOff>0</xdr:rowOff>
    </xdr:from>
    <xdr:to>
      <xdr:col>10</xdr:col>
      <xdr:colOff>440569</xdr:colOff>
      <xdr:row>20</xdr:row>
      <xdr:rowOff>75597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434931</xdr:colOff>
      <xdr:row>2</xdr:row>
      <xdr:rowOff>173972</xdr:rowOff>
    </xdr:from>
    <xdr:to>
      <xdr:col>24</xdr:col>
      <xdr:colOff>191370</xdr:colOff>
      <xdr:row>35</xdr:row>
      <xdr:rowOff>156574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709084</xdr:colOff>
      <xdr:row>10</xdr:row>
      <xdr:rowOff>128865</xdr:rowOff>
    </xdr:from>
    <xdr:to>
      <xdr:col>5</xdr:col>
      <xdr:colOff>550334</xdr:colOff>
      <xdr:row>18</xdr:row>
      <xdr:rowOff>870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084" y="2395815"/>
          <a:ext cx="3111500" cy="1383305"/>
        </a:xfrm>
        <a:prstGeom prst="rect">
          <a:avLst/>
        </a:prstGeom>
      </xdr:spPr>
    </xdr:pic>
    <xdr:clientData/>
  </xdr:twoCellAnchor>
  <xdr:twoCellAnchor>
    <xdr:from>
      <xdr:col>6</xdr:col>
      <xdr:colOff>428096</xdr:colOff>
      <xdr:row>4</xdr:row>
      <xdr:rowOff>16934</xdr:rowOff>
    </xdr:from>
    <xdr:to>
      <xdr:col>11</xdr:col>
      <xdr:colOff>1083734</xdr:colOff>
      <xdr:row>17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14112</xdr:colOff>
      <xdr:row>0</xdr:row>
      <xdr:rowOff>65576</xdr:rowOff>
    </xdr:from>
    <xdr:to>
      <xdr:col>33</xdr:col>
      <xdr:colOff>42333</xdr:colOff>
      <xdr:row>9</xdr:row>
      <xdr:rowOff>171409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600968</xdr:colOff>
      <xdr:row>21</xdr:row>
      <xdr:rowOff>37767</xdr:rowOff>
    </xdr:from>
    <xdr:to>
      <xdr:col>33</xdr:col>
      <xdr:colOff>19091</xdr:colOff>
      <xdr:row>30</xdr:row>
      <xdr:rowOff>146920</xdr:rowOff>
    </xdr:to>
    <xdr:graphicFrame macro="">
      <xdr:nvGraphicFramePr>
        <xdr:cNvPr id="3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n874/Desktop/PhD/Experiments/TIC/DIC_calc_1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IC_RNA_July22/Processed%20data_TIC_JULY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 DIC species"/>
      <sheetName val="Sheet1"/>
    </sheetNames>
    <sheetDataSet>
      <sheetData sheetId="0">
        <row r="11">
          <cell r="N11" t="str">
            <v>[CO2]/DIC</v>
          </cell>
          <cell r="O11" t="str">
            <v>[HCO3-]/DIC</v>
          </cell>
          <cell r="P11" t="str">
            <v>[CO32-]/DIC</v>
          </cell>
        </row>
        <row r="12">
          <cell r="M12">
            <v>4</v>
          </cell>
          <cell r="N12">
            <v>0.98672539140728677</v>
          </cell>
          <cell r="O12">
            <v>1.3274488420826612E-2</v>
          </cell>
          <cell r="P12">
            <v>1.2017188662671601E-7</v>
          </cell>
        </row>
        <row r="13">
          <cell r="M13">
            <v>4.0999999999999996</v>
          </cell>
          <cell r="N13">
            <v>0.98334546325734618</v>
          </cell>
          <cell r="O13">
            <v>1.6654346935448823E-2</v>
          </cell>
          <cell r="P13">
            <v>1.8980720490292563E-7</v>
          </cell>
        </row>
        <row r="14">
          <cell r="M14">
            <v>4.1999999999999993</v>
          </cell>
          <cell r="N14">
            <v>0.97912314678834833</v>
          </cell>
          <cell r="O14">
            <v>2.0876553679191889E-2</v>
          </cell>
          <cell r="P14">
            <v>2.9953245972889738E-7</v>
          </cell>
        </row>
        <row r="15">
          <cell r="M15">
            <v>4.2999999999999989</v>
          </cell>
          <cell r="N15">
            <v>0.97385881133326913</v>
          </cell>
          <cell r="O15">
            <v>2.6140716492182751E-2</v>
          </cell>
          <cell r="P15">
            <v>4.721745481463817E-7</v>
          </cell>
        </row>
        <row r="16">
          <cell r="M16">
            <v>4.3999999999999986</v>
          </cell>
          <cell r="N16">
            <v>0.96731130172336532</v>
          </cell>
          <cell r="O16">
            <v>3.2687954961736709E-2</v>
          </cell>
          <cell r="P16">
            <v>7.4331489797618078E-7</v>
          </cell>
        </row>
        <row r="17">
          <cell r="M17">
            <v>4.4999999999999982</v>
          </cell>
          <cell r="N17">
            <v>0.95919252644181097</v>
          </cell>
          <cell r="O17">
            <v>4.0806305371208614E-2</v>
          </cell>
          <cell r="P17">
            <v>1.1681869803346211E-6</v>
          </cell>
        </row>
        <row r="18">
          <cell r="M18">
            <v>4.5999999999999979</v>
          </cell>
          <cell r="N18">
            <v>0.9491632192108459</v>
          </cell>
          <cell r="O18">
            <v>5.0834948696320346E-2</v>
          </cell>
          <cell r="P18">
            <v>1.8320928337666389E-6</v>
          </cell>
        </row>
        <row r="19">
          <cell r="M19">
            <v>4.6999999999999975</v>
          </cell>
          <cell r="N19">
            <v>0.93683121194539198</v>
          </cell>
          <cell r="O19">
            <v>6.3165922109111955E-2</v>
          </cell>
          <cell r="P19">
            <v>2.8659454960823543E-6</v>
          </cell>
        </row>
        <row r="20">
          <cell r="M20">
            <v>4.7999999999999972</v>
          </cell>
          <cell r="N20">
            <v>0.92175413607693757</v>
          </cell>
          <cell r="O20">
            <v>7.8241394806619249E-2</v>
          </cell>
          <cell r="P20">
            <v>4.4691164431559554E-6</v>
          </cell>
        </row>
        <row r="21">
          <cell r="M21">
            <v>4.8999999999999968</v>
          </cell>
          <cell r="N21">
            <v>0.90344908376547284</v>
          </cell>
          <cell r="O21">
            <v>9.6543973824546686E-2</v>
          </cell>
          <cell r="P21">
            <v>6.9424099804206747E-6</v>
          </cell>
        </row>
        <row r="22">
          <cell r="M22">
            <v>4.9999999999999964</v>
          </cell>
          <cell r="N22">
            <v>0.88141223648622247</v>
          </cell>
          <cell r="O22">
            <v>0.11857702891909938</v>
          </cell>
          <cell r="P22">
            <v>1.0734594678196544E-5</v>
          </cell>
        </row>
        <row r="23">
          <cell r="M23">
            <v>5.0999999999999961</v>
          </cell>
          <cell r="N23">
            <v>0.85515148809412467</v>
          </cell>
          <cell r="O23">
            <v>0.14483200560978818</v>
          </cell>
          <cell r="P23">
            <v>1.6506296087038782E-5</v>
          </cell>
        </row>
        <row r="24">
          <cell r="M24">
            <v>5.1999999999999957</v>
          </cell>
          <cell r="N24">
            <v>0.82423418274190141</v>
          </cell>
          <cell r="O24">
            <v>0.17574060236118194</v>
          </cell>
          <cell r="P24">
            <v>2.5214896916606462E-5</v>
          </cell>
        </row>
        <row r="25">
          <cell r="M25">
            <v>5.2999999999999954</v>
          </cell>
          <cell r="N25">
            <v>0.78834972077693377</v>
          </cell>
          <cell r="O25">
            <v>0.21161205615942943</v>
          </cell>
          <cell r="P25">
            <v>3.8223063636868747E-5</v>
          </cell>
        </row>
        <row r="26">
          <cell r="M26">
            <v>5.399999999999995</v>
          </cell>
          <cell r="N26">
            <v>0.74738261876741385</v>
          </cell>
          <cell r="O26">
            <v>0.25255994981066138</v>
          </cell>
          <cell r="P26">
            <v>5.743142192472156E-5</v>
          </cell>
        </row>
        <row r="27">
          <cell r="M27">
            <v>5.4999999999999947</v>
          </cell>
          <cell r="N27">
            <v>0.70148595016775817</v>
          </cell>
          <cell r="O27">
            <v>0.2984286168528052</v>
          </cell>
          <cell r="P27">
            <v>8.5432979436723719E-5</v>
          </cell>
        </row>
        <row r="28">
          <cell r="M28">
            <v>5.5999999999999943</v>
          </cell>
          <cell r="N28">
            <v>0.65113938314974318</v>
          </cell>
          <cell r="O28">
            <v>0.34873493269251588</v>
          </cell>
          <cell r="P28">
            <v>1.2568415774093068E-4</v>
          </cell>
        </row>
        <row r="29">
          <cell r="M29">
            <v>5.699999999999994</v>
          </cell>
          <cell r="N29">
            <v>0.59717295413670035</v>
          </cell>
          <cell r="O29">
            <v>0.40264435925802128</v>
          </cell>
          <cell r="P29">
            <v>1.8268660527826275E-4</v>
          </cell>
        </row>
        <row r="30">
          <cell r="M30">
            <v>5.7999999999999936</v>
          </cell>
          <cell r="N30">
            <v>0.54074036562792138</v>
          </cell>
          <cell r="O30">
            <v>0.45899745690360627</v>
          </cell>
          <cell r="P30">
            <v>2.621774684723688E-4</v>
          </cell>
        </row>
        <row r="31">
          <cell r="M31">
            <v>5.8999999999999932</v>
          </cell>
          <cell r="N31">
            <v>0.48323559495207952</v>
          </cell>
          <cell r="O31">
            <v>0.51639307038417748</v>
          </cell>
          <cell r="P31">
            <v>3.7133466374300632E-4</v>
          </cell>
        </row>
        <row r="32">
          <cell r="M32">
            <v>5.9999999999999929</v>
          </cell>
          <cell r="N32">
            <v>0.42616206253812322</v>
          </cell>
          <cell r="O32">
            <v>0.5733189207272319</v>
          </cell>
          <cell r="P32">
            <v>5.1901673464484969E-4</v>
          </cell>
        </row>
        <row r="33">
          <cell r="M33">
            <v>6.0999999999999925</v>
          </cell>
          <cell r="N33">
            <v>0.37097881310305825</v>
          </cell>
          <cell r="O33">
            <v>0.62830511656129351</v>
          </cell>
          <cell r="P33">
            <v>7.1607033564831965E-4</v>
          </cell>
        </row>
        <row r="34">
          <cell r="M34">
            <v>6.1999999999999922</v>
          </cell>
          <cell r="N34">
            <v>0.31895611795626244</v>
          </cell>
          <cell r="O34">
            <v>0.68006813439779135</v>
          </cell>
          <cell r="P34">
            <v>9.7574764594619899E-4</v>
          </cell>
        </row>
        <row r="35">
          <cell r="M35">
            <v>6.2999999999999918</v>
          </cell>
          <cell r="N35">
            <v>0.27106960414868869</v>
          </cell>
          <cell r="O35">
            <v>0.72761611737104692</v>
          </cell>
          <cell r="P35">
            <v>1.3142784802644316E-3</v>
          </cell>
        </row>
        <row r="36">
          <cell r="M36">
            <v>6.3999999999999915</v>
          </cell>
          <cell r="N36">
            <v>0.2279491447783609</v>
          </cell>
          <cell r="O36">
            <v>0.77029921647832222</v>
          </cell>
          <cell r="P36">
            <v>1.7516387433167398E-3</v>
          </cell>
        </row>
        <row r="37">
          <cell r="M37">
            <v>6.4999999999999911</v>
          </cell>
          <cell r="N37">
            <v>0.18988252789900281</v>
          </cell>
          <cell r="O37">
            <v>0.80780491971167168</v>
          </cell>
          <cell r="P37">
            <v>2.3125523893256705E-3</v>
          </cell>
        </row>
        <row r="38">
          <cell r="M38">
            <v>6.5999999999999908</v>
          </cell>
          <cell r="N38">
            <v>0.15686109909089083</v>
          </cell>
          <cell r="O38">
            <v>0.84011113824696038</v>
          </cell>
          <cell r="P38">
            <v>3.0277626621489592E-3</v>
          </cell>
        </row>
        <row r="39">
          <cell r="M39">
            <v>6.6999999999999904</v>
          </cell>
          <cell r="N39">
            <v>0.12864879838145876</v>
          </cell>
          <cell r="O39">
            <v>0.86741558931617035</v>
          </cell>
          <cell r="P39">
            <v>3.9356123023709475E-3</v>
          </cell>
        </row>
        <row r="40">
          <cell r="M40">
            <v>6.7999999999999901</v>
          </cell>
          <cell r="N40">
            <v>0.10485697584663123</v>
          </cell>
          <cell r="O40">
            <v>0.89005904333251529</v>
          </cell>
          <cell r="P40">
            <v>5.0839808208536941E-3</v>
          </cell>
        </row>
        <row r="41">
          <cell r="M41">
            <v>6.8999999999999897</v>
          </cell>
          <cell r="N41">
            <v>8.5012334837303916E-2</v>
          </cell>
          <cell r="O41">
            <v>0.90845502826661906</v>
          </cell>
          <cell r="P41">
            <v>6.5326368960771731E-3</v>
          </cell>
        </row>
        <row r="42">
          <cell r="M42">
            <v>6.9999999999999893</v>
          </cell>
          <cell r="N42">
            <v>6.8611287679008842E-2</v>
          </cell>
          <cell r="O42">
            <v>0.92303264085868186</v>
          </cell>
          <cell r="P42">
            <v>8.3560714623093363E-3</v>
          </cell>
        </row>
        <row r="43">
          <cell r="M43">
            <v>7.099999999999989</v>
          </cell>
          <cell r="N43">
            <v>5.5158910959016087E-2</v>
          </cell>
          <cell r="O43">
            <v>0.93419421151338644</v>
          </cell>
          <cell r="P43">
            <v>1.0646877527597604E-2</v>
          </cell>
        </row>
        <row r="44">
          <cell r="M44">
            <v>7.1999999999999886</v>
          </cell>
          <cell r="N44">
            <v>4.4193811674798238E-2</v>
          </cell>
          <cell r="O44">
            <v>0.94228645777938824</v>
          </cell>
          <cell r="P44">
            <v>1.3519730545813369E-2</v>
          </cell>
        </row>
        <row r="45">
          <cell r="M45">
            <v>7.2999999999999883</v>
          </cell>
          <cell r="N45">
            <v>3.5301687098692663E-2</v>
          </cell>
          <cell r="O45">
            <v>0.94758232241002749</v>
          </cell>
          <cell r="P45">
            <v>1.7115990491279869E-2</v>
          </cell>
        </row>
        <row r="46">
          <cell r="M46">
            <v>7.3999999999999879</v>
          </cell>
          <cell r="N46">
            <v>2.8120674430834568E-2</v>
          </cell>
          <cell r="O46">
            <v>0.95027044308393427</v>
          </cell>
          <cell r="P46">
            <v>2.1608882485231167E-2</v>
          </cell>
        </row>
        <row r="47">
          <cell r="M47">
            <v>7.4999999999999876</v>
          </cell>
          <cell r="N47">
            <v>2.2341257899660873E-2</v>
          </cell>
          <cell r="O47">
            <v>0.95044964081647521</v>
          </cell>
          <cell r="P47">
            <v>2.720910128386396E-2</v>
          </cell>
        </row>
        <row r="48">
          <cell r="M48">
            <v>7.5999999999999872</v>
          </cell>
          <cell r="N48">
            <v>1.7702916938060583E-2</v>
          </cell>
          <cell r="O48">
            <v>0.94812657729165561</v>
          </cell>
          <cell r="P48">
            <v>3.4170505770283743E-2</v>
          </cell>
        </row>
        <row r="49">
          <cell r="M49">
            <v>7.6999999999999869</v>
          </cell>
          <cell r="N49">
            <v>1.398909085128658E-2</v>
          </cell>
          <cell r="O49">
            <v>0.94321561005072951</v>
          </cell>
          <cell r="P49">
            <v>4.2795299097983804E-2</v>
          </cell>
        </row>
        <row r="50">
          <cell r="M50">
            <v>7.7999999999999865</v>
          </cell>
          <cell r="N50">
            <v>1.1021513429347941E-2</v>
          </cell>
          <cell r="O50">
            <v>0.93554078017185016</v>
          </cell>
          <cell r="P50">
            <v>5.3437706398801972E-2</v>
          </cell>
        </row>
        <row r="51">
          <cell r="M51">
            <v>7.8999999999999861</v>
          </cell>
          <cell r="N51">
            <v>8.6545696909819253E-3</v>
          </cell>
          <cell r="O51">
            <v>0.92484077378925611</v>
          </cell>
          <cell r="P51">
            <v>6.6504656519761896E-2</v>
          </cell>
        </row>
        <row r="52">
          <cell r="M52">
            <v>7.9999999999999858</v>
          </cell>
          <cell r="N52">
            <v>6.7700413531453915E-3</v>
          </cell>
          <cell r="O52">
            <v>0.91077858473541751</v>
          </cell>
          <cell r="P52">
            <v>8.245137391143724E-2</v>
          </cell>
        </row>
        <row r="53">
          <cell r="M53">
            <v>8.0999999999999854</v>
          </cell>
          <cell r="N53">
            <v>5.2724168041429278E-3</v>
          </cell>
          <cell r="O53">
            <v>0.89295839484138528</v>
          </cell>
          <cell r="P53">
            <v>0.10176918835447166</v>
          </cell>
        </row>
        <row r="54">
          <cell r="M54">
            <v>8.1999999999999851</v>
          </cell>
          <cell r="N54">
            <v>4.084821446665012E-3</v>
          </cell>
          <cell r="O54">
            <v>0.87095269354966565</v>
          </cell>
          <cell r="P54">
            <v>0.12496248500366933</v>
          </cell>
        </row>
        <row r="55">
          <cell r="M55">
            <v>8.2999999999999847</v>
          </cell>
          <cell r="N55">
            <v>3.145554254340272E-3</v>
          </cell>
          <cell r="O55">
            <v>0.84434253730181053</v>
          </cell>
          <cell r="P55">
            <v>0.15251190844384901</v>
          </cell>
        </row>
        <row r="56">
          <cell r="M56">
            <v>8.3999999999999844</v>
          </cell>
          <cell r="N56">
            <v>2.4051799406894689E-3</v>
          </cell>
          <cell r="O56">
            <v>0.8127726145249935</v>
          </cell>
          <cell r="P56">
            <v>0.18482220553431702</v>
          </cell>
        </row>
        <row r="57">
          <cell r="M57">
            <v>8.499999999999984</v>
          </cell>
          <cell r="N57">
            <v>1.8241115243884619E-3</v>
          </cell>
          <cell r="O57">
            <v>0.77601993180093509</v>
          </cell>
          <cell r="P57">
            <v>0.22215595667467652</v>
          </cell>
        </row>
        <row r="58">
          <cell r="M58">
            <v>8.5999999999999837</v>
          </cell>
          <cell r="N58">
            <v>1.3706171051828255E-3</v>
          </cell>
          <cell r="O58">
            <v>0.73407027173045392</v>
          </cell>
          <cell r="P58">
            <v>0.26455911116436315</v>
          </cell>
        </row>
        <row r="59">
          <cell r="M59">
            <v>8.6999999999999833</v>
          </cell>
          <cell r="N59">
            <v>1.019191460397278E-3</v>
          </cell>
          <cell r="O59">
            <v>0.68719068686918461</v>
          </cell>
          <cell r="P59">
            <v>0.31179012167041809</v>
          </cell>
        </row>
        <row r="60">
          <cell r="M60">
            <v>8.7999999999999829</v>
          </cell>
          <cell r="N60">
            <v>7.4924293776039679E-4</v>
          </cell>
          <cell r="O60">
            <v>0.63598100843767158</v>
          </cell>
          <cell r="P60">
            <v>0.36326974862456801</v>
          </cell>
        </row>
        <row r="61">
          <cell r="M61">
            <v>8.8999999999999826</v>
          </cell>
          <cell r="N61">
            <v>5.4405497277664697E-4</v>
          </cell>
          <cell r="O61">
            <v>0.58138560318133536</v>
          </cell>
          <cell r="P61">
            <v>0.41807034184588804</v>
          </cell>
        </row>
        <row r="62">
          <cell r="M62">
            <v>8.9999999999999822</v>
          </cell>
          <cell r="N62">
            <v>3.8998623097812946E-4</v>
          </cell>
          <cell r="O62">
            <v>0.52465131154853906</v>
          </cell>
          <cell r="P62">
            <v>0.47495870222048275</v>
          </cell>
        </row>
        <row r="63">
          <cell r="M63">
            <v>9.0999999999999819</v>
          </cell>
          <cell r="N63">
            <v>2.7587268837064865E-4</v>
          </cell>
          <cell r="O63">
            <v>0.46722943602345784</v>
          </cell>
          <cell r="P63">
            <v>0.5324946912881714</v>
          </cell>
        </row>
        <row r="64">
          <cell r="M64">
            <v>9.1999999999999815</v>
          </cell>
          <cell r="N64">
            <v>1.9259068174469352E-4</v>
          </cell>
          <cell r="O64">
            <v>0.41063575289209386</v>
          </cell>
          <cell r="P64">
            <v>0.58917165642616143</v>
          </cell>
        </row>
        <row r="65">
          <cell r="M65">
            <v>9.2999999999999812</v>
          </cell>
          <cell r="N65">
            <v>1.3273634382224295E-4</v>
          </cell>
          <cell r="O65">
            <v>0.35629632259686778</v>
          </cell>
          <cell r="P65">
            <v>0.6435709410593099</v>
          </cell>
        </row>
        <row r="66">
          <cell r="M66">
            <v>9.3999999999999808</v>
          </cell>
          <cell r="N66">
            <v>9.0378330771343049E-5</v>
          </cell>
          <cell r="O66">
            <v>0.30541179458020673</v>
          </cell>
          <cell r="P66">
            <v>0.69449782708902197</v>
          </cell>
        </row>
        <row r="67">
          <cell r="M67">
            <v>9.4999999999999805</v>
          </cell>
          <cell r="N67">
            <v>6.0849112749282661E-5</v>
          </cell>
          <cell r="O67">
            <v>0.25886643275101306</v>
          </cell>
          <cell r="P67">
            <v>0.74107271813623754</v>
          </cell>
        </row>
        <row r="68">
          <cell r="M68">
            <v>9.5999999999999801</v>
          </cell>
          <cell r="N68">
            <v>4.0553220183179736E-5</v>
          </cell>
          <cell r="O68">
            <v>0.21719350536954371</v>
          </cell>
          <cell r="P68">
            <v>0.78276594141027311</v>
          </cell>
        </row>
        <row r="69">
          <cell r="M69">
            <v>9.6999999999999797</v>
          </cell>
          <cell r="N69">
            <v>2.6784219355978067E-5</v>
          </cell>
          <cell r="O69">
            <v>0.18059282099277771</v>
          </cell>
          <cell r="P69">
            <v>0.81938039478786628</v>
          </cell>
        </row>
        <row r="70">
          <cell r="M70">
            <v>9.7999999999999794</v>
          </cell>
          <cell r="N70">
            <v>1.7551797075689138E-5</v>
          </cell>
          <cell r="O70">
            <v>0.14898518279607462</v>
          </cell>
          <cell r="P70">
            <v>0.85099726540684961</v>
          </cell>
        </row>
        <row r="71">
          <cell r="M71">
            <v>9.899999999999979</v>
          </cell>
          <cell r="N71">
            <v>1.1424581831708602E-5</v>
          </cell>
          <cell r="O71">
            <v>0.1220848578117707</v>
          </cell>
          <cell r="P71">
            <v>0.87790371760639752</v>
          </cell>
        </row>
        <row r="72">
          <cell r="M72">
            <v>9.9999999999999787</v>
          </cell>
          <cell r="N72">
            <v>7.3941168884727006E-6</v>
          </cell>
          <cell r="O72">
            <v>9.9473592017609608E-2</v>
          </cell>
          <cell r="P72">
            <v>0.90051901386550193</v>
          </cell>
        </row>
        <row r="73">
          <cell r="M73">
            <v>10.099999999999978</v>
          </cell>
          <cell r="N73">
            <v>4.7628276112266591E-6</v>
          </cell>
          <cell r="O73">
            <v>8.0665225391232637E-2</v>
          </cell>
          <cell r="P73">
            <v>0.91933001178115625</v>
          </cell>
        </row>
        <row r="74">
          <cell r="M74">
            <v>10.199999999999978</v>
          </cell>
          <cell r="N74">
            <v>3.0558446041378924E-6</v>
          </cell>
          <cell r="O74">
            <v>6.5155750962285069E-2</v>
          </cell>
          <cell r="P74">
            <v>0.93484119319311065</v>
          </cell>
        </row>
        <row r="75">
          <cell r="M75">
            <v>10.299999999999978</v>
          </cell>
          <cell r="N75">
            <v>1.9542987687295438E-6</v>
          </cell>
          <cell r="O75">
            <v>5.2458086798473053E-2</v>
          </cell>
          <cell r="P75">
            <v>0.94753995890275822</v>
          </cell>
        </row>
        <row r="76">
          <cell r="M76">
            <v>10.399999999999977</v>
          </cell>
          <cell r="N76">
            <v>1.2465290459688671E-6</v>
          </cell>
          <cell r="O76">
            <v>4.2123445927418554E-2</v>
          </cell>
          <cell r="P76">
            <v>0.95787530754353556</v>
          </cell>
        </row>
        <row r="77">
          <cell r="M77">
            <v>10.499999999999977</v>
          </cell>
          <cell r="N77">
            <v>7.9338055618498234E-7</v>
          </cell>
          <cell r="O77">
            <v>3.3752274291960101E-2</v>
          </cell>
          <cell r="P77">
            <v>0.9662469323274836</v>
          </cell>
        </row>
        <row r="78">
          <cell r="M78">
            <v>10.599999999999977</v>
          </cell>
          <cell r="N78">
            <v>5.0408876516064242E-7</v>
          </cell>
          <cell r="O78">
            <v>2.6997808171114072E-2</v>
          </cell>
          <cell r="P78">
            <v>0.97300168774012075</v>
          </cell>
        </row>
        <row r="79">
          <cell r="M79">
            <v>10.699999999999976</v>
          </cell>
          <cell r="N79">
            <v>3.1983450902422866E-7</v>
          </cell>
          <cell r="O79">
            <v>2.1564868278542305E-2</v>
          </cell>
          <cell r="P79">
            <v>0.9784348118869487</v>
          </cell>
        </row>
        <row r="80">
          <cell r="M80">
            <v>10.799999999999976</v>
          </cell>
          <cell r="N80">
            <v>2.0270099299014796E-7</v>
          </cell>
          <cell r="O80">
            <v>1.720589883950506E-2</v>
          </cell>
          <cell r="P80">
            <v>0.98279389845950216</v>
          </cell>
        </row>
        <row r="81">
          <cell r="M81">
            <v>10.899999999999975</v>
          </cell>
          <cell r="N81">
            <v>1.2834989029344253E-7</v>
          </cell>
          <cell r="O81">
            <v>1.3715668842373477E-2</v>
          </cell>
          <cell r="P81">
            <v>0.98628420280773621</v>
          </cell>
        </row>
        <row r="82">
          <cell r="M82">
            <v>10.999999999999975</v>
          </cell>
          <cell r="N82">
            <v>8.1212403958081699E-8</v>
          </cell>
          <cell r="O82">
            <v>1.0925563742019934E-2</v>
          </cell>
          <cell r="P82">
            <v>0.98907435504557606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CC"/>
      <sheetName val="Raw data"/>
      <sheetName val="Calculations"/>
    </sheetNames>
    <sheetDataSet>
      <sheetData sheetId="0"/>
      <sheetData sheetId="1"/>
      <sheetData sheetId="2">
        <row r="3">
          <cell r="D3" t="str">
            <v>500mg</v>
          </cell>
          <cell r="N3">
            <v>173.1</v>
          </cell>
          <cell r="O3">
            <v>50</v>
          </cell>
        </row>
        <row r="6">
          <cell r="N6">
            <v>740.5</v>
          </cell>
          <cell r="O6">
            <v>150</v>
          </cell>
        </row>
        <row r="8">
          <cell r="N8">
            <v>1579</v>
          </cell>
          <cell r="O8">
            <v>300</v>
          </cell>
        </row>
        <row r="23">
          <cell r="D23" t="str">
            <v>3000mg</v>
          </cell>
          <cell r="N23">
            <v>608.20000000000005</v>
          </cell>
          <cell r="O23">
            <v>1000</v>
          </cell>
        </row>
        <row r="26">
          <cell r="N26">
            <v>1026</v>
          </cell>
          <cell r="O26">
            <v>1500</v>
          </cell>
        </row>
        <row r="29">
          <cell r="N29">
            <v>1461</v>
          </cell>
          <cell r="O29">
            <v>2000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zoomScale="101" zoomScaleNormal="130" workbookViewId="0">
      <selection activeCell="L25" sqref="L25"/>
    </sheetView>
  </sheetViews>
  <sheetFormatPr defaultColWidth="8.7265625" defaultRowHeight="14.5" x14ac:dyDescent="0.35"/>
  <cols>
    <col min="1" max="1" width="8.7265625" style="142" bestFit="1" customWidth="1"/>
    <col min="2" max="2" width="5.36328125" style="59" bestFit="1" customWidth="1"/>
    <col min="3" max="3" width="11.7265625" style="59" bestFit="1" customWidth="1"/>
    <col min="4" max="4" width="6.08984375" style="59" customWidth="1"/>
    <col min="5" max="5" width="12.81640625" style="59" bestFit="1" customWidth="1"/>
    <col min="6" max="6" width="10.7265625" style="59" bestFit="1" customWidth="1"/>
    <col min="7" max="7" width="10.81640625" style="59" bestFit="1" customWidth="1"/>
    <col min="8" max="8" width="15.453125" style="59" bestFit="1" customWidth="1"/>
    <col min="9" max="9" width="10.81640625" style="59" bestFit="1" customWidth="1"/>
    <col min="10" max="10" width="15.26953125" style="59" bestFit="1" customWidth="1"/>
    <col min="11" max="11" width="16.26953125" style="59" bestFit="1" customWidth="1"/>
    <col min="12" max="12" width="9.36328125" style="59" bestFit="1" customWidth="1"/>
    <col min="13" max="13" width="11.7265625" style="59" bestFit="1" customWidth="1"/>
    <col min="14" max="14" width="5.54296875" style="59" customWidth="1"/>
    <col min="15" max="15" width="12.90625" style="59" bestFit="1" customWidth="1"/>
    <col min="16" max="16" width="10.7265625" style="59" bestFit="1" customWidth="1"/>
    <col min="17" max="17" width="11.08984375" style="59" bestFit="1" customWidth="1"/>
    <col min="18" max="18" width="15.453125" style="59" bestFit="1" customWidth="1"/>
    <col min="19" max="19" width="14.1796875" style="59" bestFit="1" customWidth="1"/>
    <col min="20" max="20" width="15.26953125" style="59" bestFit="1" customWidth="1"/>
    <col min="21" max="21" width="16.26953125" style="59" bestFit="1" customWidth="1"/>
    <col min="22" max="16384" width="8.7265625" style="59"/>
  </cols>
  <sheetData>
    <row r="1" spans="1:22" s="128" customFormat="1" ht="17" thickBot="1" x14ac:dyDescent="0.4">
      <c r="A1" s="179" t="s">
        <v>0</v>
      </c>
      <c r="B1" s="151" t="s">
        <v>42</v>
      </c>
      <c r="C1" s="151" t="s">
        <v>41</v>
      </c>
      <c r="D1" s="180" t="s">
        <v>141</v>
      </c>
      <c r="E1" s="151" t="s">
        <v>145</v>
      </c>
      <c r="F1" s="151" t="s">
        <v>21</v>
      </c>
      <c r="G1" s="151" t="s">
        <v>23</v>
      </c>
      <c r="H1" s="151" t="s">
        <v>28</v>
      </c>
      <c r="I1" s="181" t="s">
        <v>29</v>
      </c>
      <c r="J1" s="151" t="s">
        <v>102</v>
      </c>
      <c r="K1" s="182" t="s">
        <v>103</v>
      </c>
      <c r="V1" s="146"/>
    </row>
    <row r="2" spans="1:22" x14ac:dyDescent="0.35">
      <c r="A2" s="183" t="s">
        <v>7</v>
      </c>
      <c r="B2" s="134">
        <v>1</v>
      </c>
      <c r="C2" s="187">
        <v>0.95611999999999997</v>
      </c>
      <c r="D2" s="135">
        <v>7.6</v>
      </c>
      <c r="E2" s="115">
        <v>0.21630045091758601</v>
      </c>
      <c r="F2" s="115">
        <v>0.18643671031286341</v>
      </c>
      <c r="G2" s="134">
        <v>0.12709999999999999</v>
      </c>
      <c r="H2" s="115">
        <f>LN(2)/G2</f>
        <v>5.4535576755306474</v>
      </c>
      <c r="I2" s="136">
        <v>244</v>
      </c>
      <c r="J2" s="173">
        <v>111.66514194000381</v>
      </c>
      <c r="K2" s="193">
        <v>78.869070000000008</v>
      </c>
      <c r="L2" s="148"/>
      <c r="V2" s="147"/>
    </row>
    <row r="3" spans="1:22" x14ac:dyDescent="0.35">
      <c r="A3" s="129" t="s">
        <v>8</v>
      </c>
      <c r="B3" s="130">
        <v>1</v>
      </c>
      <c r="C3" s="188">
        <v>0.84772000000000003</v>
      </c>
      <c r="D3" s="131">
        <v>7.6360000000000001</v>
      </c>
      <c r="E3" s="64">
        <v>0.24798547066662008</v>
      </c>
      <c r="F3" s="64">
        <v>0.21367904385444744</v>
      </c>
      <c r="G3" s="130">
        <v>0.1216</v>
      </c>
      <c r="H3" s="64">
        <f t="shared" ref="H3:H9" si="0">LN(2)/G3</f>
        <v>5.7002235243416557</v>
      </c>
      <c r="I3" s="132">
        <v>336</v>
      </c>
      <c r="J3" s="172">
        <v>121.20518443002119</v>
      </c>
      <c r="K3" s="194">
        <v>82.834500000000006</v>
      </c>
      <c r="L3" s="148"/>
      <c r="V3" s="147"/>
    </row>
    <row r="4" spans="1:22" x14ac:dyDescent="0.35">
      <c r="A4" s="129" t="s">
        <v>9</v>
      </c>
      <c r="B4" s="130">
        <v>1</v>
      </c>
      <c r="C4" s="188">
        <v>1.0460799999999999</v>
      </c>
      <c r="D4" s="131">
        <v>7.649</v>
      </c>
      <c r="E4" s="64">
        <v>0.16772986379554281</v>
      </c>
      <c r="F4" s="64">
        <v>0.13926008991741909</v>
      </c>
      <c r="G4" s="130">
        <v>0.1313</v>
      </c>
      <c r="H4" s="64">
        <f t="shared" si="0"/>
        <v>5.2791102860620356</v>
      </c>
      <c r="I4" s="132">
        <v>532</v>
      </c>
      <c r="J4" s="172">
        <v>124.85652254295876</v>
      </c>
      <c r="K4" s="194">
        <v>87.490620000000021</v>
      </c>
      <c r="L4" s="148"/>
      <c r="V4" s="147"/>
    </row>
    <row r="5" spans="1:22" ht="15" thickBot="1" x14ac:dyDescent="0.4">
      <c r="A5" s="184" t="s">
        <v>10</v>
      </c>
      <c r="B5" s="139">
        <v>1</v>
      </c>
      <c r="C5" s="189">
        <v>0.98419999999999996</v>
      </c>
      <c r="D5" s="140">
        <v>7.66</v>
      </c>
      <c r="E5" s="67">
        <v>0.19926626927771321</v>
      </c>
      <c r="F5" s="67">
        <v>0.16935122176889469</v>
      </c>
      <c r="G5" s="139">
        <v>0.1285</v>
      </c>
      <c r="H5" s="67">
        <f t="shared" si="0"/>
        <v>5.3941414829567726</v>
      </c>
      <c r="I5" s="141">
        <v>560</v>
      </c>
      <c r="J5" s="174">
        <v>128.03592290379009</v>
      </c>
      <c r="K5" s="195">
        <v>84.061320000000009</v>
      </c>
      <c r="L5" s="148"/>
      <c r="V5" s="147"/>
    </row>
    <row r="6" spans="1:22" x14ac:dyDescent="0.35">
      <c r="A6" s="133" t="s">
        <v>11</v>
      </c>
      <c r="B6" s="134">
        <v>15</v>
      </c>
      <c r="C6" s="190">
        <v>0.83696000000000004</v>
      </c>
      <c r="D6" s="135">
        <v>7.6520000000000001</v>
      </c>
      <c r="E6" s="115">
        <v>0.14986809708136292</v>
      </c>
      <c r="F6" s="115">
        <v>0.11081845130804996</v>
      </c>
      <c r="G6" s="134">
        <v>9.3899999999999997E-2</v>
      </c>
      <c r="H6" s="115">
        <f t="shared" si="0"/>
        <v>7.3817591113945191</v>
      </c>
      <c r="I6" s="136">
        <v>708</v>
      </c>
      <c r="J6" s="173">
        <v>1885.7303963154789</v>
      </c>
      <c r="K6" s="193">
        <v>1336.7794275000001</v>
      </c>
      <c r="L6" s="148"/>
      <c r="V6" s="147"/>
    </row>
    <row r="7" spans="1:22" x14ac:dyDescent="0.35">
      <c r="A7" s="137" t="s">
        <v>12</v>
      </c>
      <c r="B7" s="130">
        <v>15</v>
      </c>
      <c r="C7" s="191">
        <v>0.96711999999999998</v>
      </c>
      <c r="D7" s="131">
        <v>7.6529999999999996</v>
      </c>
      <c r="E7" s="64">
        <v>0.16070630813306294</v>
      </c>
      <c r="F7" s="64">
        <v>0.12033300721416947</v>
      </c>
      <c r="G7" s="130">
        <v>9.9199999999999997E-2</v>
      </c>
      <c r="H7" s="64">
        <f t="shared" si="0"/>
        <v>6.9873707717736426</v>
      </c>
      <c r="I7" s="132">
        <v>1460</v>
      </c>
      <c r="J7" s="172">
        <v>1890.045143160879</v>
      </c>
      <c r="K7" s="194">
        <v>1355.4838649999999</v>
      </c>
      <c r="L7" s="148"/>
      <c r="V7" s="147"/>
    </row>
    <row r="8" spans="1:22" x14ac:dyDescent="0.35">
      <c r="A8" s="137" t="s">
        <v>13</v>
      </c>
      <c r="B8" s="130">
        <v>15</v>
      </c>
      <c r="C8" s="191">
        <v>0.97436</v>
      </c>
      <c r="D8" s="131">
        <v>7.7</v>
      </c>
      <c r="E8" s="64">
        <v>0.14688025919929162</v>
      </c>
      <c r="F8" s="64">
        <v>0.1069627304938561</v>
      </c>
      <c r="G8" s="130">
        <v>9.9400000000000002E-2</v>
      </c>
      <c r="H8" s="64">
        <f t="shared" si="0"/>
        <v>6.9733116756533731</v>
      </c>
      <c r="I8" s="132">
        <v>444</v>
      </c>
      <c r="J8" s="172">
        <v>2104.9373147814608</v>
      </c>
      <c r="K8" s="194">
        <v>1394.2465850000001</v>
      </c>
      <c r="L8" s="148"/>
      <c r="V8" s="147"/>
    </row>
    <row r="9" spans="1:22" ht="15" thickBot="1" x14ac:dyDescent="0.4">
      <c r="A9" s="138" t="s">
        <v>14</v>
      </c>
      <c r="B9" s="139">
        <v>15</v>
      </c>
      <c r="C9" s="192">
        <v>0.92132000000000003</v>
      </c>
      <c r="D9" s="140">
        <v>7.6420000000000003</v>
      </c>
      <c r="E9" s="67">
        <v>0.16040327627117656</v>
      </c>
      <c r="F9" s="67">
        <v>0.11784684339605343</v>
      </c>
      <c r="G9" s="139">
        <v>9.74E-2</v>
      </c>
      <c r="H9" s="67">
        <f t="shared" si="0"/>
        <v>7.1165008271041614</v>
      </c>
      <c r="I9" s="141">
        <v>488</v>
      </c>
      <c r="J9" s="174">
        <v>1843.145111055399</v>
      </c>
      <c r="K9" s="195">
        <v>1329.4045350000001</v>
      </c>
      <c r="L9" s="148"/>
      <c r="V9" s="147"/>
    </row>
    <row r="10" spans="1:22" x14ac:dyDescent="0.35">
      <c r="L10" s="60"/>
      <c r="M10" s="60"/>
      <c r="N10" s="60"/>
    </row>
    <row r="11" spans="1:22" ht="15" thickBot="1" x14ac:dyDescent="0.4">
      <c r="L11" s="60"/>
      <c r="M11" s="60"/>
      <c r="N11" s="60"/>
    </row>
    <row r="12" spans="1:22" ht="17" thickBot="1" x14ac:dyDescent="0.4">
      <c r="A12" s="154" t="s">
        <v>142</v>
      </c>
      <c r="B12" s="161" t="s">
        <v>42</v>
      </c>
      <c r="C12" s="155" t="s">
        <v>41</v>
      </c>
      <c r="D12" s="156" t="s">
        <v>141</v>
      </c>
      <c r="E12" s="155" t="s">
        <v>145</v>
      </c>
      <c r="F12" s="155" t="s">
        <v>21</v>
      </c>
      <c r="G12" s="155" t="s">
        <v>23</v>
      </c>
      <c r="H12" s="155" t="s">
        <v>28</v>
      </c>
      <c r="I12" s="155" t="s">
        <v>29</v>
      </c>
      <c r="J12" s="155" t="s">
        <v>102</v>
      </c>
      <c r="K12" s="157" t="s">
        <v>103</v>
      </c>
      <c r="L12" s="60"/>
      <c r="M12" s="60"/>
      <c r="N12" s="60"/>
    </row>
    <row r="13" spans="1:22" x14ac:dyDescent="0.35">
      <c r="A13" s="152" t="s">
        <v>143</v>
      </c>
      <c r="B13" s="169">
        <v>1</v>
      </c>
      <c r="C13" s="186">
        <f>SUM(C2:C5)/4</f>
        <v>0.95852999999999999</v>
      </c>
      <c r="D13" s="166">
        <f>SUM(D2:D5)/4</f>
        <v>7.6362500000000004</v>
      </c>
      <c r="E13" s="166">
        <f>SUM(E2:E5)/4</f>
        <v>0.20782051366436552</v>
      </c>
      <c r="F13" s="166">
        <f>SUM(F2:F5)/4</f>
        <v>0.17718176646340617</v>
      </c>
      <c r="G13" s="166">
        <f>SUM(G2:G5)/4</f>
        <v>0.12712499999999999</v>
      </c>
      <c r="H13" s="166">
        <f>SUM(H2:H5)/4</f>
        <v>5.4567582422227776</v>
      </c>
      <c r="I13" s="196">
        <f>SUM(I2:I5)/4</f>
        <v>418</v>
      </c>
      <c r="J13" s="167">
        <f>SUM(J2:J5)/4</f>
        <v>121.44069295419347</v>
      </c>
      <c r="K13" s="168">
        <f>SUM(K2:K5)/4</f>
        <v>83.313877500000018</v>
      </c>
    </row>
    <row r="14" spans="1:22" ht="15" thickBot="1" x14ac:dyDescent="0.4">
      <c r="A14" s="149" t="s">
        <v>144</v>
      </c>
      <c r="B14" s="170"/>
      <c r="C14" s="158">
        <f>_xlfn.STDEV.S(C2:C5)</f>
        <v>8.2882679332495782E-2</v>
      </c>
      <c r="D14" s="158">
        <f>_xlfn.STDEV.S(D2:D5)</f>
        <v>2.6081602711490164E-2</v>
      </c>
      <c r="E14" s="158">
        <f>_xlfn.STDEV.S(E2:E5)</f>
        <v>3.3494120930608343E-2</v>
      </c>
      <c r="F14" s="158">
        <f>_xlfn.STDEV.S(F2:F5)</f>
        <v>3.118266732703941E-2</v>
      </c>
      <c r="G14" s="158">
        <f>_xlfn.STDEV.S(G2:G5)</f>
        <v>4.0762523637936521E-3</v>
      </c>
      <c r="H14" s="158">
        <f>_xlfn.STDEV.S(H2:H5)</f>
        <v>0.17773129727526085</v>
      </c>
      <c r="I14" s="197">
        <f>_xlfn.STDEV.S(I2:I5)</f>
        <v>152.92699783447875</v>
      </c>
      <c r="J14" s="159">
        <f>_xlfn.STDEV.S(J2:J5)</f>
        <v>7.0894713428558518</v>
      </c>
      <c r="K14" s="160">
        <f>_xlfn.STDEV.S(K2:K5)</f>
        <v>3.5585561070784086</v>
      </c>
    </row>
    <row r="15" spans="1:22" x14ac:dyDescent="0.35">
      <c r="A15" s="162" t="s">
        <v>143</v>
      </c>
      <c r="B15" s="171">
        <v>15</v>
      </c>
      <c r="C15" s="185">
        <f>SUM(C6:C9)/4</f>
        <v>0.92493999999999998</v>
      </c>
      <c r="D15" s="163">
        <f>SUM(D6:D9)/4</f>
        <v>7.6617499999999996</v>
      </c>
      <c r="E15" s="163">
        <f>SUM(E6:E9)/4</f>
        <v>0.15446448517122352</v>
      </c>
      <c r="F15" s="163">
        <f>SUM(F6:F9)/4</f>
        <v>0.11399025810303223</v>
      </c>
      <c r="G15" s="163">
        <f>SUM(G6:G9)/4</f>
        <v>9.7474999999999992E-2</v>
      </c>
      <c r="H15" s="163">
        <f>SUM(H6:H9)/4</f>
        <v>7.1147355964814238</v>
      </c>
      <c r="I15" s="198">
        <f>SUM(I6:I9)/4</f>
        <v>775</v>
      </c>
      <c r="J15" s="164">
        <f>SUM(J6:J9)/4</f>
        <v>1930.9644913283046</v>
      </c>
      <c r="K15" s="165">
        <f>SUM(K6:K9)/4</f>
        <v>1353.9786031250001</v>
      </c>
    </row>
    <row r="16" spans="1:22" ht="15" thickBot="1" x14ac:dyDescent="0.4">
      <c r="A16" s="149" t="s">
        <v>144</v>
      </c>
      <c r="B16" s="145"/>
      <c r="C16" s="158">
        <f>_xlfn.STDEV.S(C6:C9)</f>
        <v>6.3179832225164989E-2</v>
      </c>
      <c r="D16" s="158">
        <f>_xlfn.STDEV.S(D6:D9)</f>
        <v>2.5979158313283904E-2</v>
      </c>
      <c r="E16" s="158">
        <f>_xlfn.STDEV.S(E6:E9)</f>
        <v>7.1385540244918418E-3</v>
      </c>
      <c r="F16" s="158">
        <f>_xlfn.STDEV.S(F6:F9)</f>
        <v>6.1792723156158143E-3</v>
      </c>
      <c r="G16" s="158">
        <f>_xlfn.STDEV.S(G6:G9)</f>
        <v>2.5473842793474785E-3</v>
      </c>
      <c r="H16" s="158">
        <f>_xlfn.STDEV.S(H6:H9)</f>
        <v>0.18932088941874858</v>
      </c>
      <c r="I16" s="197">
        <f>_xlfn.STDEV.S(I6:I9)</f>
        <v>471.04281475608281</v>
      </c>
      <c r="J16" s="159">
        <f>_xlfn.STDEV.S(J6:J9)</f>
        <v>117.89727627311359</v>
      </c>
      <c r="K16" s="160">
        <f>_xlfn.STDEV.S(K6:K9)</f>
        <v>29.002716217562508</v>
      </c>
    </row>
    <row r="18" spans="1:13" x14ac:dyDescent="0.35">
      <c r="A18" s="153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spans="1:13" x14ac:dyDescent="0.35">
      <c r="A19" s="150"/>
      <c r="B19" s="60"/>
      <c r="C19" s="150"/>
      <c r="D19" s="150"/>
      <c r="E19" s="150"/>
      <c r="F19" s="150"/>
      <c r="G19" s="150"/>
      <c r="H19" s="150"/>
      <c r="I19" s="150"/>
      <c r="J19" s="150"/>
      <c r="K19" s="150"/>
      <c r="L19" s="60"/>
      <c r="M19" s="60"/>
    </row>
    <row r="20" spans="1:13" x14ac:dyDescent="0.35">
      <c r="A20" s="153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</row>
    <row r="21" spans="1:13" x14ac:dyDescent="0.35">
      <c r="A21" s="153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x14ac:dyDescent="0.35">
      <c r="A22" s="15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</row>
    <row r="23" spans="1:13" x14ac:dyDescent="0.35">
      <c r="A23" s="153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</row>
    <row r="24" spans="1:13" x14ac:dyDescent="0.35">
      <c r="A24" s="153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92" workbookViewId="0">
      <selection activeCell="G29" sqref="G29"/>
    </sheetView>
  </sheetViews>
  <sheetFormatPr defaultRowHeight="14.5" x14ac:dyDescent="0.35"/>
  <cols>
    <col min="1" max="1" width="8.7265625" style="20"/>
    <col min="6" max="6" width="8.7265625" style="20"/>
  </cols>
  <sheetData>
    <row r="1" spans="1:10" s="20" customFormat="1" x14ac:dyDescent="0.35">
      <c r="A1" s="34" t="s">
        <v>30</v>
      </c>
      <c r="B1" s="40" t="s">
        <v>31</v>
      </c>
      <c r="C1" s="40" t="s">
        <v>1</v>
      </c>
      <c r="D1" s="40" t="s">
        <v>2</v>
      </c>
      <c r="E1" s="41" t="s">
        <v>3</v>
      </c>
      <c r="F1" s="34" t="s">
        <v>30</v>
      </c>
      <c r="G1" s="40" t="s">
        <v>32</v>
      </c>
      <c r="H1" s="40" t="s">
        <v>4</v>
      </c>
      <c r="I1" s="40" t="s">
        <v>5</v>
      </c>
      <c r="J1" s="41" t="s">
        <v>6</v>
      </c>
    </row>
    <row r="2" spans="1:10" x14ac:dyDescent="0.35">
      <c r="A2" s="35">
        <v>0</v>
      </c>
      <c r="B2" s="28">
        <v>6.0199999999999997E-2</v>
      </c>
      <c r="C2" s="28">
        <v>6.0199999999999997E-2</v>
      </c>
      <c r="D2" s="28">
        <v>6.0199999999999997E-2</v>
      </c>
      <c r="E2" s="29">
        <v>6.0199999999999997E-2</v>
      </c>
      <c r="F2" s="35">
        <v>0</v>
      </c>
      <c r="G2" s="28">
        <v>6.3280000000000003E-2</v>
      </c>
      <c r="H2" s="28">
        <v>6.3280000000000003E-2</v>
      </c>
      <c r="I2" s="28">
        <v>6.3280000000000003E-2</v>
      </c>
      <c r="J2" s="29">
        <v>6.3280000000000003E-2</v>
      </c>
    </row>
    <row r="3" spans="1:10" ht="15" thickBot="1" x14ac:dyDescent="0.4">
      <c r="A3" s="36">
        <v>21.75</v>
      </c>
      <c r="B3" s="30">
        <v>0.95611999999999997</v>
      </c>
      <c r="C3" s="30">
        <v>0.84772000000000003</v>
      </c>
      <c r="D3" s="30">
        <v>1.0460799999999999</v>
      </c>
      <c r="E3" s="31">
        <v>0.98419999999999996</v>
      </c>
      <c r="F3" s="38">
        <v>27.5</v>
      </c>
      <c r="G3" s="32">
        <v>0.83696000000000004</v>
      </c>
      <c r="H3" s="32">
        <v>0.96711999999999998</v>
      </c>
      <c r="I3" s="32">
        <v>0.97436</v>
      </c>
      <c r="J3" s="33">
        <v>0.92132000000000003</v>
      </c>
    </row>
    <row r="8" spans="1:10" x14ac:dyDescent="0.35">
      <c r="E8" s="18"/>
      <c r="F8" s="19"/>
      <c r="G8" s="18"/>
    </row>
    <row r="9" spans="1:10" x14ac:dyDescent="0.35">
      <c r="E9" s="18"/>
      <c r="F9" s="19"/>
      <c r="G9" s="18"/>
    </row>
    <row r="10" spans="1:10" x14ac:dyDescent="0.35">
      <c r="E10" s="18"/>
      <c r="F10" s="19"/>
      <c r="G10" s="18"/>
    </row>
    <row r="11" spans="1:10" x14ac:dyDescent="0.35">
      <c r="E11" s="18"/>
      <c r="F11" s="19"/>
      <c r="G11" s="18"/>
    </row>
    <row r="12" spans="1:10" x14ac:dyDescent="0.35">
      <c r="A12" s="37"/>
      <c r="E12" s="18"/>
      <c r="F12" s="39"/>
      <c r="G12" s="18"/>
    </row>
    <row r="13" spans="1:10" x14ac:dyDescent="0.35">
      <c r="A13" s="3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2"/>
  <sheetViews>
    <sheetView zoomScale="115" zoomScaleNormal="115" workbookViewId="0">
      <selection activeCell="B19" sqref="B19"/>
    </sheetView>
  </sheetViews>
  <sheetFormatPr defaultRowHeight="14.5" x14ac:dyDescent="0.35"/>
  <cols>
    <col min="1" max="1" width="9.81640625" bestFit="1" customWidth="1"/>
    <col min="2" max="2" width="12.1796875" bestFit="1" customWidth="1"/>
    <col min="3" max="3" width="12.453125" bestFit="1" customWidth="1"/>
    <col min="10" max="10" width="8.7265625" style="10"/>
    <col min="26" max="26" width="12.26953125" bestFit="1" customWidth="1"/>
  </cols>
  <sheetData>
    <row r="1" spans="1:30" s="1" customFormat="1" x14ac:dyDescent="0.35">
      <c r="A1" s="24" t="s">
        <v>30</v>
      </c>
      <c r="B1" s="26" t="s">
        <v>31</v>
      </c>
      <c r="C1" s="26" t="s">
        <v>1</v>
      </c>
      <c r="D1" s="26" t="s">
        <v>2</v>
      </c>
      <c r="E1" s="26" t="s">
        <v>3</v>
      </c>
      <c r="F1" s="26" t="s">
        <v>32</v>
      </c>
      <c r="G1" s="26" t="s">
        <v>4</v>
      </c>
      <c r="H1" s="26" t="s">
        <v>5</v>
      </c>
      <c r="I1" s="26" t="s">
        <v>6</v>
      </c>
      <c r="J1" s="12"/>
      <c r="Y1" s="4"/>
      <c r="Z1" s="17"/>
      <c r="AA1" s="17"/>
      <c r="AB1" s="17"/>
      <c r="AC1" s="10"/>
      <c r="AD1" s="10"/>
    </row>
    <row r="2" spans="1:30" x14ac:dyDescent="0.35">
      <c r="A2" s="27">
        <v>0</v>
      </c>
      <c r="B2" s="28">
        <v>6.0199999999999997E-2</v>
      </c>
      <c r="C2" s="28">
        <v>6.0199999999999997E-2</v>
      </c>
      <c r="D2" s="28">
        <v>6.0199999999999997E-2</v>
      </c>
      <c r="E2" s="28">
        <v>6.0199999999999997E-2</v>
      </c>
      <c r="F2" s="28">
        <v>6.3280000000000003E-2</v>
      </c>
      <c r="G2" s="28">
        <v>6.3280000000000003E-2</v>
      </c>
      <c r="H2" s="28">
        <v>6.3280000000000003E-2</v>
      </c>
      <c r="I2" s="28">
        <v>6.3280000000000003E-2</v>
      </c>
      <c r="J2" s="9"/>
      <c r="K2" s="3"/>
      <c r="Y2" s="10"/>
      <c r="Z2" s="17"/>
      <c r="AA2" s="17"/>
      <c r="AB2" s="17"/>
      <c r="AC2" s="10"/>
      <c r="AD2" s="10"/>
    </row>
    <row r="3" spans="1:30" x14ac:dyDescent="0.35">
      <c r="A3" s="28">
        <v>21.75</v>
      </c>
      <c r="B3" s="16">
        <v>0.95611999999999997</v>
      </c>
      <c r="C3" s="16">
        <v>0.84772000000000003</v>
      </c>
      <c r="D3" s="16">
        <v>1.0460799999999999</v>
      </c>
      <c r="E3" s="16">
        <v>0.98419999999999996</v>
      </c>
      <c r="F3" s="16"/>
      <c r="G3" s="16"/>
      <c r="H3" s="16"/>
      <c r="I3" s="16"/>
      <c r="J3" s="9"/>
      <c r="K3" s="3"/>
      <c r="Y3" s="10"/>
      <c r="Z3" s="17"/>
      <c r="AA3" s="17"/>
      <c r="AB3" s="17"/>
      <c r="AC3" s="10"/>
      <c r="AD3" s="10"/>
    </row>
    <row r="4" spans="1:30" x14ac:dyDescent="0.35">
      <c r="A4" s="16">
        <v>27.5</v>
      </c>
      <c r="B4" s="2"/>
      <c r="C4" s="2"/>
      <c r="D4" s="2"/>
      <c r="E4" s="2"/>
      <c r="F4" s="28">
        <v>0.83696000000000004</v>
      </c>
      <c r="G4" s="28">
        <v>0.96711999999999998</v>
      </c>
      <c r="H4" s="28">
        <v>0.97436</v>
      </c>
      <c r="I4" s="28">
        <v>0.92132000000000003</v>
      </c>
      <c r="J4" s="9"/>
      <c r="K4" s="3"/>
      <c r="Y4" s="10"/>
      <c r="Z4" s="17"/>
      <c r="AA4" s="17"/>
      <c r="AB4" s="17"/>
      <c r="AC4" s="10"/>
      <c r="AD4" s="10"/>
    </row>
    <row r="5" spans="1:30" s="15" customFormat="1" x14ac:dyDescent="0.35">
      <c r="A5" s="13"/>
      <c r="B5" s="13"/>
      <c r="C5" s="13"/>
      <c r="D5" s="13"/>
      <c r="E5" s="13"/>
      <c r="F5" s="13"/>
      <c r="G5" s="13"/>
      <c r="H5" s="13"/>
      <c r="I5" s="13"/>
      <c r="J5" s="13"/>
      <c r="Z5" s="13"/>
      <c r="AA5" s="13"/>
      <c r="AB5" s="13"/>
    </row>
    <row r="6" spans="1:30" x14ac:dyDescent="0.35">
      <c r="A6" s="26"/>
      <c r="B6" s="26" t="s">
        <v>23</v>
      </c>
      <c r="C6" s="26" t="s">
        <v>24</v>
      </c>
      <c r="D6" s="3"/>
      <c r="E6" s="3"/>
      <c r="F6" s="3"/>
      <c r="G6" s="3"/>
      <c r="H6" s="3"/>
      <c r="I6" s="3"/>
      <c r="J6" s="7"/>
      <c r="K6" s="3"/>
      <c r="Y6" s="10"/>
      <c r="Z6" s="10"/>
      <c r="AA6" s="10"/>
      <c r="AB6" s="10"/>
      <c r="AC6" s="10"/>
      <c r="AD6" s="10"/>
    </row>
    <row r="7" spans="1:30" x14ac:dyDescent="0.35">
      <c r="A7" s="25" t="s">
        <v>0</v>
      </c>
      <c r="B7" s="25" t="s">
        <v>25</v>
      </c>
      <c r="C7" s="25" t="s">
        <v>26</v>
      </c>
      <c r="D7" s="11"/>
      <c r="E7" s="11"/>
      <c r="F7" s="3"/>
      <c r="G7" s="3"/>
      <c r="H7" s="3"/>
      <c r="I7" s="3"/>
      <c r="J7" s="7"/>
      <c r="K7" s="3"/>
      <c r="Y7" s="10"/>
      <c r="Z7" s="10"/>
      <c r="AA7" s="10"/>
      <c r="AB7" s="10"/>
      <c r="AC7" s="10"/>
      <c r="AD7" s="10"/>
    </row>
    <row r="8" spans="1:30" x14ac:dyDescent="0.35">
      <c r="A8" s="21" t="s">
        <v>7</v>
      </c>
      <c r="B8" s="22">
        <v>0.12709999999999999</v>
      </c>
      <c r="C8" s="23">
        <f>LN(2)/B8</f>
        <v>5.4535576755306474</v>
      </c>
      <c r="D8" s="9"/>
      <c r="E8" s="9"/>
      <c r="F8" s="3"/>
      <c r="G8" s="3"/>
      <c r="H8" s="3"/>
      <c r="I8" s="3"/>
      <c r="J8" s="7"/>
      <c r="K8" s="3"/>
      <c r="Y8" s="10"/>
      <c r="Z8" s="10"/>
      <c r="AA8" s="10"/>
      <c r="AB8" s="10"/>
      <c r="AC8" s="10"/>
      <c r="AD8" s="10"/>
    </row>
    <row r="9" spans="1:30" x14ac:dyDescent="0.35">
      <c r="A9" s="21" t="s">
        <v>8</v>
      </c>
      <c r="B9" s="22">
        <v>0.1216</v>
      </c>
      <c r="C9" s="23">
        <f t="shared" ref="C9:C14" si="0">LN(2)/B9</f>
        <v>5.7002235243416557</v>
      </c>
      <c r="D9" s="9"/>
      <c r="E9" s="9"/>
      <c r="F9" s="3"/>
      <c r="G9" s="3"/>
      <c r="H9" s="3"/>
      <c r="I9" s="3"/>
      <c r="J9" s="7"/>
      <c r="K9" s="3"/>
      <c r="Y9" s="10"/>
      <c r="Z9" s="10"/>
      <c r="AA9" s="10"/>
      <c r="AB9" s="10"/>
      <c r="AC9" s="10"/>
      <c r="AD9" s="10"/>
    </row>
    <row r="10" spans="1:30" x14ac:dyDescent="0.35">
      <c r="A10" s="21" t="s">
        <v>9</v>
      </c>
      <c r="B10" s="22">
        <v>0.1313</v>
      </c>
      <c r="C10" s="23">
        <f t="shared" si="0"/>
        <v>5.2791102860620356</v>
      </c>
      <c r="D10" s="9"/>
      <c r="E10" s="9"/>
      <c r="F10" s="3"/>
      <c r="G10" s="3"/>
      <c r="H10" s="3"/>
      <c r="I10" s="3"/>
      <c r="J10" s="7"/>
      <c r="K10" s="3"/>
      <c r="Y10" s="10"/>
      <c r="Z10" s="10"/>
      <c r="AA10" s="10"/>
      <c r="AB10" s="10"/>
      <c r="AC10" s="10"/>
      <c r="AD10" s="10"/>
    </row>
    <row r="11" spans="1:30" x14ac:dyDescent="0.35">
      <c r="A11" s="21" t="s">
        <v>10</v>
      </c>
      <c r="B11" s="22">
        <v>0.1285</v>
      </c>
      <c r="C11" s="23">
        <f t="shared" si="0"/>
        <v>5.3941414829567726</v>
      </c>
      <c r="D11" s="9"/>
      <c r="E11" s="9"/>
      <c r="F11" s="3"/>
      <c r="G11" s="3"/>
      <c r="H11" s="3"/>
      <c r="I11" s="3"/>
      <c r="J11" s="7"/>
      <c r="K11" s="3"/>
      <c r="Y11" s="10"/>
      <c r="Z11" s="10"/>
      <c r="AA11" s="10"/>
      <c r="AB11" s="10"/>
      <c r="AC11" s="10"/>
      <c r="AD11" s="10"/>
    </row>
    <row r="12" spans="1:30" x14ac:dyDescent="0.35">
      <c r="A12" s="21" t="s">
        <v>11</v>
      </c>
      <c r="B12" s="22">
        <v>9.3899999999999997E-2</v>
      </c>
      <c r="C12" s="23">
        <f t="shared" si="0"/>
        <v>7.3817591113945191</v>
      </c>
      <c r="D12" s="9"/>
      <c r="E12" s="9"/>
      <c r="F12" s="3"/>
      <c r="G12" s="3"/>
      <c r="H12" s="3"/>
      <c r="I12" s="3"/>
      <c r="J12" s="7"/>
      <c r="K12" s="3"/>
    </row>
    <row r="13" spans="1:30" x14ac:dyDescent="0.35">
      <c r="A13" s="21" t="s">
        <v>12</v>
      </c>
      <c r="B13" s="22">
        <v>9.9199999999999997E-2</v>
      </c>
      <c r="C13" s="23">
        <f t="shared" si="0"/>
        <v>6.9873707717736426</v>
      </c>
      <c r="D13" s="9"/>
      <c r="E13" s="9"/>
      <c r="F13" s="3"/>
      <c r="G13" s="3"/>
      <c r="H13" s="3"/>
      <c r="I13" s="3"/>
      <c r="J13" s="7"/>
      <c r="K13" s="3"/>
    </row>
    <row r="14" spans="1:30" x14ac:dyDescent="0.35">
      <c r="A14" s="21" t="s">
        <v>13</v>
      </c>
      <c r="B14" s="22">
        <v>9.9400000000000002E-2</v>
      </c>
      <c r="C14" s="23">
        <f t="shared" si="0"/>
        <v>6.9733116756533731</v>
      </c>
      <c r="D14" s="9"/>
      <c r="E14" s="9"/>
      <c r="F14" s="3"/>
      <c r="G14" s="3"/>
      <c r="H14" s="3"/>
      <c r="I14" s="3"/>
      <c r="J14" s="7"/>
      <c r="K14" s="3"/>
    </row>
    <row r="15" spans="1:30" x14ac:dyDescent="0.35">
      <c r="A15" s="21" t="s">
        <v>14</v>
      </c>
      <c r="B15" s="22">
        <v>9.74E-2</v>
      </c>
      <c r="C15" s="23">
        <f>LN(2)/B15</f>
        <v>7.1165008271041614</v>
      </c>
      <c r="D15" s="9"/>
      <c r="E15" s="9"/>
      <c r="F15" s="3"/>
      <c r="G15" s="3"/>
      <c r="H15" s="3"/>
      <c r="I15" s="3"/>
      <c r="J15" s="7"/>
      <c r="K15" s="3"/>
    </row>
    <row r="16" spans="1:30" x14ac:dyDescent="0.35">
      <c r="A16" s="6"/>
      <c r="B16" s="7"/>
      <c r="C16" s="8"/>
      <c r="D16" s="9"/>
      <c r="E16" s="9"/>
      <c r="F16" s="3"/>
      <c r="G16" s="3"/>
      <c r="H16" s="3"/>
      <c r="I16" s="3"/>
      <c r="J16" s="7"/>
      <c r="K16" s="3"/>
    </row>
    <row r="17" spans="1:11" x14ac:dyDescent="0.35">
      <c r="A17" s="6"/>
      <c r="B17" s="7"/>
      <c r="C17" s="8"/>
      <c r="D17" s="9"/>
      <c r="E17" s="9"/>
      <c r="F17" s="3"/>
      <c r="G17" s="3"/>
      <c r="H17" s="3"/>
      <c r="I17" s="3"/>
      <c r="J17" s="7"/>
      <c r="K17" s="3"/>
    </row>
    <row r="18" spans="1:11" x14ac:dyDescent="0.35">
      <c r="A18" s="7"/>
      <c r="B18" s="7"/>
      <c r="C18" s="7"/>
      <c r="D18" s="7"/>
      <c r="E18" s="7"/>
      <c r="F18" s="3"/>
      <c r="G18" s="3"/>
      <c r="H18" s="3"/>
      <c r="I18" s="3"/>
      <c r="J18" s="7"/>
      <c r="K18" s="3"/>
    </row>
    <row r="19" spans="1:11" x14ac:dyDescent="0.35">
      <c r="A19" s="10"/>
      <c r="B19" s="10"/>
      <c r="C19" s="10"/>
      <c r="D19" s="10"/>
      <c r="E19" s="10"/>
    </row>
    <row r="20" spans="1:11" x14ac:dyDescent="0.35">
      <c r="A20" s="43"/>
    </row>
    <row r="45" spans="11:14" x14ac:dyDescent="0.35">
      <c r="K45" s="10"/>
      <c r="L45" s="10"/>
      <c r="M45" s="10"/>
      <c r="N45" s="10"/>
    </row>
    <row r="46" spans="11:14" x14ac:dyDescent="0.35">
      <c r="K46" s="10"/>
      <c r="L46" s="10"/>
      <c r="M46" s="10"/>
      <c r="N46" s="10"/>
    </row>
    <row r="47" spans="11:14" x14ac:dyDescent="0.35">
      <c r="K47" s="17"/>
      <c r="L47" s="12"/>
      <c r="M47" s="10"/>
      <c r="N47" s="10"/>
    </row>
    <row r="48" spans="11:14" x14ac:dyDescent="0.35">
      <c r="K48" s="17"/>
      <c r="L48" s="12"/>
      <c r="M48" s="10"/>
      <c r="N48" s="10"/>
    </row>
    <row r="49" spans="11:14" x14ac:dyDescent="0.35">
      <c r="K49" s="17"/>
      <c r="L49" s="12"/>
      <c r="M49" s="10"/>
      <c r="N49" s="10"/>
    </row>
    <row r="50" spans="11:14" x14ac:dyDescent="0.35">
      <c r="K50" s="17"/>
      <c r="L50" s="12"/>
      <c r="M50" s="10"/>
      <c r="N50" s="10"/>
    </row>
    <row r="51" spans="11:14" x14ac:dyDescent="0.35">
      <c r="K51" s="17"/>
      <c r="L51" s="12"/>
      <c r="M51" s="10"/>
      <c r="N51" s="10"/>
    </row>
    <row r="52" spans="11:14" x14ac:dyDescent="0.35">
      <c r="K52" s="17"/>
      <c r="L52" s="12"/>
      <c r="M52" s="10"/>
      <c r="N52" s="10"/>
    </row>
    <row r="53" spans="11:14" x14ac:dyDescent="0.35">
      <c r="K53" s="17"/>
      <c r="L53" s="12"/>
      <c r="M53" s="10"/>
      <c r="N53" s="10"/>
    </row>
    <row r="54" spans="11:14" x14ac:dyDescent="0.35">
      <c r="K54" s="17"/>
      <c r="L54" s="12"/>
      <c r="M54" s="10"/>
      <c r="N54" s="10"/>
    </row>
    <row r="55" spans="11:14" x14ac:dyDescent="0.35">
      <c r="K55" s="17"/>
      <c r="L55" s="12"/>
      <c r="M55" s="10"/>
      <c r="N55" s="10"/>
    </row>
    <row r="56" spans="11:14" x14ac:dyDescent="0.35">
      <c r="K56" s="17"/>
      <c r="L56" s="12"/>
      <c r="M56" s="10"/>
      <c r="N56" s="10"/>
    </row>
    <row r="57" spans="11:14" x14ac:dyDescent="0.35">
      <c r="K57" s="17"/>
      <c r="L57" s="12"/>
      <c r="M57" s="10"/>
      <c r="N57" s="10"/>
    </row>
    <row r="58" spans="11:14" x14ac:dyDescent="0.35">
      <c r="K58" s="17"/>
      <c r="L58" s="12"/>
      <c r="M58" s="10"/>
      <c r="N58" s="10"/>
    </row>
    <row r="59" spans="11:14" x14ac:dyDescent="0.35">
      <c r="K59" s="17"/>
      <c r="L59" s="12"/>
      <c r="M59" s="10"/>
      <c r="N59" s="10"/>
    </row>
    <row r="60" spans="11:14" x14ac:dyDescent="0.35">
      <c r="K60" s="17"/>
      <c r="L60" s="12"/>
      <c r="M60" s="10"/>
      <c r="N60" s="10"/>
    </row>
    <row r="61" spans="11:14" x14ac:dyDescent="0.35">
      <c r="K61" s="17"/>
      <c r="L61" s="12"/>
      <c r="M61" s="10"/>
      <c r="N61" s="10"/>
    </row>
    <row r="62" spans="11:14" x14ac:dyDescent="0.35">
      <c r="K62" s="17"/>
      <c r="L62" s="12"/>
      <c r="M62" s="10"/>
      <c r="N62" s="10"/>
    </row>
    <row r="63" spans="11:14" x14ac:dyDescent="0.35">
      <c r="K63" s="17"/>
      <c r="L63" s="12"/>
      <c r="M63" s="10"/>
      <c r="N63" s="10"/>
    </row>
    <row r="64" spans="11:14" x14ac:dyDescent="0.35">
      <c r="K64" s="17"/>
      <c r="L64" s="12"/>
      <c r="M64" s="10"/>
      <c r="N64" s="10"/>
    </row>
    <row r="65" spans="11:14" x14ac:dyDescent="0.35">
      <c r="K65" s="17"/>
      <c r="L65" s="12"/>
      <c r="M65" s="10"/>
      <c r="N65" s="10"/>
    </row>
    <row r="66" spans="11:14" x14ac:dyDescent="0.35">
      <c r="K66" s="10"/>
      <c r="L66" s="10"/>
      <c r="M66" s="10"/>
      <c r="N66" s="10"/>
    </row>
    <row r="67" spans="11:14" x14ac:dyDescent="0.35">
      <c r="K67" s="10"/>
      <c r="L67" s="10"/>
      <c r="M67" s="10"/>
      <c r="N67" s="10"/>
    </row>
    <row r="68" spans="11:14" x14ac:dyDescent="0.35">
      <c r="K68" s="10"/>
      <c r="L68" s="10"/>
      <c r="M68" s="10"/>
      <c r="N68" s="10"/>
    </row>
    <row r="69" spans="11:14" x14ac:dyDescent="0.35">
      <c r="K69" s="10"/>
      <c r="L69" s="10"/>
      <c r="M69" s="10"/>
      <c r="N69" s="10"/>
    </row>
    <row r="70" spans="11:14" x14ac:dyDescent="0.35">
      <c r="K70" s="10"/>
      <c r="L70" s="10"/>
      <c r="M70" s="10"/>
      <c r="N70" s="10"/>
    </row>
    <row r="71" spans="11:14" x14ac:dyDescent="0.35">
      <c r="K71" s="10"/>
      <c r="L71" s="10"/>
      <c r="M71" s="10"/>
      <c r="N71" s="10"/>
    </row>
    <row r="72" spans="11:14" x14ac:dyDescent="0.35">
      <c r="K72" s="10"/>
      <c r="L72" s="10"/>
      <c r="M72" s="10"/>
      <c r="N72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2"/>
  <sheetViews>
    <sheetView zoomScale="84" workbookViewId="0">
      <selection activeCell="U2" sqref="U2"/>
    </sheetView>
  </sheetViews>
  <sheetFormatPr defaultRowHeight="14.5" x14ac:dyDescent="0.35"/>
  <cols>
    <col min="1" max="10" width="8.7265625" style="42"/>
    <col min="12" max="12" width="8.7265625" style="20"/>
  </cols>
  <sheetData>
    <row r="1" spans="1:20" x14ac:dyDescent="0.35">
      <c r="A1" s="42" t="s">
        <v>34</v>
      </c>
      <c r="C1" s="42" t="s">
        <v>7</v>
      </c>
      <c r="D1" s="42" t="s">
        <v>8</v>
      </c>
      <c r="E1" s="42" t="s">
        <v>9</v>
      </c>
      <c r="F1" s="42" t="s">
        <v>10</v>
      </c>
      <c r="G1" s="42" t="s">
        <v>11</v>
      </c>
      <c r="H1" s="42" t="s">
        <v>12</v>
      </c>
      <c r="I1" s="42" t="s">
        <v>13</v>
      </c>
      <c r="J1" s="42" t="s">
        <v>14</v>
      </c>
      <c r="K1" t="s">
        <v>33</v>
      </c>
      <c r="L1" s="20" t="s">
        <v>35</v>
      </c>
      <c r="M1" s="20" t="s">
        <v>7</v>
      </c>
      <c r="N1" s="20" t="s">
        <v>8</v>
      </c>
      <c r="O1" s="20" t="s">
        <v>9</v>
      </c>
      <c r="P1" s="20" t="s">
        <v>10</v>
      </c>
      <c r="Q1" s="20" t="s">
        <v>11</v>
      </c>
      <c r="R1" s="20" t="s">
        <v>12</v>
      </c>
      <c r="S1" s="20" t="s">
        <v>13</v>
      </c>
      <c r="T1" s="20" t="s">
        <v>14</v>
      </c>
    </row>
    <row r="2" spans="1:20" x14ac:dyDescent="0.35">
      <c r="B2" s="42">
        <v>400</v>
      </c>
      <c r="C2" s="42">
        <v>0.29659000000000002</v>
      </c>
      <c r="D2" s="42">
        <v>0.26361000000000001</v>
      </c>
      <c r="E2" s="42">
        <v>0.31117</v>
      </c>
      <c r="F2" s="42">
        <v>0.30118</v>
      </c>
      <c r="G2" s="42">
        <v>0.30525000000000002</v>
      </c>
      <c r="H2" s="42">
        <v>0.312</v>
      </c>
      <c r="I2" s="42">
        <v>0.31590000000000001</v>
      </c>
      <c r="J2" s="42">
        <v>0.29821999999999999</v>
      </c>
      <c r="L2" s="20">
        <v>400</v>
      </c>
      <c r="M2">
        <f>C2*4</f>
        <v>1.1863600000000001</v>
      </c>
      <c r="N2">
        <f t="shared" ref="N2:T2" si="0">D2*4</f>
        <v>1.05444</v>
      </c>
      <c r="O2">
        <f t="shared" si="0"/>
        <v>1.24468</v>
      </c>
      <c r="P2">
        <f t="shared" si="0"/>
        <v>1.20472</v>
      </c>
      <c r="Q2">
        <f t="shared" si="0"/>
        <v>1.2210000000000001</v>
      </c>
      <c r="R2">
        <f t="shared" si="0"/>
        <v>1.248</v>
      </c>
      <c r="S2">
        <f t="shared" si="0"/>
        <v>1.2636000000000001</v>
      </c>
      <c r="T2">
        <f t="shared" si="0"/>
        <v>1.1928799999999999</v>
      </c>
    </row>
    <row r="3" spans="1:20" x14ac:dyDescent="0.35">
      <c r="B3" s="42">
        <v>401</v>
      </c>
      <c r="C3" s="42">
        <v>0.29665999999999998</v>
      </c>
      <c r="D3" s="42">
        <v>0.26369999999999999</v>
      </c>
      <c r="E3" s="42">
        <v>0.31109999999999999</v>
      </c>
      <c r="F3" s="42">
        <v>0.30143999999999999</v>
      </c>
      <c r="G3" s="42">
        <v>0.30557000000000001</v>
      </c>
      <c r="H3" s="42">
        <v>0.31226999999999999</v>
      </c>
      <c r="I3" s="42">
        <v>0.31597999999999998</v>
      </c>
      <c r="J3" s="42">
        <v>0.29836000000000001</v>
      </c>
      <c r="L3" s="20">
        <v>401</v>
      </c>
      <c r="M3">
        <f t="shared" ref="M3:M66" si="1">C3*4</f>
        <v>1.1866399999999999</v>
      </c>
      <c r="N3">
        <f t="shared" ref="N3:N66" si="2">D3*4</f>
        <v>1.0548</v>
      </c>
      <c r="O3">
        <f t="shared" ref="O3:O66" si="3">E3*4</f>
        <v>1.2444</v>
      </c>
      <c r="P3">
        <f t="shared" ref="P3:P66" si="4">F3*4</f>
        <v>1.2057599999999999</v>
      </c>
      <c r="Q3">
        <f t="shared" ref="Q3:Q66" si="5">G3*4</f>
        <v>1.22228</v>
      </c>
      <c r="R3">
        <f t="shared" ref="R3:R66" si="6">H3*4</f>
        <v>1.24908</v>
      </c>
      <c r="S3">
        <f t="shared" ref="S3:S66" si="7">I3*4</f>
        <v>1.2639199999999999</v>
      </c>
      <c r="T3">
        <f t="shared" ref="T3:T66" si="8">J3*4</f>
        <v>1.1934400000000001</v>
      </c>
    </row>
    <row r="4" spans="1:20" x14ac:dyDescent="0.35">
      <c r="B4" s="42">
        <v>402</v>
      </c>
      <c r="C4" s="42">
        <v>0.29705999999999999</v>
      </c>
      <c r="D4" s="42">
        <v>0.26395000000000002</v>
      </c>
      <c r="E4" s="42">
        <v>0.31158000000000002</v>
      </c>
      <c r="F4" s="42">
        <v>0.30187999999999998</v>
      </c>
      <c r="G4" s="42">
        <v>0.30570999999999998</v>
      </c>
      <c r="H4" s="42">
        <v>0.31236000000000003</v>
      </c>
      <c r="I4" s="42">
        <v>0.31614999999999999</v>
      </c>
      <c r="J4" s="42">
        <v>0.29868</v>
      </c>
      <c r="L4" s="20">
        <v>402</v>
      </c>
      <c r="M4">
        <f t="shared" si="1"/>
        <v>1.18824</v>
      </c>
      <c r="N4">
        <f t="shared" si="2"/>
        <v>1.0558000000000001</v>
      </c>
      <c r="O4">
        <f t="shared" si="3"/>
        <v>1.2463200000000001</v>
      </c>
      <c r="P4">
        <f t="shared" si="4"/>
        <v>1.2075199999999999</v>
      </c>
      <c r="Q4">
        <f t="shared" si="5"/>
        <v>1.2228399999999999</v>
      </c>
      <c r="R4">
        <f t="shared" si="6"/>
        <v>1.2494400000000001</v>
      </c>
      <c r="S4">
        <f t="shared" si="7"/>
        <v>1.2645999999999999</v>
      </c>
      <c r="T4">
        <f t="shared" si="8"/>
        <v>1.19472</v>
      </c>
    </row>
    <row r="5" spans="1:20" x14ac:dyDescent="0.35">
      <c r="B5" s="42">
        <v>403</v>
      </c>
      <c r="C5" s="42">
        <v>0.29731999999999997</v>
      </c>
      <c r="D5" s="42">
        <v>0.26430999999999999</v>
      </c>
      <c r="E5" s="42">
        <v>0.31214999999999998</v>
      </c>
      <c r="F5" s="42">
        <v>0.30209000000000003</v>
      </c>
      <c r="G5" s="42">
        <v>0.30625999999999998</v>
      </c>
      <c r="H5" s="42">
        <v>0.31281999999999999</v>
      </c>
      <c r="I5" s="42">
        <v>0.31651000000000001</v>
      </c>
      <c r="J5" s="42">
        <v>0.29886000000000001</v>
      </c>
      <c r="L5" s="20">
        <v>403</v>
      </c>
      <c r="M5">
        <f t="shared" si="1"/>
        <v>1.1892799999999999</v>
      </c>
      <c r="N5">
        <f t="shared" si="2"/>
        <v>1.05724</v>
      </c>
      <c r="O5">
        <f t="shared" si="3"/>
        <v>1.2485999999999999</v>
      </c>
      <c r="P5">
        <f t="shared" si="4"/>
        <v>1.2083600000000001</v>
      </c>
      <c r="Q5">
        <f t="shared" si="5"/>
        <v>1.2250399999999999</v>
      </c>
      <c r="R5">
        <f t="shared" si="6"/>
        <v>1.2512799999999999</v>
      </c>
      <c r="S5">
        <f t="shared" si="7"/>
        <v>1.2660400000000001</v>
      </c>
      <c r="T5">
        <f t="shared" si="8"/>
        <v>1.1954400000000001</v>
      </c>
    </row>
    <row r="6" spans="1:20" x14ac:dyDescent="0.35">
      <c r="B6" s="42">
        <v>404</v>
      </c>
      <c r="C6" s="42">
        <v>0.29772999999999999</v>
      </c>
      <c r="D6" s="42">
        <v>0.26456000000000002</v>
      </c>
      <c r="E6" s="42">
        <v>0.31252000000000002</v>
      </c>
      <c r="F6" s="42">
        <v>0.30252000000000001</v>
      </c>
      <c r="G6" s="42">
        <v>0.30623</v>
      </c>
      <c r="H6" s="42">
        <v>0.31304999999999999</v>
      </c>
      <c r="I6" s="42">
        <v>0.31675999999999999</v>
      </c>
      <c r="J6" s="42">
        <v>0.29920999999999998</v>
      </c>
      <c r="L6" s="20">
        <v>404</v>
      </c>
      <c r="M6">
        <f t="shared" si="1"/>
        <v>1.19092</v>
      </c>
      <c r="N6">
        <f t="shared" si="2"/>
        <v>1.0582400000000001</v>
      </c>
      <c r="O6">
        <f t="shared" si="3"/>
        <v>1.2500800000000001</v>
      </c>
      <c r="P6">
        <f t="shared" si="4"/>
        <v>1.21008</v>
      </c>
      <c r="Q6">
        <f t="shared" si="5"/>
        <v>1.22492</v>
      </c>
      <c r="R6">
        <f t="shared" si="6"/>
        <v>1.2522</v>
      </c>
      <c r="S6">
        <f t="shared" si="7"/>
        <v>1.2670399999999999</v>
      </c>
      <c r="T6">
        <f t="shared" si="8"/>
        <v>1.1968399999999999</v>
      </c>
    </row>
    <row r="7" spans="1:20" x14ac:dyDescent="0.35">
      <c r="B7" s="42">
        <v>405</v>
      </c>
      <c r="C7" s="42">
        <v>0.2984</v>
      </c>
      <c r="D7" s="42">
        <v>0.26508999999999999</v>
      </c>
      <c r="E7" s="42">
        <v>0.31297000000000003</v>
      </c>
      <c r="F7" s="42">
        <v>0.30327999999999999</v>
      </c>
      <c r="G7" s="42">
        <v>0.30713000000000001</v>
      </c>
      <c r="H7" s="42">
        <v>0.31363000000000002</v>
      </c>
      <c r="I7" s="42">
        <v>0.31723000000000001</v>
      </c>
      <c r="J7" s="42">
        <v>0.29954999999999998</v>
      </c>
      <c r="L7" s="20">
        <v>405</v>
      </c>
      <c r="M7">
        <f t="shared" si="1"/>
        <v>1.1936</v>
      </c>
      <c r="N7">
        <f t="shared" si="2"/>
        <v>1.06036</v>
      </c>
      <c r="O7">
        <f t="shared" si="3"/>
        <v>1.2518800000000001</v>
      </c>
      <c r="P7">
        <f t="shared" si="4"/>
        <v>1.21312</v>
      </c>
      <c r="Q7">
        <f t="shared" si="5"/>
        <v>1.2285200000000001</v>
      </c>
      <c r="R7">
        <f t="shared" si="6"/>
        <v>1.2545200000000001</v>
      </c>
      <c r="S7">
        <f t="shared" si="7"/>
        <v>1.26892</v>
      </c>
      <c r="T7">
        <f t="shared" si="8"/>
        <v>1.1981999999999999</v>
      </c>
    </row>
    <row r="8" spans="1:20" x14ac:dyDescent="0.35">
      <c r="B8" s="42">
        <v>406</v>
      </c>
      <c r="C8" s="42">
        <v>0.29898000000000002</v>
      </c>
      <c r="D8" s="42">
        <v>0.26566000000000001</v>
      </c>
      <c r="E8" s="42">
        <v>0.31372</v>
      </c>
      <c r="F8" s="42">
        <v>0.30359000000000003</v>
      </c>
      <c r="G8" s="42">
        <v>0.30757000000000001</v>
      </c>
      <c r="H8" s="42">
        <v>0.31415999999999999</v>
      </c>
      <c r="I8" s="42">
        <v>0.31779000000000002</v>
      </c>
      <c r="J8" s="42">
        <v>0.30002000000000001</v>
      </c>
      <c r="L8" s="20">
        <v>406</v>
      </c>
      <c r="M8">
        <f t="shared" si="1"/>
        <v>1.1959200000000001</v>
      </c>
      <c r="N8">
        <f t="shared" si="2"/>
        <v>1.06264</v>
      </c>
      <c r="O8">
        <f t="shared" si="3"/>
        <v>1.25488</v>
      </c>
      <c r="P8">
        <f t="shared" si="4"/>
        <v>1.2143600000000001</v>
      </c>
      <c r="Q8">
        <f t="shared" si="5"/>
        <v>1.23028</v>
      </c>
      <c r="R8">
        <f t="shared" si="6"/>
        <v>1.25664</v>
      </c>
      <c r="S8">
        <f t="shared" si="7"/>
        <v>1.2711600000000001</v>
      </c>
      <c r="T8">
        <f t="shared" si="8"/>
        <v>1.20008</v>
      </c>
    </row>
    <row r="9" spans="1:20" x14ac:dyDescent="0.35">
      <c r="B9" s="42">
        <v>407</v>
      </c>
      <c r="C9" s="42">
        <v>0.29960999999999999</v>
      </c>
      <c r="D9" s="42">
        <v>0.26619999999999999</v>
      </c>
      <c r="E9" s="42">
        <v>0.31441000000000002</v>
      </c>
      <c r="F9" s="42">
        <v>0.30436999999999997</v>
      </c>
      <c r="G9" s="42">
        <v>0.30789</v>
      </c>
      <c r="H9" s="42">
        <v>0.31467000000000001</v>
      </c>
      <c r="I9" s="42">
        <v>0.31828000000000001</v>
      </c>
      <c r="J9" s="42">
        <v>0.30057</v>
      </c>
      <c r="L9" s="20">
        <v>407</v>
      </c>
      <c r="M9">
        <f t="shared" si="1"/>
        <v>1.1984399999999999</v>
      </c>
      <c r="N9">
        <f t="shared" si="2"/>
        <v>1.0648</v>
      </c>
      <c r="O9">
        <f t="shared" si="3"/>
        <v>1.2576400000000001</v>
      </c>
      <c r="P9">
        <f t="shared" si="4"/>
        <v>1.2174799999999999</v>
      </c>
      <c r="Q9">
        <f t="shared" si="5"/>
        <v>1.23156</v>
      </c>
      <c r="R9">
        <f t="shared" si="6"/>
        <v>1.25868</v>
      </c>
      <c r="S9">
        <f t="shared" si="7"/>
        <v>1.27312</v>
      </c>
      <c r="T9">
        <f t="shared" si="8"/>
        <v>1.20228</v>
      </c>
    </row>
    <row r="10" spans="1:20" x14ac:dyDescent="0.35">
      <c r="B10" s="42">
        <v>408</v>
      </c>
      <c r="C10" s="42">
        <v>0.30046</v>
      </c>
      <c r="D10" s="42">
        <v>0.26688000000000001</v>
      </c>
      <c r="E10" s="42">
        <v>0.31519000000000003</v>
      </c>
      <c r="F10" s="42">
        <v>0.30508000000000002</v>
      </c>
      <c r="G10" s="42">
        <v>0.30840000000000001</v>
      </c>
      <c r="H10" s="42">
        <v>0.31519000000000003</v>
      </c>
      <c r="I10" s="42">
        <v>0.31889000000000001</v>
      </c>
      <c r="J10" s="42">
        <v>0.30119000000000001</v>
      </c>
      <c r="L10" s="20">
        <v>408</v>
      </c>
      <c r="M10">
        <f t="shared" si="1"/>
        <v>1.20184</v>
      </c>
      <c r="N10">
        <f t="shared" si="2"/>
        <v>1.06752</v>
      </c>
      <c r="O10">
        <f t="shared" si="3"/>
        <v>1.2607600000000001</v>
      </c>
      <c r="P10">
        <f t="shared" si="4"/>
        <v>1.2203200000000001</v>
      </c>
      <c r="Q10">
        <f t="shared" si="5"/>
        <v>1.2336</v>
      </c>
      <c r="R10">
        <f t="shared" si="6"/>
        <v>1.2607600000000001</v>
      </c>
      <c r="S10">
        <f t="shared" si="7"/>
        <v>1.27556</v>
      </c>
      <c r="T10">
        <f t="shared" si="8"/>
        <v>1.2047600000000001</v>
      </c>
    </row>
    <row r="11" spans="1:20" x14ac:dyDescent="0.35">
      <c r="B11" s="42">
        <v>409</v>
      </c>
      <c r="C11" s="42">
        <v>0.30113000000000001</v>
      </c>
      <c r="D11" s="42">
        <v>0.26758999999999999</v>
      </c>
      <c r="E11" s="42">
        <v>0.31589</v>
      </c>
      <c r="F11" s="42">
        <v>0.30570999999999998</v>
      </c>
      <c r="G11" s="42">
        <v>0.30909999999999999</v>
      </c>
      <c r="H11" s="42">
        <v>0.31580999999999998</v>
      </c>
      <c r="I11" s="42">
        <v>0.31940000000000002</v>
      </c>
      <c r="J11" s="42">
        <v>0.30164999999999997</v>
      </c>
      <c r="L11" s="20">
        <v>409</v>
      </c>
      <c r="M11">
        <f t="shared" si="1"/>
        <v>1.20452</v>
      </c>
      <c r="N11">
        <f t="shared" si="2"/>
        <v>1.07036</v>
      </c>
      <c r="O11">
        <f t="shared" si="3"/>
        <v>1.26356</v>
      </c>
      <c r="P11">
        <f t="shared" si="4"/>
        <v>1.2228399999999999</v>
      </c>
      <c r="Q11">
        <f t="shared" si="5"/>
        <v>1.2363999999999999</v>
      </c>
      <c r="R11">
        <f t="shared" si="6"/>
        <v>1.2632399999999999</v>
      </c>
      <c r="S11">
        <f t="shared" si="7"/>
        <v>1.2776000000000001</v>
      </c>
      <c r="T11">
        <f t="shared" si="8"/>
        <v>1.2065999999999999</v>
      </c>
    </row>
    <row r="12" spans="1:20" x14ac:dyDescent="0.35">
      <c r="B12" s="42">
        <v>410</v>
      </c>
      <c r="C12" s="42">
        <v>0.30191000000000001</v>
      </c>
      <c r="D12" s="42">
        <v>0.26826</v>
      </c>
      <c r="E12" s="42">
        <v>0.31664999999999999</v>
      </c>
      <c r="F12" s="42">
        <v>0.30675999999999998</v>
      </c>
      <c r="G12" s="42">
        <v>0.30974000000000002</v>
      </c>
      <c r="H12" s="42">
        <v>0.31653999999999999</v>
      </c>
      <c r="I12" s="42">
        <v>0.32018000000000002</v>
      </c>
      <c r="J12" s="42">
        <v>0.3024</v>
      </c>
      <c r="L12" s="20">
        <v>410</v>
      </c>
      <c r="M12">
        <f t="shared" si="1"/>
        <v>1.20764</v>
      </c>
      <c r="N12">
        <f t="shared" si="2"/>
        <v>1.07304</v>
      </c>
      <c r="O12">
        <f t="shared" si="3"/>
        <v>1.2665999999999999</v>
      </c>
      <c r="P12">
        <f t="shared" si="4"/>
        <v>1.2270399999999999</v>
      </c>
      <c r="Q12">
        <f t="shared" si="5"/>
        <v>1.2389600000000001</v>
      </c>
      <c r="R12">
        <f t="shared" si="6"/>
        <v>1.26616</v>
      </c>
      <c r="S12">
        <f t="shared" si="7"/>
        <v>1.2807200000000001</v>
      </c>
      <c r="T12">
        <f t="shared" si="8"/>
        <v>1.2096</v>
      </c>
    </row>
    <row r="13" spans="1:20" x14ac:dyDescent="0.35">
      <c r="B13" s="42">
        <v>411</v>
      </c>
      <c r="C13" s="42">
        <v>0.30292000000000002</v>
      </c>
      <c r="D13" s="42">
        <v>0.26923999999999998</v>
      </c>
      <c r="E13" s="42">
        <v>0.31763000000000002</v>
      </c>
      <c r="F13" s="42">
        <v>0.30756</v>
      </c>
      <c r="G13" s="42">
        <v>0.31052999999999997</v>
      </c>
      <c r="H13" s="42">
        <v>0.31731999999999999</v>
      </c>
      <c r="I13" s="42">
        <v>0.32095000000000001</v>
      </c>
      <c r="J13" s="42">
        <v>0.30309999999999998</v>
      </c>
      <c r="L13" s="20">
        <v>411</v>
      </c>
      <c r="M13">
        <f t="shared" si="1"/>
        <v>1.2116800000000001</v>
      </c>
      <c r="N13">
        <f t="shared" si="2"/>
        <v>1.0769599999999999</v>
      </c>
      <c r="O13">
        <f t="shared" si="3"/>
        <v>1.2705200000000001</v>
      </c>
      <c r="P13">
        <f t="shared" si="4"/>
        <v>1.23024</v>
      </c>
      <c r="Q13">
        <f t="shared" si="5"/>
        <v>1.2421199999999999</v>
      </c>
      <c r="R13">
        <f t="shared" si="6"/>
        <v>1.26928</v>
      </c>
      <c r="S13">
        <f t="shared" si="7"/>
        <v>1.2838000000000001</v>
      </c>
      <c r="T13">
        <f t="shared" si="8"/>
        <v>1.2123999999999999</v>
      </c>
    </row>
    <row r="14" spans="1:20" x14ac:dyDescent="0.35">
      <c r="B14" s="42">
        <v>412</v>
      </c>
      <c r="C14" s="42">
        <v>0.30368000000000001</v>
      </c>
      <c r="D14" s="42">
        <v>0.26982</v>
      </c>
      <c r="E14" s="42">
        <v>0.31835999999999998</v>
      </c>
      <c r="F14" s="42">
        <v>0.30835000000000001</v>
      </c>
      <c r="G14" s="42">
        <v>0.31097000000000002</v>
      </c>
      <c r="H14" s="42">
        <v>0.31809999999999999</v>
      </c>
      <c r="I14" s="42">
        <v>0.32156000000000001</v>
      </c>
      <c r="J14" s="42">
        <v>0.30353000000000002</v>
      </c>
      <c r="L14" s="20">
        <v>412</v>
      </c>
      <c r="M14">
        <f t="shared" si="1"/>
        <v>1.21472</v>
      </c>
      <c r="N14">
        <f t="shared" si="2"/>
        <v>1.07928</v>
      </c>
      <c r="O14">
        <f t="shared" si="3"/>
        <v>1.2734399999999999</v>
      </c>
      <c r="P14">
        <f t="shared" si="4"/>
        <v>1.2334000000000001</v>
      </c>
      <c r="Q14">
        <f t="shared" si="5"/>
        <v>1.2438800000000001</v>
      </c>
      <c r="R14">
        <f t="shared" si="6"/>
        <v>1.2724</v>
      </c>
      <c r="S14">
        <f t="shared" si="7"/>
        <v>1.28624</v>
      </c>
      <c r="T14">
        <f t="shared" si="8"/>
        <v>1.2141200000000001</v>
      </c>
    </row>
    <row r="15" spans="1:20" x14ac:dyDescent="0.35">
      <c r="B15" s="42">
        <v>413</v>
      </c>
      <c r="C15" s="42">
        <v>0.30458000000000002</v>
      </c>
      <c r="D15" s="42">
        <v>0.27045999999999998</v>
      </c>
      <c r="E15" s="42">
        <v>0.31912000000000001</v>
      </c>
      <c r="F15" s="42">
        <v>0.30923</v>
      </c>
      <c r="G15" s="42">
        <v>0.31172</v>
      </c>
      <c r="H15" s="42">
        <v>0.31870999999999999</v>
      </c>
      <c r="I15" s="42">
        <v>0.3221</v>
      </c>
      <c r="J15" s="42">
        <v>0.30429</v>
      </c>
      <c r="L15" s="20">
        <v>413</v>
      </c>
      <c r="M15">
        <f t="shared" si="1"/>
        <v>1.2183200000000001</v>
      </c>
      <c r="N15">
        <f t="shared" si="2"/>
        <v>1.0818399999999999</v>
      </c>
      <c r="O15">
        <f t="shared" si="3"/>
        <v>1.2764800000000001</v>
      </c>
      <c r="P15">
        <f t="shared" si="4"/>
        <v>1.23692</v>
      </c>
      <c r="Q15">
        <f t="shared" si="5"/>
        <v>1.24688</v>
      </c>
      <c r="R15">
        <f t="shared" si="6"/>
        <v>1.27484</v>
      </c>
      <c r="S15">
        <f t="shared" si="7"/>
        <v>1.2884</v>
      </c>
      <c r="T15">
        <f t="shared" si="8"/>
        <v>1.21716</v>
      </c>
    </row>
    <row r="16" spans="1:20" x14ac:dyDescent="0.35">
      <c r="B16" s="42">
        <v>414</v>
      </c>
      <c r="C16" s="42">
        <v>0.30542000000000002</v>
      </c>
      <c r="D16" s="42">
        <v>0.27150000000000002</v>
      </c>
      <c r="E16" s="42">
        <v>0.32011000000000001</v>
      </c>
      <c r="F16" s="42">
        <v>0.31025999999999998</v>
      </c>
      <c r="G16" s="42">
        <v>0.31258000000000002</v>
      </c>
      <c r="H16" s="42">
        <v>0.31952000000000003</v>
      </c>
      <c r="I16" s="42">
        <v>0.32302999999999998</v>
      </c>
      <c r="J16" s="42">
        <v>0.30510999999999999</v>
      </c>
      <c r="L16" s="20">
        <v>414</v>
      </c>
      <c r="M16">
        <f t="shared" si="1"/>
        <v>1.2216800000000001</v>
      </c>
      <c r="N16">
        <f t="shared" si="2"/>
        <v>1.0860000000000001</v>
      </c>
      <c r="O16">
        <f t="shared" si="3"/>
        <v>1.28044</v>
      </c>
      <c r="P16">
        <f t="shared" si="4"/>
        <v>1.2410399999999999</v>
      </c>
      <c r="Q16">
        <f t="shared" si="5"/>
        <v>1.2503200000000001</v>
      </c>
      <c r="R16">
        <f t="shared" si="6"/>
        <v>1.2780800000000001</v>
      </c>
      <c r="S16">
        <f t="shared" si="7"/>
        <v>1.2921199999999999</v>
      </c>
      <c r="T16">
        <f t="shared" si="8"/>
        <v>1.22044</v>
      </c>
    </row>
    <row r="17" spans="2:20" x14ac:dyDescent="0.35">
      <c r="B17" s="42">
        <v>415</v>
      </c>
      <c r="C17" s="42">
        <v>0.30617</v>
      </c>
      <c r="D17" s="42">
        <v>0.27207999999999999</v>
      </c>
      <c r="E17" s="42">
        <v>0.32085999999999998</v>
      </c>
      <c r="F17" s="42">
        <v>0.31087999999999999</v>
      </c>
      <c r="G17" s="42">
        <v>0.31330999999999998</v>
      </c>
      <c r="H17" s="42">
        <v>0.32018000000000002</v>
      </c>
      <c r="I17" s="42">
        <v>0.32356000000000001</v>
      </c>
      <c r="J17" s="42">
        <v>0.30557000000000001</v>
      </c>
      <c r="L17" s="20">
        <v>415</v>
      </c>
      <c r="M17">
        <f t="shared" si="1"/>
        <v>1.22468</v>
      </c>
      <c r="N17">
        <f t="shared" si="2"/>
        <v>1.08832</v>
      </c>
      <c r="O17">
        <f t="shared" si="3"/>
        <v>1.2834399999999999</v>
      </c>
      <c r="P17">
        <f t="shared" si="4"/>
        <v>1.24352</v>
      </c>
      <c r="Q17">
        <f t="shared" si="5"/>
        <v>1.2532399999999999</v>
      </c>
      <c r="R17">
        <f t="shared" si="6"/>
        <v>1.2807200000000001</v>
      </c>
      <c r="S17">
        <f t="shared" si="7"/>
        <v>1.2942400000000001</v>
      </c>
      <c r="T17">
        <f t="shared" si="8"/>
        <v>1.22228</v>
      </c>
    </row>
    <row r="18" spans="2:20" x14ac:dyDescent="0.35">
      <c r="B18" s="42">
        <v>416</v>
      </c>
      <c r="C18" s="42">
        <v>0.30692999999999998</v>
      </c>
      <c r="D18" s="42">
        <v>0.27278000000000002</v>
      </c>
      <c r="E18" s="42">
        <v>0.32151999999999997</v>
      </c>
      <c r="F18" s="42">
        <v>0.31158000000000002</v>
      </c>
      <c r="G18" s="42">
        <v>0.31380999999999998</v>
      </c>
      <c r="H18" s="42">
        <v>0.32088</v>
      </c>
      <c r="I18" s="42">
        <v>0.32412999999999997</v>
      </c>
      <c r="J18" s="42">
        <v>0.30634</v>
      </c>
      <c r="L18" s="20">
        <v>416</v>
      </c>
      <c r="M18">
        <f t="shared" si="1"/>
        <v>1.2277199999999999</v>
      </c>
      <c r="N18">
        <f t="shared" si="2"/>
        <v>1.0911200000000001</v>
      </c>
      <c r="O18">
        <f t="shared" si="3"/>
        <v>1.2860799999999999</v>
      </c>
      <c r="P18">
        <f t="shared" si="4"/>
        <v>1.2463200000000001</v>
      </c>
      <c r="Q18">
        <f t="shared" si="5"/>
        <v>1.2552399999999999</v>
      </c>
      <c r="R18">
        <f t="shared" si="6"/>
        <v>1.28352</v>
      </c>
      <c r="S18">
        <f t="shared" si="7"/>
        <v>1.2965199999999999</v>
      </c>
      <c r="T18">
        <f t="shared" si="8"/>
        <v>1.22536</v>
      </c>
    </row>
    <row r="19" spans="2:20" x14ac:dyDescent="0.35">
      <c r="B19" s="42">
        <v>417</v>
      </c>
      <c r="C19" s="42">
        <v>0.30823</v>
      </c>
      <c r="D19" s="42">
        <v>0.27378999999999998</v>
      </c>
      <c r="E19" s="42">
        <v>0.3226</v>
      </c>
      <c r="F19" s="42">
        <v>0.3125</v>
      </c>
      <c r="G19" s="42">
        <v>0.31467000000000001</v>
      </c>
      <c r="H19" s="42">
        <v>0.32175999999999999</v>
      </c>
      <c r="I19" s="42">
        <v>0.32512000000000002</v>
      </c>
      <c r="J19" s="42">
        <v>0.30724000000000001</v>
      </c>
      <c r="L19" s="20">
        <v>417</v>
      </c>
      <c r="M19">
        <f t="shared" si="1"/>
        <v>1.23292</v>
      </c>
      <c r="N19">
        <f t="shared" si="2"/>
        <v>1.0951599999999999</v>
      </c>
      <c r="O19">
        <f t="shared" si="3"/>
        <v>1.2904</v>
      </c>
      <c r="P19">
        <f t="shared" si="4"/>
        <v>1.25</v>
      </c>
      <c r="Q19">
        <f t="shared" si="5"/>
        <v>1.25868</v>
      </c>
      <c r="R19">
        <f t="shared" si="6"/>
        <v>1.28704</v>
      </c>
      <c r="S19">
        <f t="shared" si="7"/>
        <v>1.3004800000000001</v>
      </c>
      <c r="T19">
        <f t="shared" si="8"/>
        <v>1.2289600000000001</v>
      </c>
    </row>
    <row r="20" spans="2:20" x14ac:dyDescent="0.35">
      <c r="B20" s="42">
        <v>418</v>
      </c>
      <c r="C20" s="42">
        <v>0.30871999999999999</v>
      </c>
      <c r="D20" s="42">
        <v>0.27439999999999998</v>
      </c>
      <c r="E20" s="42">
        <v>0.32314999999999999</v>
      </c>
      <c r="F20" s="42">
        <v>0.31323000000000001</v>
      </c>
      <c r="G20" s="42">
        <v>0.31519000000000003</v>
      </c>
      <c r="H20" s="42">
        <v>0.32256000000000001</v>
      </c>
      <c r="I20" s="42">
        <v>0.32565</v>
      </c>
      <c r="J20" s="42">
        <v>0.30774000000000001</v>
      </c>
      <c r="L20" s="20">
        <v>418</v>
      </c>
      <c r="M20">
        <f t="shared" si="1"/>
        <v>1.23488</v>
      </c>
      <c r="N20">
        <f t="shared" si="2"/>
        <v>1.0975999999999999</v>
      </c>
      <c r="O20">
        <f t="shared" si="3"/>
        <v>1.2926</v>
      </c>
      <c r="P20">
        <f t="shared" si="4"/>
        <v>1.25292</v>
      </c>
      <c r="Q20">
        <f t="shared" si="5"/>
        <v>1.2607600000000001</v>
      </c>
      <c r="R20">
        <f t="shared" si="6"/>
        <v>1.2902400000000001</v>
      </c>
      <c r="S20">
        <f t="shared" si="7"/>
        <v>1.3026</v>
      </c>
      <c r="T20">
        <f t="shared" si="8"/>
        <v>1.2309600000000001</v>
      </c>
    </row>
    <row r="21" spans="2:20" x14ac:dyDescent="0.35">
      <c r="B21" s="42">
        <v>419</v>
      </c>
      <c r="C21" s="42">
        <v>0.30956</v>
      </c>
      <c r="D21" s="42">
        <v>0.27487</v>
      </c>
      <c r="E21" s="42">
        <v>0.32390000000000002</v>
      </c>
      <c r="F21" s="42">
        <v>0.31386999999999998</v>
      </c>
      <c r="G21" s="42">
        <v>0.31578000000000001</v>
      </c>
      <c r="H21" s="42">
        <v>0.32308999999999999</v>
      </c>
      <c r="I21" s="42">
        <v>0.32611000000000001</v>
      </c>
      <c r="J21" s="42">
        <v>0.30825999999999998</v>
      </c>
      <c r="L21" s="20">
        <v>419</v>
      </c>
      <c r="M21">
        <f t="shared" si="1"/>
        <v>1.23824</v>
      </c>
      <c r="N21">
        <f t="shared" si="2"/>
        <v>1.09948</v>
      </c>
      <c r="O21">
        <f t="shared" si="3"/>
        <v>1.2956000000000001</v>
      </c>
      <c r="P21">
        <f t="shared" si="4"/>
        <v>1.2554799999999999</v>
      </c>
      <c r="Q21">
        <f t="shared" si="5"/>
        <v>1.26312</v>
      </c>
      <c r="R21">
        <f t="shared" si="6"/>
        <v>1.29236</v>
      </c>
      <c r="S21">
        <f t="shared" si="7"/>
        <v>1.30444</v>
      </c>
      <c r="T21">
        <f t="shared" si="8"/>
        <v>1.2330399999999999</v>
      </c>
    </row>
    <row r="22" spans="2:20" x14ac:dyDescent="0.35">
      <c r="B22" s="42">
        <v>420</v>
      </c>
      <c r="C22" s="42">
        <v>0.30980000000000002</v>
      </c>
      <c r="D22" s="42">
        <v>0.27522000000000002</v>
      </c>
      <c r="E22" s="42">
        <v>0.32422000000000001</v>
      </c>
      <c r="F22" s="42">
        <v>0.31420999999999999</v>
      </c>
      <c r="G22" s="42">
        <v>0.31624000000000002</v>
      </c>
      <c r="H22" s="42">
        <v>0.32329000000000002</v>
      </c>
      <c r="I22" s="42">
        <v>0.32649</v>
      </c>
      <c r="J22" s="42">
        <v>0.30869000000000002</v>
      </c>
      <c r="L22" s="20">
        <v>420</v>
      </c>
      <c r="M22">
        <f t="shared" si="1"/>
        <v>1.2392000000000001</v>
      </c>
      <c r="N22">
        <f t="shared" si="2"/>
        <v>1.1008800000000001</v>
      </c>
      <c r="O22">
        <f t="shared" si="3"/>
        <v>1.29688</v>
      </c>
      <c r="P22">
        <f t="shared" si="4"/>
        <v>1.25684</v>
      </c>
      <c r="Q22">
        <f t="shared" si="5"/>
        <v>1.2649600000000001</v>
      </c>
      <c r="R22">
        <f t="shared" si="6"/>
        <v>1.2931600000000001</v>
      </c>
      <c r="S22">
        <f t="shared" si="7"/>
        <v>1.30596</v>
      </c>
      <c r="T22">
        <f t="shared" si="8"/>
        <v>1.2347600000000001</v>
      </c>
    </row>
    <row r="23" spans="2:20" x14ac:dyDescent="0.35">
      <c r="B23" s="42">
        <v>421</v>
      </c>
      <c r="C23" s="42">
        <v>0.31036000000000002</v>
      </c>
      <c r="D23" s="42">
        <v>0.27577000000000002</v>
      </c>
      <c r="E23" s="42">
        <v>0.32494000000000001</v>
      </c>
      <c r="F23" s="42">
        <v>0.31474000000000002</v>
      </c>
      <c r="G23" s="42">
        <v>0.31663999999999998</v>
      </c>
      <c r="H23" s="42">
        <v>0.32384000000000002</v>
      </c>
      <c r="I23" s="42">
        <v>0.32695000000000002</v>
      </c>
      <c r="J23" s="42">
        <v>0.30901000000000001</v>
      </c>
      <c r="L23" s="20">
        <v>421</v>
      </c>
      <c r="M23">
        <f t="shared" si="1"/>
        <v>1.2414400000000001</v>
      </c>
      <c r="N23">
        <f t="shared" si="2"/>
        <v>1.1030800000000001</v>
      </c>
      <c r="O23">
        <f t="shared" si="3"/>
        <v>1.29976</v>
      </c>
      <c r="P23">
        <f t="shared" si="4"/>
        <v>1.2589600000000001</v>
      </c>
      <c r="Q23">
        <f t="shared" si="5"/>
        <v>1.2665599999999999</v>
      </c>
      <c r="R23">
        <f t="shared" si="6"/>
        <v>1.2953600000000001</v>
      </c>
      <c r="S23">
        <f t="shared" si="7"/>
        <v>1.3078000000000001</v>
      </c>
      <c r="T23">
        <f t="shared" si="8"/>
        <v>1.23604</v>
      </c>
    </row>
    <row r="24" spans="2:20" x14ac:dyDescent="0.35">
      <c r="B24" s="42">
        <v>422</v>
      </c>
      <c r="C24" s="42">
        <v>0.31064999999999998</v>
      </c>
      <c r="D24" s="42">
        <v>0.27592</v>
      </c>
      <c r="E24" s="42">
        <v>0.32502999999999999</v>
      </c>
      <c r="F24" s="42">
        <v>0.31483</v>
      </c>
      <c r="G24" s="42">
        <v>0.31679000000000002</v>
      </c>
      <c r="H24" s="42">
        <v>0.32407000000000002</v>
      </c>
      <c r="I24" s="42">
        <v>0.32727000000000001</v>
      </c>
      <c r="J24" s="42">
        <v>0.30930000000000002</v>
      </c>
      <c r="L24" s="20">
        <v>422</v>
      </c>
      <c r="M24">
        <f t="shared" si="1"/>
        <v>1.2425999999999999</v>
      </c>
      <c r="N24">
        <f t="shared" si="2"/>
        <v>1.10368</v>
      </c>
      <c r="O24">
        <f t="shared" si="3"/>
        <v>1.3001199999999999</v>
      </c>
      <c r="P24">
        <f t="shared" si="4"/>
        <v>1.25932</v>
      </c>
      <c r="Q24">
        <f t="shared" si="5"/>
        <v>1.2671600000000001</v>
      </c>
      <c r="R24">
        <f t="shared" si="6"/>
        <v>1.2962800000000001</v>
      </c>
      <c r="S24">
        <f t="shared" si="7"/>
        <v>1.30908</v>
      </c>
      <c r="T24">
        <f t="shared" si="8"/>
        <v>1.2372000000000001</v>
      </c>
    </row>
    <row r="25" spans="2:20" x14ac:dyDescent="0.35">
      <c r="B25" s="42">
        <v>423</v>
      </c>
      <c r="C25" s="42">
        <v>0.31115999999999999</v>
      </c>
      <c r="D25" s="42">
        <v>0.27655000000000002</v>
      </c>
      <c r="E25" s="42">
        <v>0.32569999999999999</v>
      </c>
      <c r="F25" s="42">
        <v>0.31548999999999999</v>
      </c>
      <c r="G25" s="42">
        <v>0.31736999999999999</v>
      </c>
      <c r="H25" s="42">
        <v>0.32457000000000003</v>
      </c>
      <c r="I25" s="42">
        <v>0.32769999999999999</v>
      </c>
      <c r="J25" s="42">
        <v>0.30984</v>
      </c>
      <c r="L25" s="20">
        <v>423</v>
      </c>
      <c r="M25">
        <f t="shared" si="1"/>
        <v>1.24464</v>
      </c>
      <c r="N25">
        <f t="shared" si="2"/>
        <v>1.1062000000000001</v>
      </c>
      <c r="O25">
        <f t="shared" si="3"/>
        <v>1.3028</v>
      </c>
      <c r="P25">
        <f t="shared" si="4"/>
        <v>1.26196</v>
      </c>
      <c r="Q25">
        <f t="shared" si="5"/>
        <v>1.2694799999999999</v>
      </c>
      <c r="R25">
        <f t="shared" si="6"/>
        <v>1.2982800000000001</v>
      </c>
      <c r="S25">
        <f t="shared" si="7"/>
        <v>1.3108</v>
      </c>
      <c r="T25">
        <f t="shared" si="8"/>
        <v>1.23936</v>
      </c>
    </row>
    <row r="26" spans="2:20" x14ac:dyDescent="0.35">
      <c r="B26" s="42">
        <v>424</v>
      </c>
      <c r="C26" s="42">
        <v>0.31153999999999998</v>
      </c>
      <c r="D26" s="42">
        <v>0.27692</v>
      </c>
      <c r="E26" s="42">
        <v>0.32613999999999999</v>
      </c>
      <c r="F26" s="42">
        <v>0.31608999999999998</v>
      </c>
      <c r="G26" s="42">
        <v>0.31774999999999998</v>
      </c>
      <c r="H26" s="42">
        <v>0.32495000000000002</v>
      </c>
      <c r="I26" s="42">
        <v>0.32806000000000002</v>
      </c>
      <c r="J26" s="42">
        <v>0.31019999999999998</v>
      </c>
      <c r="L26" s="20">
        <v>424</v>
      </c>
      <c r="M26">
        <f t="shared" si="1"/>
        <v>1.2461599999999999</v>
      </c>
      <c r="N26">
        <f t="shared" si="2"/>
        <v>1.10768</v>
      </c>
      <c r="O26">
        <f t="shared" si="3"/>
        <v>1.3045599999999999</v>
      </c>
      <c r="P26">
        <f t="shared" si="4"/>
        <v>1.2643599999999999</v>
      </c>
      <c r="Q26">
        <f t="shared" si="5"/>
        <v>1.2709999999999999</v>
      </c>
      <c r="R26">
        <f t="shared" si="6"/>
        <v>1.2998000000000001</v>
      </c>
      <c r="S26">
        <f t="shared" si="7"/>
        <v>1.3122400000000001</v>
      </c>
      <c r="T26">
        <f t="shared" si="8"/>
        <v>1.2407999999999999</v>
      </c>
    </row>
    <row r="27" spans="2:20" x14ac:dyDescent="0.35">
      <c r="B27" s="42">
        <v>425</v>
      </c>
      <c r="C27" s="42">
        <v>0.31190000000000001</v>
      </c>
      <c r="D27" s="42">
        <v>0.27715000000000001</v>
      </c>
      <c r="E27" s="42">
        <v>0.32640000000000002</v>
      </c>
      <c r="F27" s="42">
        <v>0.31619000000000003</v>
      </c>
      <c r="G27" s="42">
        <v>0.31798999999999999</v>
      </c>
      <c r="H27" s="42">
        <v>0.32523000000000002</v>
      </c>
      <c r="I27" s="42">
        <v>0.32822000000000001</v>
      </c>
      <c r="J27" s="42">
        <v>0.31031999999999998</v>
      </c>
      <c r="L27" s="20">
        <v>425</v>
      </c>
      <c r="M27">
        <f t="shared" si="1"/>
        <v>1.2476</v>
      </c>
      <c r="N27">
        <f t="shared" si="2"/>
        <v>1.1086</v>
      </c>
      <c r="O27">
        <f t="shared" si="3"/>
        <v>1.3056000000000001</v>
      </c>
      <c r="P27">
        <f t="shared" si="4"/>
        <v>1.2647600000000001</v>
      </c>
      <c r="Q27">
        <f t="shared" si="5"/>
        <v>1.27196</v>
      </c>
      <c r="R27">
        <f t="shared" si="6"/>
        <v>1.3009200000000001</v>
      </c>
      <c r="S27">
        <f t="shared" si="7"/>
        <v>1.31288</v>
      </c>
      <c r="T27">
        <f t="shared" si="8"/>
        <v>1.2412799999999999</v>
      </c>
    </row>
    <row r="28" spans="2:20" x14ac:dyDescent="0.35">
      <c r="B28" s="42">
        <v>426</v>
      </c>
      <c r="C28" s="42">
        <v>0.31236000000000003</v>
      </c>
      <c r="D28" s="42">
        <v>0.27753</v>
      </c>
      <c r="E28" s="42">
        <v>0.32673999999999997</v>
      </c>
      <c r="F28" s="42">
        <v>0.31659999999999999</v>
      </c>
      <c r="G28" s="42">
        <v>0.31835999999999998</v>
      </c>
      <c r="H28" s="42">
        <v>0.32561000000000001</v>
      </c>
      <c r="I28" s="42">
        <v>0.32863999999999999</v>
      </c>
      <c r="J28" s="42">
        <v>0.31075000000000003</v>
      </c>
      <c r="L28" s="20">
        <v>426</v>
      </c>
      <c r="M28">
        <f t="shared" si="1"/>
        <v>1.2494400000000001</v>
      </c>
      <c r="N28">
        <f t="shared" si="2"/>
        <v>1.11012</v>
      </c>
      <c r="O28">
        <f t="shared" si="3"/>
        <v>1.3069599999999999</v>
      </c>
      <c r="P28">
        <f t="shared" si="4"/>
        <v>1.2664</v>
      </c>
      <c r="Q28">
        <f t="shared" si="5"/>
        <v>1.2734399999999999</v>
      </c>
      <c r="R28">
        <f t="shared" si="6"/>
        <v>1.30244</v>
      </c>
      <c r="S28">
        <f t="shared" si="7"/>
        <v>1.31456</v>
      </c>
      <c r="T28">
        <f t="shared" si="8"/>
        <v>1.2430000000000001</v>
      </c>
    </row>
    <row r="29" spans="2:20" x14ac:dyDescent="0.35">
      <c r="B29" s="42">
        <v>427</v>
      </c>
      <c r="C29" s="42">
        <v>0.31279000000000001</v>
      </c>
      <c r="D29" s="42">
        <v>0.27809</v>
      </c>
      <c r="E29" s="42">
        <v>0.32729000000000003</v>
      </c>
      <c r="F29" s="42">
        <v>0.31707999999999997</v>
      </c>
      <c r="G29" s="42">
        <v>0.31895000000000001</v>
      </c>
      <c r="H29" s="42">
        <v>0.32605000000000001</v>
      </c>
      <c r="I29" s="42">
        <v>0.32917999999999997</v>
      </c>
      <c r="J29" s="42">
        <v>0.31136000000000003</v>
      </c>
      <c r="L29" s="20">
        <v>427</v>
      </c>
      <c r="M29">
        <f t="shared" si="1"/>
        <v>1.25116</v>
      </c>
      <c r="N29">
        <f t="shared" si="2"/>
        <v>1.11236</v>
      </c>
      <c r="O29">
        <f t="shared" si="3"/>
        <v>1.3091600000000001</v>
      </c>
      <c r="P29">
        <f t="shared" si="4"/>
        <v>1.2683199999999999</v>
      </c>
      <c r="Q29">
        <f t="shared" si="5"/>
        <v>1.2758</v>
      </c>
      <c r="R29">
        <f t="shared" si="6"/>
        <v>1.3042</v>
      </c>
      <c r="S29">
        <f t="shared" si="7"/>
        <v>1.3167199999999999</v>
      </c>
      <c r="T29">
        <f t="shared" si="8"/>
        <v>1.2454400000000001</v>
      </c>
    </row>
    <row r="30" spans="2:20" x14ac:dyDescent="0.35">
      <c r="B30" s="42">
        <v>428</v>
      </c>
      <c r="C30" s="42">
        <v>0.31339</v>
      </c>
      <c r="D30" s="42">
        <v>0.27853</v>
      </c>
      <c r="E30" s="42">
        <v>0.32802999999999999</v>
      </c>
      <c r="F30" s="42">
        <v>0.31769999999999998</v>
      </c>
      <c r="G30" s="42">
        <v>0.31925999999999999</v>
      </c>
      <c r="H30" s="42">
        <v>0.32647999999999999</v>
      </c>
      <c r="I30" s="42">
        <v>0.32946999999999999</v>
      </c>
      <c r="J30" s="42">
        <v>0.31165999999999999</v>
      </c>
      <c r="L30" s="20">
        <v>428</v>
      </c>
      <c r="M30">
        <f t="shared" si="1"/>
        <v>1.25356</v>
      </c>
      <c r="N30">
        <f t="shared" si="2"/>
        <v>1.11412</v>
      </c>
      <c r="O30">
        <f t="shared" si="3"/>
        <v>1.31212</v>
      </c>
      <c r="P30">
        <f t="shared" si="4"/>
        <v>1.2707999999999999</v>
      </c>
      <c r="Q30">
        <f t="shared" si="5"/>
        <v>1.27704</v>
      </c>
      <c r="R30">
        <f t="shared" si="6"/>
        <v>1.30592</v>
      </c>
      <c r="S30">
        <f t="shared" si="7"/>
        <v>1.3178799999999999</v>
      </c>
      <c r="T30">
        <f t="shared" si="8"/>
        <v>1.24664</v>
      </c>
    </row>
    <row r="31" spans="2:20" x14ac:dyDescent="0.35">
      <c r="B31" s="42">
        <v>429</v>
      </c>
      <c r="C31" s="42">
        <v>0.31419000000000002</v>
      </c>
      <c r="D31" s="42">
        <v>0.27905000000000002</v>
      </c>
      <c r="E31" s="42">
        <v>0.32857999999999998</v>
      </c>
      <c r="F31" s="42">
        <v>0.31834000000000001</v>
      </c>
      <c r="G31" s="42">
        <v>0.31986999999999999</v>
      </c>
      <c r="H31" s="42">
        <v>0.32712000000000002</v>
      </c>
      <c r="I31" s="42">
        <v>0.33015</v>
      </c>
      <c r="J31" s="42">
        <v>0.31209999999999999</v>
      </c>
      <c r="L31" s="20">
        <v>429</v>
      </c>
      <c r="M31">
        <f t="shared" si="1"/>
        <v>1.2567600000000001</v>
      </c>
      <c r="N31">
        <f t="shared" si="2"/>
        <v>1.1162000000000001</v>
      </c>
      <c r="O31">
        <f t="shared" si="3"/>
        <v>1.3143199999999999</v>
      </c>
      <c r="P31">
        <f t="shared" si="4"/>
        <v>1.27336</v>
      </c>
      <c r="Q31">
        <f t="shared" si="5"/>
        <v>1.27948</v>
      </c>
      <c r="R31">
        <f t="shared" si="6"/>
        <v>1.3084800000000001</v>
      </c>
      <c r="S31">
        <f t="shared" si="7"/>
        <v>1.3206</v>
      </c>
      <c r="T31">
        <f t="shared" si="8"/>
        <v>1.2484</v>
      </c>
    </row>
    <row r="32" spans="2:20" x14ac:dyDescent="0.35">
      <c r="B32" s="42">
        <v>430</v>
      </c>
      <c r="C32" s="42">
        <v>0.31508999999999998</v>
      </c>
      <c r="D32" s="42">
        <v>0.27984999999999999</v>
      </c>
      <c r="E32" s="42">
        <v>0.32950000000000002</v>
      </c>
      <c r="F32" s="42">
        <v>0.31905</v>
      </c>
      <c r="G32" s="42">
        <v>0.32057000000000002</v>
      </c>
      <c r="H32" s="42">
        <v>0.32794000000000001</v>
      </c>
      <c r="I32" s="42">
        <v>0.33091999999999999</v>
      </c>
      <c r="J32" s="42">
        <v>0.31311</v>
      </c>
      <c r="L32" s="20">
        <v>430</v>
      </c>
      <c r="M32">
        <f t="shared" si="1"/>
        <v>1.2603599999999999</v>
      </c>
      <c r="N32">
        <f t="shared" si="2"/>
        <v>1.1194</v>
      </c>
      <c r="O32">
        <f t="shared" si="3"/>
        <v>1.3180000000000001</v>
      </c>
      <c r="P32">
        <f t="shared" si="4"/>
        <v>1.2762</v>
      </c>
      <c r="Q32">
        <f t="shared" si="5"/>
        <v>1.2822800000000001</v>
      </c>
      <c r="R32">
        <f t="shared" si="6"/>
        <v>1.31176</v>
      </c>
      <c r="S32">
        <f t="shared" si="7"/>
        <v>1.32368</v>
      </c>
      <c r="T32">
        <f t="shared" si="8"/>
        <v>1.25244</v>
      </c>
    </row>
    <row r="33" spans="2:20" x14ac:dyDescent="0.35">
      <c r="B33" s="42">
        <v>431</v>
      </c>
      <c r="C33" s="42">
        <v>0.31580999999999998</v>
      </c>
      <c r="D33" s="42">
        <v>0.28065000000000001</v>
      </c>
      <c r="E33" s="42">
        <v>0.33037</v>
      </c>
      <c r="F33" s="42">
        <v>0.32013000000000003</v>
      </c>
      <c r="G33" s="42">
        <v>0.32118000000000002</v>
      </c>
      <c r="H33" s="42">
        <v>0.32857999999999998</v>
      </c>
      <c r="I33" s="42">
        <v>0.33162999999999998</v>
      </c>
      <c r="J33" s="42">
        <v>0.31363000000000002</v>
      </c>
      <c r="L33" s="20">
        <v>431</v>
      </c>
      <c r="M33">
        <f t="shared" si="1"/>
        <v>1.2632399999999999</v>
      </c>
      <c r="N33">
        <f t="shared" si="2"/>
        <v>1.1226</v>
      </c>
      <c r="O33">
        <f t="shared" si="3"/>
        <v>1.32148</v>
      </c>
      <c r="P33">
        <f t="shared" si="4"/>
        <v>1.2805200000000001</v>
      </c>
      <c r="Q33">
        <f t="shared" si="5"/>
        <v>1.2847200000000001</v>
      </c>
      <c r="R33">
        <f t="shared" si="6"/>
        <v>1.3143199999999999</v>
      </c>
      <c r="S33">
        <f t="shared" si="7"/>
        <v>1.3265199999999999</v>
      </c>
      <c r="T33">
        <f t="shared" si="8"/>
        <v>1.2545200000000001</v>
      </c>
    </row>
    <row r="34" spans="2:20" x14ac:dyDescent="0.35">
      <c r="B34" s="42">
        <v>432</v>
      </c>
      <c r="C34" s="42">
        <v>0.31688</v>
      </c>
      <c r="D34" s="42">
        <v>0.28148000000000001</v>
      </c>
      <c r="E34" s="42">
        <v>0.33109</v>
      </c>
      <c r="F34" s="42">
        <v>0.32088</v>
      </c>
      <c r="G34" s="42">
        <v>0.32201000000000002</v>
      </c>
      <c r="H34" s="42">
        <v>0.32945000000000002</v>
      </c>
      <c r="I34" s="42">
        <v>0.33223999999999998</v>
      </c>
      <c r="J34" s="42">
        <v>0.31435999999999997</v>
      </c>
      <c r="L34" s="20">
        <v>432</v>
      </c>
      <c r="M34">
        <f t="shared" si="1"/>
        <v>1.26752</v>
      </c>
      <c r="N34">
        <f t="shared" si="2"/>
        <v>1.12592</v>
      </c>
      <c r="O34">
        <f t="shared" si="3"/>
        <v>1.32436</v>
      </c>
      <c r="P34">
        <f t="shared" si="4"/>
        <v>1.28352</v>
      </c>
      <c r="Q34">
        <f t="shared" si="5"/>
        <v>1.2880400000000001</v>
      </c>
      <c r="R34">
        <f t="shared" si="6"/>
        <v>1.3178000000000001</v>
      </c>
      <c r="S34">
        <f t="shared" si="7"/>
        <v>1.3289599999999999</v>
      </c>
      <c r="T34">
        <f t="shared" si="8"/>
        <v>1.2574399999999999</v>
      </c>
    </row>
    <row r="35" spans="2:20" x14ac:dyDescent="0.35">
      <c r="B35" s="42">
        <v>433</v>
      </c>
      <c r="C35" s="42">
        <v>0.31774999999999998</v>
      </c>
      <c r="D35" s="42">
        <v>0.28233000000000003</v>
      </c>
      <c r="E35" s="42">
        <v>0.33207999999999999</v>
      </c>
      <c r="F35" s="42">
        <v>0.32195000000000001</v>
      </c>
      <c r="G35" s="42">
        <v>0.32285999999999998</v>
      </c>
      <c r="H35" s="42">
        <v>0.33032</v>
      </c>
      <c r="I35" s="42">
        <v>0.33316000000000001</v>
      </c>
      <c r="J35" s="42">
        <v>0.31519999999999998</v>
      </c>
      <c r="L35" s="20">
        <v>433</v>
      </c>
      <c r="M35">
        <f t="shared" si="1"/>
        <v>1.2709999999999999</v>
      </c>
      <c r="N35">
        <f t="shared" si="2"/>
        <v>1.1293200000000001</v>
      </c>
      <c r="O35">
        <f t="shared" si="3"/>
        <v>1.3283199999999999</v>
      </c>
      <c r="P35">
        <f t="shared" si="4"/>
        <v>1.2878000000000001</v>
      </c>
      <c r="Q35">
        <f t="shared" si="5"/>
        <v>1.2914399999999999</v>
      </c>
      <c r="R35">
        <f t="shared" si="6"/>
        <v>1.32128</v>
      </c>
      <c r="S35">
        <f t="shared" si="7"/>
        <v>1.33264</v>
      </c>
      <c r="T35">
        <f t="shared" si="8"/>
        <v>1.2607999999999999</v>
      </c>
    </row>
    <row r="36" spans="2:20" x14ac:dyDescent="0.35">
      <c r="B36" s="42">
        <v>434</v>
      </c>
      <c r="C36" s="42">
        <v>0.31896999999999998</v>
      </c>
      <c r="D36" s="42">
        <v>0.28333000000000003</v>
      </c>
      <c r="E36" s="42">
        <v>0.33321000000000001</v>
      </c>
      <c r="F36" s="42">
        <v>0.32303999999999999</v>
      </c>
      <c r="G36" s="42">
        <v>0.32364999999999999</v>
      </c>
      <c r="H36" s="42">
        <v>0.33123999999999998</v>
      </c>
      <c r="I36" s="42">
        <v>0.33409</v>
      </c>
      <c r="J36" s="42">
        <v>0.31607000000000002</v>
      </c>
      <c r="L36" s="20">
        <v>434</v>
      </c>
      <c r="M36">
        <f t="shared" si="1"/>
        <v>1.2758799999999999</v>
      </c>
      <c r="N36">
        <f t="shared" si="2"/>
        <v>1.1333200000000001</v>
      </c>
      <c r="O36">
        <f t="shared" si="3"/>
        <v>1.33284</v>
      </c>
      <c r="P36">
        <f t="shared" si="4"/>
        <v>1.29216</v>
      </c>
      <c r="Q36">
        <f t="shared" si="5"/>
        <v>1.2946</v>
      </c>
      <c r="R36">
        <f t="shared" si="6"/>
        <v>1.3249599999999999</v>
      </c>
      <c r="S36">
        <f t="shared" si="7"/>
        <v>1.33636</v>
      </c>
      <c r="T36">
        <f t="shared" si="8"/>
        <v>1.2642800000000001</v>
      </c>
    </row>
    <row r="37" spans="2:20" x14ac:dyDescent="0.35">
      <c r="B37" s="42">
        <v>435</v>
      </c>
      <c r="C37" s="42">
        <v>0.32007999999999998</v>
      </c>
      <c r="D37" s="42">
        <v>0.28434999999999999</v>
      </c>
      <c r="E37" s="42">
        <v>0.33421000000000001</v>
      </c>
      <c r="F37" s="42">
        <v>0.32411000000000001</v>
      </c>
      <c r="G37" s="42">
        <v>0.32466</v>
      </c>
      <c r="H37" s="42">
        <v>0.33226</v>
      </c>
      <c r="I37" s="42">
        <v>0.33492</v>
      </c>
      <c r="J37" s="42">
        <v>0.31702000000000002</v>
      </c>
      <c r="L37" s="20">
        <v>435</v>
      </c>
      <c r="M37">
        <f t="shared" si="1"/>
        <v>1.2803199999999999</v>
      </c>
      <c r="N37">
        <f t="shared" si="2"/>
        <v>1.1374</v>
      </c>
      <c r="O37">
        <f t="shared" si="3"/>
        <v>1.33684</v>
      </c>
      <c r="P37">
        <f t="shared" si="4"/>
        <v>1.29644</v>
      </c>
      <c r="Q37">
        <f t="shared" si="5"/>
        <v>1.29864</v>
      </c>
      <c r="R37">
        <f t="shared" si="6"/>
        <v>1.32904</v>
      </c>
      <c r="S37">
        <f t="shared" si="7"/>
        <v>1.33968</v>
      </c>
      <c r="T37">
        <f t="shared" si="8"/>
        <v>1.2680800000000001</v>
      </c>
    </row>
    <row r="38" spans="2:20" x14ac:dyDescent="0.35">
      <c r="B38" s="42">
        <v>436</v>
      </c>
      <c r="C38" s="42">
        <v>0.32101000000000002</v>
      </c>
      <c r="D38" s="42">
        <v>0.28521999999999997</v>
      </c>
      <c r="E38" s="42">
        <v>0.33510000000000001</v>
      </c>
      <c r="F38" s="42">
        <v>0.32506000000000002</v>
      </c>
      <c r="G38" s="42">
        <v>0.32534999999999997</v>
      </c>
      <c r="H38" s="42">
        <v>0.33305000000000001</v>
      </c>
      <c r="I38" s="42">
        <v>0.33560000000000001</v>
      </c>
      <c r="J38" s="42">
        <v>0.31757999999999997</v>
      </c>
      <c r="L38" s="20">
        <v>436</v>
      </c>
      <c r="M38">
        <f t="shared" si="1"/>
        <v>1.2840400000000001</v>
      </c>
      <c r="N38">
        <f t="shared" si="2"/>
        <v>1.1408799999999999</v>
      </c>
      <c r="O38">
        <f t="shared" si="3"/>
        <v>1.3404</v>
      </c>
      <c r="P38">
        <f t="shared" si="4"/>
        <v>1.3002400000000001</v>
      </c>
      <c r="Q38">
        <f t="shared" si="5"/>
        <v>1.3013999999999999</v>
      </c>
      <c r="R38">
        <f t="shared" si="6"/>
        <v>1.3322000000000001</v>
      </c>
      <c r="S38">
        <f t="shared" si="7"/>
        <v>1.3424</v>
      </c>
      <c r="T38">
        <f t="shared" si="8"/>
        <v>1.2703199999999999</v>
      </c>
    </row>
    <row r="39" spans="2:20" x14ac:dyDescent="0.35">
      <c r="B39" s="42">
        <v>437</v>
      </c>
      <c r="C39" s="42">
        <v>0.32211000000000001</v>
      </c>
      <c r="D39" s="42">
        <v>0.28615000000000002</v>
      </c>
      <c r="E39" s="42">
        <v>0.33615</v>
      </c>
      <c r="F39" s="42">
        <v>0.32607000000000003</v>
      </c>
      <c r="G39" s="42">
        <v>0.32594000000000001</v>
      </c>
      <c r="H39" s="42">
        <v>0.33394000000000001</v>
      </c>
      <c r="I39" s="42">
        <v>0.33629999999999999</v>
      </c>
      <c r="J39" s="42">
        <v>0.31851000000000002</v>
      </c>
      <c r="L39" s="20">
        <v>437</v>
      </c>
      <c r="M39">
        <f t="shared" si="1"/>
        <v>1.28844</v>
      </c>
      <c r="N39">
        <f t="shared" si="2"/>
        <v>1.1446000000000001</v>
      </c>
      <c r="O39">
        <f t="shared" si="3"/>
        <v>1.3446</v>
      </c>
      <c r="P39">
        <f t="shared" si="4"/>
        <v>1.3042800000000001</v>
      </c>
      <c r="Q39">
        <f t="shared" si="5"/>
        <v>1.30376</v>
      </c>
      <c r="R39">
        <f t="shared" si="6"/>
        <v>1.3357600000000001</v>
      </c>
      <c r="S39">
        <f t="shared" si="7"/>
        <v>1.3452</v>
      </c>
      <c r="T39">
        <f t="shared" si="8"/>
        <v>1.2740400000000001</v>
      </c>
    </row>
    <row r="40" spans="2:20" x14ac:dyDescent="0.35">
      <c r="B40" s="42">
        <v>438</v>
      </c>
      <c r="C40" s="42">
        <v>0.32297999999999999</v>
      </c>
      <c r="D40" s="42">
        <v>0.28702</v>
      </c>
      <c r="E40" s="42">
        <v>0.33706999999999998</v>
      </c>
      <c r="F40" s="42">
        <v>0.32700000000000001</v>
      </c>
      <c r="G40" s="42">
        <v>0.32683000000000001</v>
      </c>
      <c r="H40" s="42">
        <v>0.33472000000000002</v>
      </c>
      <c r="I40" s="42">
        <v>0.33717000000000003</v>
      </c>
      <c r="J40" s="42">
        <v>0.31914999999999999</v>
      </c>
      <c r="L40" s="20">
        <v>438</v>
      </c>
      <c r="M40">
        <f t="shared" si="1"/>
        <v>1.29192</v>
      </c>
      <c r="N40">
        <f t="shared" si="2"/>
        <v>1.14808</v>
      </c>
      <c r="O40">
        <f t="shared" si="3"/>
        <v>1.3482799999999999</v>
      </c>
      <c r="P40">
        <f t="shared" si="4"/>
        <v>1.3080000000000001</v>
      </c>
      <c r="Q40">
        <f t="shared" si="5"/>
        <v>1.30732</v>
      </c>
      <c r="R40">
        <f t="shared" si="6"/>
        <v>1.3388800000000001</v>
      </c>
      <c r="S40">
        <f t="shared" si="7"/>
        <v>1.3486800000000001</v>
      </c>
      <c r="T40">
        <f t="shared" si="8"/>
        <v>1.2766</v>
      </c>
    </row>
    <row r="41" spans="2:20" x14ac:dyDescent="0.35">
      <c r="B41" s="42">
        <v>439</v>
      </c>
      <c r="C41" s="42">
        <v>0.32396000000000003</v>
      </c>
      <c r="D41" s="42">
        <v>0.28781000000000001</v>
      </c>
      <c r="E41" s="42">
        <v>0.33783999999999997</v>
      </c>
      <c r="F41" s="42">
        <v>0.32779999999999998</v>
      </c>
      <c r="G41" s="42">
        <v>0.32744000000000001</v>
      </c>
      <c r="H41" s="42">
        <v>0.33535999999999999</v>
      </c>
      <c r="I41" s="42">
        <v>0.33773999999999998</v>
      </c>
      <c r="J41" s="42">
        <v>0.31974999999999998</v>
      </c>
      <c r="L41" s="20">
        <v>439</v>
      </c>
      <c r="M41">
        <f t="shared" si="1"/>
        <v>1.2958400000000001</v>
      </c>
      <c r="N41">
        <f t="shared" si="2"/>
        <v>1.15124</v>
      </c>
      <c r="O41">
        <f t="shared" si="3"/>
        <v>1.3513599999999999</v>
      </c>
      <c r="P41">
        <f t="shared" si="4"/>
        <v>1.3111999999999999</v>
      </c>
      <c r="Q41">
        <f t="shared" si="5"/>
        <v>1.30976</v>
      </c>
      <c r="R41">
        <f t="shared" si="6"/>
        <v>1.34144</v>
      </c>
      <c r="S41">
        <f t="shared" si="7"/>
        <v>1.3509599999999999</v>
      </c>
      <c r="T41">
        <f t="shared" si="8"/>
        <v>1.2789999999999999</v>
      </c>
    </row>
    <row r="42" spans="2:20" x14ac:dyDescent="0.35">
      <c r="B42" s="42">
        <v>440</v>
      </c>
      <c r="C42" s="42">
        <v>0.32446000000000003</v>
      </c>
      <c r="D42" s="42">
        <v>0.28836000000000001</v>
      </c>
      <c r="E42" s="42">
        <v>0.33835999999999999</v>
      </c>
      <c r="F42" s="42">
        <v>0.32823000000000002</v>
      </c>
      <c r="G42" s="42">
        <v>0.32773999999999998</v>
      </c>
      <c r="H42" s="42">
        <v>0.33559</v>
      </c>
      <c r="I42" s="42">
        <v>0.33804000000000001</v>
      </c>
      <c r="J42" s="42">
        <v>0.32003999999999999</v>
      </c>
      <c r="L42" s="20">
        <v>440</v>
      </c>
      <c r="M42">
        <f t="shared" si="1"/>
        <v>1.2978400000000001</v>
      </c>
      <c r="N42">
        <f t="shared" si="2"/>
        <v>1.15344</v>
      </c>
      <c r="O42">
        <f t="shared" si="3"/>
        <v>1.35344</v>
      </c>
      <c r="P42">
        <f t="shared" si="4"/>
        <v>1.3129200000000001</v>
      </c>
      <c r="Q42">
        <f t="shared" si="5"/>
        <v>1.3109599999999999</v>
      </c>
      <c r="R42">
        <f t="shared" si="6"/>
        <v>1.34236</v>
      </c>
      <c r="S42">
        <f t="shared" si="7"/>
        <v>1.35216</v>
      </c>
      <c r="T42">
        <f t="shared" si="8"/>
        <v>1.28016</v>
      </c>
    </row>
    <row r="43" spans="2:20" x14ac:dyDescent="0.35">
      <c r="B43" s="42">
        <v>441</v>
      </c>
      <c r="C43" s="42">
        <v>0.32491999999999999</v>
      </c>
      <c r="D43" s="42">
        <v>0.28867999999999999</v>
      </c>
      <c r="E43" s="42">
        <v>0.33881</v>
      </c>
      <c r="F43" s="42">
        <v>0.32884000000000002</v>
      </c>
      <c r="G43" s="42">
        <v>0.32807999999999998</v>
      </c>
      <c r="H43" s="42">
        <v>0.33613999999999999</v>
      </c>
      <c r="I43" s="42">
        <v>0.33838000000000001</v>
      </c>
      <c r="J43" s="42">
        <v>0.32041999999999998</v>
      </c>
      <c r="L43" s="20">
        <v>441</v>
      </c>
      <c r="M43">
        <f t="shared" si="1"/>
        <v>1.2996799999999999</v>
      </c>
      <c r="N43">
        <f t="shared" si="2"/>
        <v>1.15472</v>
      </c>
      <c r="O43">
        <f t="shared" si="3"/>
        <v>1.35524</v>
      </c>
      <c r="P43">
        <f t="shared" si="4"/>
        <v>1.3153600000000001</v>
      </c>
      <c r="Q43">
        <f t="shared" si="5"/>
        <v>1.3123199999999999</v>
      </c>
      <c r="R43">
        <f t="shared" si="6"/>
        <v>1.34456</v>
      </c>
      <c r="S43">
        <f t="shared" si="7"/>
        <v>1.3535200000000001</v>
      </c>
      <c r="T43">
        <f t="shared" si="8"/>
        <v>1.2816799999999999</v>
      </c>
    </row>
    <row r="44" spans="2:20" x14ac:dyDescent="0.35">
      <c r="B44" s="42">
        <v>442</v>
      </c>
      <c r="C44" s="42">
        <v>0.32523000000000002</v>
      </c>
      <c r="D44" s="42">
        <v>0.28904999999999997</v>
      </c>
      <c r="E44" s="42">
        <v>0.33890999999999999</v>
      </c>
      <c r="F44" s="42">
        <v>0.32889000000000002</v>
      </c>
      <c r="G44" s="42">
        <v>0.32826</v>
      </c>
      <c r="H44" s="42">
        <v>0.33627000000000001</v>
      </c>
      <c r="I44" s="42">
        <v>0.33853</v>
      </c>
      <c r="J44" s="42">
        <v>0.32068000000000002</v>
      </c>
      <c r="L44" s="20">
        <v>442</v>
      </c>
      <c r="M44">
        <f t="shared" si="1"/>
        <v>1.3009200000000001</v>
      </c>
      <c r="N44">
        <f t="shared" si="2"/>
        <v>1.1561999999999999</v>
      </c>
      <c r="O44">
        <f t="shared" si="3"/>
        <v>1.35564</v>
      </c>
      <c r="P44">
        <f t="shared" si="4"/>
        <v>1.3155600000000001</v>
      </c>
      <c r="Q44">
        <f t="shared" si="5"/>
        <v>1.31304</v>
      </c>
      <c r="R44">
        <f t="shared" si="6"/>
        <v>1.3450800000000001</v>
      </c>
      <c r="S44">
        <f t="shared" si="7"/>
        <v>1.35412</v>
      </c>
      <c r="T44">
        <f t="shared" si="8"/>
        <v>1.2827200000000001</v>
      </c>
    </row>
    <row r="45" spans="2:20" x14ac:dyDescent="0.35">
      <c r="B45" s="42">
        <v>443</v>
      </c>
      <c r="C45" s="42">
        <v>0.32512000000000002</v>
      </c>
      <c r="D45" s="42">
        <v>0.28908</v>
      </c>
      <c r="E45" s="42">
        <v>0.33894000000000002</v>
      </c>
      <c r="F45" s="42">
        <v>0.32890000000000003</v>
      </c>
      <c r="G45" s="42">
        <v>0.32817000000000002</v>
      </c>
      <c r="H45" s="42">
        <v>0.33629999999999999</v>
      </c>
      <c r="I45" s="42">
        <v>0.33846999999999999</v>
      </c>
      <c r="J45" s="42">
        <v>0.32064999999999999</v>
      </c>
      <c r="L45" s="20">
        <v>443</v>
      </c>
      <c r="M45">
        <f t="shared" si="1"/>
        <v>1.3004800000000001</v>
      </c>
      <c r="N45">
        <f t="shared" si="2"/>
        <v>1.15632</v>
      </c>
      <c r="O45">
        <f t="shared" si="3"/>
        <v>1.3557600000000001</v>
      </c>
      <c r="P45">
        <f t="shared" si="4"/>
        <v>1.3156000000000001</v>
      </c>
      <c r="Q45">
        <f t="shared" si="5"/>
        <v>1.3126800000000001</v>
      </c>
      <c r="R45">
        <f t="shared" si="6"/>
        <v>1.3452</v>
      </c>
      <c r="S45">
        <f t="shared" si="7"/>
        <v>1.35388</v>
      </c>
      <c r="T45">
        <f t="shared" si="8"/>
        <v>1.2826</v>
      </c>
    </row>
    <row r="46" spans="2:20" x14ac:dyDescent="0.35">
      <c r="B46" s="42">
        <v>444</v>
      </c>
      <c r="C46" s="42">
        <v>0.32468000000000002</v>
      </c>
      <c r="D46" s="42">
        <v>0.28878999999999999</v>
      </c>
      <c r="E46" s="42">
        <v>0.33867000000000003</v>
      </c>
      <c r="F46" s="42">
        <v>0.32855000000000001</v>
      </c>
      <c r="G46" s="42">
        <v>0.32790000000000002</v>
      </c>
      <c r="H46" s="42">
        <v>0.33592</v>
      </c>
      <c r="I46" s="42">
        <v>0.33806000000000003</v>
      </c>
      <c r="J46" s="42">
        <v>0.32018999999999997</v>
      </c>
      <c r="L46" s="20">
        <v>444</v>
      </c>
      <c r="M46">
        <f t="shared" si="1"/>
        <v>1.2987200000000001</v>
      </c>
      <c r="N46">
        <f t="shared" si="2"/>
        <v>1.15516</v>
      </c>
      <c r="O46">
        <f t="shared" si="3"/>
        <v>1.3546800000000001</v>
      </c>
      <c r="P46">
        <f t="shared" si="4"/>
        <v>1.3142</v>
      </c>
      <c r="Q46">
        <f t="shared" si="5"/>
        <v>1.3116000000000001</v>
      </c>
      <c r="R46">
        <f t="shared" si="6"/>
        <v>1.34368</v>
      </c>
      <c r="S46">
        <f t="shared" si="7"/>
        <v>1.3522400000000001</v>
      </c>
      <c r="T46">
        <f t="shared" si="8"/>
        <v>1.2807599999999999</v>
      </c>
    </row>
    <row r="47" spans="2:20" x14ac:dyDescent="0.35">
      <c r="B47" s="42">
        <v>445</v>
      </c>
      <c r="C47" s="42">
        <v>0.32454</v>
      </c>
      <c r="D47" s="42">
        <v>0.28850999999999999</v>
      </c>
      <c r="E47" s="42">
        <v>0.33821000000000001</v>
      </c>
      <c r="F47" s="42">
        <v>0.32817000000000002</v>
      </c>
      <c r="G47" s="42">
        <v>0.32751000000000002</v>
      </c>
      <c r="H47" s="42">
        <v>0.33556000000000002</v>
      </c>
      <c r="I47" s="42">
        <v>0.33783999999999997</v>
      </c>
      <c r="J47" s="42">
        <v>0.31996000000000002</v>
      </c>
      <c r="L47" s="20">
        <v>445</v>
      </c>
      <c r="M47">
        <f t="shared" si="1"/>
        <v>1.29816</v>
      </c>
      <c r="N47">
        <f t="shared" si="2"/>
        <v>1.15404</v>
      </c>
      <c r="O47">
        <f t="shared" si="3"/>
        <v>1.35284</v>
      </c>
      <c r="P47">
        <f t="shared" si="4"/>
        <v>1.3126800000000001</v>
      </c>
      <c r="Q47">
        <f t="shared" si="5"/>
        <v>1.3100400000000001</v>
      </c>
      <c r="R47">
        <f t="shared" si="6"/>
        <v>1.3422400000000001</v>
      </c>
      <c r="S47">
        <f t="shared" si="7"/>
        <v>1.3513599999999999</v>
      </c>
      <c r="T47">
        <f t="shared" si="8"/>
        <v>1.2798400000000001</v>
      </c>
    </row>
    <row r="48" spans="2:20" x14ac:dyDescent="0.35">
      <c r="B48" s="42">
        <v>446</v>
      </c>
      <c r="C48" s="42">
        <v>0.32363999999999998</v>
      </c>
      <c r="D48" s="42">
        <v>0.28788999999999998</v>
      </c>
      <c r="E48" s="42">
        <v>0.33745000000000003</v>
      </c>
      <c r="F48" s="42">
        <v>0.32733000000000001</v>
      </c>
      <c r="G48" s="42">
        <v>0.32691999999999999</v>
      </c>
      <c r="H48" s="42">
        <v>0.33484999999999998</v>
      </c>
      <c r="I48" s="42">
        <v>0.33712999999999999</v>
      </c>
      <c r="J48" s="42">
        <v>0.31931999999999999</v>
      </c>
      <c r="L48" s="20">
        <v>446</v>
      </c>
      <c r="M48">
        <f t="shared" si="1"/>
        <v>1.2945599999999999</v>
      </c>
      <c r="N48">
        <f t="shared" si="2"/>
        <v>1.1515599999999999</v>
      </c>
      <c r="O48">
        <f t="shared" si="3"/>
        <v>1.3498000000000001</v>
      </c>
      <c r="P48">
        <f t="shared" si="4"/>
        <v>1.30932</v>
      </c>
      <c r="Q48">
        <f t="shared" si="5"/>
        <v>1.30768</v>
      </c>
      <c r="R48">
        <f t="shared" si="6"/>
        <v>1.3393999999999999</v>
      </c>
      <c r="S48">
        <f t="shared" si="7"/>
        <v>1.3485199999999999</v>
      </c>
      <c r="T48">
        <f t="shared" si="8"/>
        <v>1.27728</v>
      </c>
    </row>
    <row r="49" spans="2:20" x14ac:dyDescent="0.35">
      <c r="B49" s="42">
        <v>447</v>
      </c>
      <c r="C49" s="42">
        <v>0.32266</v>
      </c>
      <c r="D49" s="42">
        <v>0.28693000000000002</v>
      </c>
      <c r="E49" s="42">
        <v>0.33646999999999999</v>
      </c>
      <c r="F49" s="42">
        <v>0.32629000000000002</v>
      </c>
      <c r="G49" s="42">
        <v>0.32601999999999998</v>
      </c>
      <c r="H49" s="42">
        <v>0.33383000000000002</v>
      </c>
      <c r="I49" s="42">
        <v>0.33617999999999998</v>
      </c>
      <c r="J49" s="42">
        <v>0.31845000000000001</v>
      </c>
      <c r="L49" s="20">
        <v>447</v>
      </c>
      <c r="M49">
        <f t="shared" si="1"/>
        <v>1.29064</v>
      </c>
      <c r="N49">
        <f t="shared" si="2"/>
        <v>1.1477200000000001</v>
      </c>
      <c r="O49">
        <f t="shared" si="3"/>
        <v>1.34588</v>
      </c>
      <c r="P49">
        <f t="shared" si="4"/>
        <v>1.3051600000000001</v>
      </c>
      <c r="Q49">
        <f t="shared" si="5"/>
        <v>1.3040799999999999</v>
      </c>
      <c r="R49">
        <f t="shared" si="6"/>
        <v>1.3353200000000001</v>
      </c>
      <c r="S49">
        <f t="shared" si="7"/>
        <v>1.3447199999999999</v>
      </c>
      <c r="T49">
        <f t="shared" si="8"/>
        <v>1.2738</v>
      </c>
    </row>
    <row r="50" spans="2:20" x14ac:dyDescent="0.35">
      <c r="B50" s="42">
        <v>448</v>
      </c>
      <c r="C50" s="42">
        <v>0.32142999999999999</v>
      </c>
      <c r="D50" s="42">
        <v>0.28583999999999998</v>
      </c>
      <c r="E50" s="42">
        <v>0.33529999999999999</v>
      </c>
      <c r="F50" s="42">
        <v>0.32501000000000002</v>
      </c>
      <c r="G50" s="42">
        <v>0.32502999999999999</v>
      </c>
      <c r="H50" s="42">
        <v>0.33289999999999997</v>
      </c>
      <c r="I50" s="42">
        <v>0.33527000000000001</v>
      </c>
      <c r="J50" s="42">
        <v>0.31755</v>
      </c>
      <c r="L50" s="20">
        <v>448</v>
      </c>
      <c r="M50">
        <f t="shared" si="1"/>
        <v>1.28572</v>
      </c>
      <c r="N50">
        <f t="shared" si="2"/>
        <v>1.1433599999999999</v>
      </c>
      <c r="O50">
        <f t="shared" si="3"/>
        <v>1.3411999999999999</v>
      </c>
      <c r="P50">
        <f t="shared" si="4"/>
        <v>1.3000400000000001</v>
      </c>
      <c r="Q50">
        <f t="shared" si="5"/>
        <v>1.3001199999999999</v>
      </c>
      <c r="R50">
        <f t="shared" si="6"/>
        <v>1.3315999999999999</v>
      </c>
      <c r="S50">
        <f t="shared" si="7"/>
        <v>1.34108</v>
      </c>
      <c r="T50">
        <f t="shared" si="8"/>
        <v>1.2702</v>
      </c>
    </row>
    <row r="51" spans="2:20" x14ac:dyDescent="0.35">
      <c r="B51" s="42">
        <v>449</v>
      </c>
      <c r="C51" s="42">
        <v>0.31995000000000001</v>
      </c>
      <c r="D51" s="42">
        <v>0.28466999999999998</v>
      </c>
      <c r="E51" s="42">
        <v>0.33400000000000002</v>
      </c>
      <c r="F51" s="42">
        <v>0.32363999999999998</v>
      </c>
      <c r="G51" s="42">
        <v>0.32407000000000002</v>
      </c>
      <c r="H51" s="42">
        <v>0.33171</v>
      </c>
      <c r="I51" s="42">
        <v>0.33415</v>
      </c>
      <c r="J51" s="42">
        <v>0.31645000000000001</v>
      </c>
      <c r="L51" s="20">
        <v>449</v>
      </c>
      <c r="M51">
        <f t="shared" si="1"/>
        <v>1.2798</v>
      </c>
      <c r="N51">
        <f t="shared" si="2"/>
        <v>1.1386799999999999</v>
      </c>
      <c r="O51">
        <f t="shared" si="3"/>
        <v>1.3360000000000001</v>
      </c>
      <c r="P51">
        <f t="shared" si="4"/>
        <v>1.2945599999999999</v>
      </c>
      <c r="Q51">
        <f t="shared" si="5"/>
        <v>1.2962800000000001</v>
      </c>
      <c r="R51">
        <f t="shared" si="6"/>
        <v>1.32684</v>
      </c>
      <c r="S51">
        <f t="shared" si="7"/>
        <v>1.3366</v>
      </c>
      <c r="T51">
        <f t="shared" si="8"/>
        <v>1.2658</v>
      </c>
    </row>
    <row r="52" spans="2:20" x14ac:dyDescent="0.35">
      <c r="B52" s="42">
        <v>450</v>
      </c>
      <c r="C52" s="42">
        <v>0.31845000000000001</v>
      </c>
      <c r="D52" s="42">
        <v>0.28328999999999999</v>
      </c>
      <c r="E52" s="42">
        <v>0.33267000000000002</v>
      </c>
      <c r="F52" s="42">
        <v>0.32207999999999998</v>
      </c>
      <c r="G52" s="42">
        <v>0.32280999999999999</v>
      </c>
      <c r="H52" s="42">
        <v>0.33046999999999999</v>
      </c>
      <c r="I52" s="42">
        <v>0.33298</v>
      </c>
      <c r="J52" s="42">
        <v>0.31530999999999998</v>
      </c>
      <c r="L52" s="20">
        <v>450</v>
      </c>
      <c r="M52">
        <f t="shared" si="1"/>
        <v>1.2738</v>
      </c>
      <c r="N52">
        <f t="shared" si="2"/>
        <v>1.1331599999999999</v>
      </c>
      <c r="O52">
        <f t="shared" si="3"/>
        <v>1.3306800000000001</v>
      </c>
      <c r="P52">
        <f t="shared" si="4"/>
        <v>1.2883199999999999</v>
      </c>
      <c r="Q52">
        <f t="shared" si="5"/>
        <v>1.2912399999999999</v>
      </c>
      <c r="R52">
        <f t="shared" si="6"/>
        <v>1.3218799999999999</v>
      </c>
      <c r="S52">
        <f t="shared" si="7"/>
        <v>1.33192</v>
      </c>
      <c r="T52">
        <f t="shared" si="8"/>
        <v>1.2612399999999999</v>
      </c>
    </row>
    <row r="53" spans="2:20" x14ac:dyDescent="0.35">
      <c r="B53" s="42">
        <v>451</v>
      </c>
      <c r="C53" s="42">
        <v>0.31681999999999999</v>
      </c>
      <c r="D53" s="42">
        <v>0.28190999999999999</v>
      </c>
      <c r="E53" s="42">
        <v>0.33115</v>
      </c>
      <c r="F53" s="42">
        <v>0.32066</v>
      </c>
      <c r="G53" s="42">
        <v>0.32169999999999999</v>
      </c>
      <c r="H53" s="42">
        <v>0.32923999999999998</v>
      </c>
      <c r="I53" s="42">
        <v>0.33185999999999999</v>
      </c>
      <c r="J53" s="42">
        <v>0.31424999999999997</v>
      </c>
      <c r="L53" s="20">
        <v>451</v>
      </c>
      <c r="M53">
        <f t="shared" si="1"/>
        <v>1.26728</v>
      </c>
      <c r="N53">
        <f t="shared" si="2"/>
        <v>1.12764</v>
      </c>
      <c r="O53">
        <f t="shared" si="3"/>
        <v>1.3246</v>
      </c>
      <c r="P53">
        <f t="shared" si="4"/>
        <v>1.28264</v>
      </c>
      <c r="Q53">
        <f t="shared" si="5"/>
        <v>1.2867999999999999</v>
      </c>
      <c r="R53">
        <f t="shared" si="6"/>
        <v>1.3169599999999999</v>
      </c>
      <c r="S53">
        <f t="shared" si="7"/>
        <v>1.32744</v>
      </c>
      <c r="T53">
        <f t="shared" si="8"/>
        <v>1.2569999999999999</v>
      </c>
    </row>
    <row r="54" spans="2:20" x14ac:dyDescent="0.35">
      <c r="B54" s="42">
        <v>452</v>
      </c>
      <c r="C54" s="42">
        <v>0.31540000000000001</v>
      </c>
      <c r="D54" s="42">
        <v>0.28061999999999998</v>
      </c>
      <c r="E54" s="42">
        <v>0.32993</v>
      </c>
      <c r="F54" s="42">
        <v>0.31929000000000002</v>
      </c>
      <c r="G54" s="42">
        <v>0.3206</v>
      </c>
      <c r="H54" s="42">
        <v>0.32808999999999999</v>
      </c>
      <c r="I54" s="42">
        <v>0.33078000000000002</v>
      </c>
      <c r="J54" s="42">
        <v>0.31325999999999998</v>
      </c>
      <c r="L54" s="20">
        <v>452</v>
      </c>
      <c r="M54">
        <f t="shared" si="1"/>
        <v>1.2616000000000001</v>
      </c>
      <c r="N54">
        <f t="shared" si="2"/>
        <v>1.1224799999999999</v>
      </c>
      <c r="O54">
        <f t="shared" si="3"/>
        <v>1.31972</v>
      </c>
      <c r="P54">
        <f t="shared" si="4"/>
        <v>1.2771600000000001</v>
      </c>
      <c r="Q54">
        <f t="shared" si="5"/>
        <v>1.2824</v>
      </c>
      <c r="R54">
        <f t="shared" si="6"/>
        <v>1.31236</v>
      </c>
      <c r="S54">
        <f t="shared" si="7"/>
        <v>1.3231200000000001</v>
      </c>
      <c r="T54">
        <f t="shared" si="8"/>
        <v>1.2530399999999999</v>
      </c>
    </row>
    <row r="55" spans="2:20" x14ac:dyDescent="0.35">
      <c r="B55" s="42">
        <v>453</v>
      </c>
      <c r="C55" s="42">
        <v>0.31397999999999998</v>
      </c>
      <c r="D55" s="42">
        <v>0.27948000000000001</v>
      </c>
      <c r="E55" s="42">
        <v>0.32868999999999998</v>
      </c>
      <c r="F55" s="42">
        <v>0.31785999999999998</v>
      </c>
      <c r="G55" s="42">
        <v>0.31973000000000001</v>
      </c>
      <c r="H55" s="42">
        <v>0.32697999999999999</v>
      </c>
      <c r="I55" s="42">
        <v>0.32973999999999998</v>
      </c>
      <c r="J55" s="42">
        <v>0.31226999999999999</v>
      </c>
      <c r="L55" s="20">
        <v>453</v>
      </c>
      <c r="M55">
        <f t="shared" si="1"/>
        <v>1.2559199999999999</v>
      </c>
      <c r="N55">
        <f t="shared" si="2"/>
        <v>1.11792</v>
      </c>
      <c r="O55">
        <f t="shared" si="3"/>
        <v>1.3147599999999999</v>
      </c>
      <c r="P55">
        <f t="shared" si="4"/>
        <v>1.2714399999999999</v>
      </c>
      <c r="Q55">
        <f t="shared" si="5"/>
        <v>1.2789200000000001</v>
      </c>
      <c r="R55">
        <f t="shared" si="6"/>
        <v>1.30792</v>
      </c>
      <c r="S55">
        <f t="shared" si="7"/>
        <v>1.3189599999999999</v>
      </c>
      <c r="T55">
        <f t="shared" si="8"/>
        <v>1.24908</v>
      </c>
    </row>
    <row r="56" spans="2:20" x14ac:dyDescent="0.35">
      <c r="B56" s="42">
        <v>454</v>
      </c>
      <c r="C56" s="42">
        <v>0.31264999999999998</v>
      </c>
      <c r="D56" s="42">
        <v>0.27822999999999998</v>
      </c>
      <c r="E56" s="42">
        <v>0.32745000000000002</v>
      </c>
      <c r="F56" s="42">
        <v>0.31673000000000001</v>
      </c>
      <c r="G56" s="42">
        <v>0.31875999999999999</v>
      </c>
      <c r="H56" s="42">
        <v>0.32590000000000002</v>
      </c>
      <c r="I56" s="42">
        <v>0.32879999999999998</v>
      </c>
      <c r="J56" s="42">
        <v>0.31129000000000001</v>
      </c>
      <c r="L56" s="20">
        <v>454</v>
      </c>
      <c r="M56">
        <f t="shared" si="1"/>
        <v>1.2505999999999999</v>
      </c>
      <c r="N56">
        <f t="shared" si="2"/>
        <v>1.1129199999999999</v>
      </c>
      <c r="O56">
        <f t="shared" si="3"/>
        <v>1.3098000000000001</v>
      </c>
      <c r="P56">
        <f t="shared" si="4"/>
        <v>1.26692</v>
      </c>
      <c r="Q56">
        <f t="shared" si="5"/>
        <v>1.27504</v>
      </c>
      <c r="R56">
        <f t="shared" si="6"/>
        <v>1.3036000000000001</v>
      </c>
      <c r="S56">
        <f t="shared" si="7"/>
        <v>1.3151999999999999</v>
      </c>
      <c r="T56">
        <f t="shared" si="8"/>
        <v>1.24516</v>
      </c>
    </row>
    <row r="57" spans="2:20" x14ac:dyDescent="0.35">
      <c r="B57" s="42">
        <v>455</v>
      </c>
      <c r="C57" s="42">
        <v>0.31130999999999998</v>
      </c>
      <c r="D57" s="42">
        <v>0.27731</v>
      </c>
      <c r="E57" s="42">
        <v>0.32636999999999999</v>
      </c>
      <c r="F57" s="42">
        <v>0.31552000000000002</v>
      </c>
      <c r="G57" s="42">
        <v>0.31791999999999998</v>
      </c>
      <c r="H57" s="42">
        <v>0.32512000000000002</v>
      </c>
      <c r="I57" s="42">
        <v>0.32795999999999997</v>
      </c>
      <c r="J57" s="42">
        <v>0.31054999999999999</v>
      </c>
      <c r="L57" s="20">
        <v>455</v>
      </c>
      <c r="M57">
        <f t="shared" si="1"/>
        <v>1.2452399999999999</v>
      </c>
      <c r="N57">
        <f t="shared" si="2"/>
        <v>1.10924</v>
      </c>
      <c r="O57">
        <f t="shared" si="3"/>
        <v>1.30548</v>
      </c>
      <c r="P57">
        <f t="shared" si="4"/>
        <v>1.2620800000000001</v>
      </c>
      <c r="Q57">
        <f t="shared" si="5"/>
        <v>1.2716799999999999</v>
      </c>
      <c r="R57">
        <f t="shared" si="6"/>
        <v>1.3004800000000001</v>
      </c>
      <c r="S57">
        <f t="shared" si="7"/>
        <v>1.3118399999999999</v>
      </c>
      <c r="T57">
        <f t="shared" si="8"/>
        <v>1.2422</v>
      </c>
    </row>
    <row r="58" spans="2:20" x14ac:dyDescent="0.35">
      <c r="B58" s="42">
        <v>456</v>
      </c>
      <c r="C58" s="42">
        <v>0.31013000000000002</v>
      </c>
      <c r="D58" s="42">
        <v>0.27606000000000003</v>
      </c>
      <c r="E58" s="42">
        <v>0.32521</v>
      </c>
      <c r="F58" s="42">
        <v>0.31424000000000002</v>
      </c>
      <c r="G58" s="42">
        <v>0.31702999999999998</v>
      </c>
      <c r="H58" s="42">
        <v>0.32412999999999997</v>
      </c>
      <c r="I58" s="42">
        <v>0.32704</v>
      </c>
      <c r="J58" s="42">
        <v>0.30972</v>
      </c>
      <c r="L58" s="20">
        <v>456</v>
      </c>
      <c r="M58">
        <f t="shared" si="1"/>
        <v>1.2405200000000001</v>
      </c>
      <c r="N58">
        <f t="shared" si="2"/>
        <v>1.1042400000000001</v>
      </c>
      <c r="O58">
        <f t="shared" si="3"/>
        <v>1.30084</v>
      </c>
      <c r="P58">
        <f t="shared" si="4"/>
        <v>1.2569600000000001</v>
      </c>
      <c r="Q58">
        <f t="shared" si="5"/>
        <v>1.2681199999999999</v>
      </c>
      <c r="R58">
        <f t="shared" si="6"/>
        <v>1.2965199999999999</v>
      </c>
      <c r="S58">
        <f t="shared" si="7"/>
        <v>1.30816</v>
      </c>
      <c r="T58">
        <f t="shared" si="8"/>
        <v>1.23888</v>
      </c>
    </row>
    <row r="59" spans="2:20" x14ac:dyDescent="0.35">
      <c r="B59" s="42">
        <v>457</v>
      </c>
      <c r="C59" s="42">
        <v>0.30926999999999999</v>
      </c>
      <c r="D59" s="42">
        <v>0.27527000000000001</v>
      </c>
      <c r="E59" s="42">
        <v>0.32441999999999999</v>
      </c>
      <c r="F59" s="42">
        <v>0.31348999999999999</v>
      </c>
      <c r="G59" s="42">
        <v>0.31637999999999999</v>
      </c>
      <c r="H59" s="42">
        <v>0.32343</v>
      </c>
      <c r="I59" s="42">
        <v>0.32651000000000002</v>
      </c>
      <c r="J59" s="42">
        <v>0.30903999999999998</v>
      </c>
      <c r="L59" s="20">
        <v>457</v>
      </c>
      <c r="M59">
        <f t="shared" si="1"/>
        <v>1.23708</v>
      </c>
      <c r="N59">
        <f t="shared" si="2"/>
        <v>1.1010800000000001</v>
      </c>
      <c r="O59">
        <f t="shared" si="3"/>
        <v>1.2976799999999999</v>
      </c>
      <c r="P59">
        <f t="shared" si="4"/>
        <v>1.25396</v>
      </c>
      <c r="Q59">
        <f t="shared" si="5"/>
        <v>1.26552</v>
      </c>
      <c r="R59">
        <f t="shared" si="6"/>
        <v>1.29372</v>
      </c>
      <c r="S59">
        <f t="shared" si="7"/>
        <v>1.3060400000000001</v>
      </c>
      <c r="T59">
        <f t="shared" si="8"/>
        <v>1.2361599999999999</v>
      </c>
    </row>
    <row r="60" spans="2:20" x14ac:dyDescent="0.35">
      <c r="B60" s="42">
        <v>458</v>
      </c>
      <c r="C60" s="42">
        <v>0.30831999999999998</v>
      </c>
      <c r="D60" s="42">
        <v>0.27460000000000001</v>
      </c>
      <c r="E60" s="42">
        <v>0.32362000000000002</v>
      </c>
      <c r="F60" s="42">
        <v>0.31262000000000001</v>
      </c>
      <c r="G60" s="42">
        <v>0.31578000000000001</v>
      </c>
      <c r="H60" s="42">
        <v>0.32283000000000001</v>
      </c>
      <c r="I60" s="42">
        <v>0.32586999999999999</v>
      </c>
      <c r="J60" s="42">
        <v>0.30853000000000003</v>
      </c>
      <c r="L60" s="20">
        <v>458</v>
      </c>
      <c r="M60">
        <f t="shared" si="1"/>
        <v>1.2332799999999999</v>
      </c>
      <c r="N60">
        <f t="shared" si="2"/>
        <v>1.0984</v>
      </c>
      <c r="O60">
        <f t="shared" si="3"/>
        <v>1.2944800000000001</v>
      </c>
      <c r="P60">
        <f t="shared" si="4"/>
        <v>1.25048</v>
      </c>
      <c r="Q60">
        <f t="shared" si="5"/>
        <v>1.26312</v>
      </c>
      <c r="R60">
        <f t="shared" si="6"/>
        <v>1.29132</v>
      </c>
      <c r="S60">
        <f t="shared" si="7"/>
        <v>1.30348</v>
      </c>
      <c r="T60">
        <f t="shared" si="8"/>
        <v>1.2341200000000001</v>
      </c>
    </row>
    <row r="61" spans="2:20" x14ac:dyDescent="0.35">
      <c r="B61" s="42">
        <v>459</v>
      </c>
      <c r="C61" s="42">
        <v>0.30756</v>
      </c>
      <c r="D61" s="42">
        <v>0.27390999999999999</v>
      </c>
      <c r="E61" s="42">
        <v>0.32296999999999998</v>
      </c>
      <c r="F61" s="42">
        <v>0.31186999999999998</v>
      </c>
      <c r="G61" s="42">
        <v>0.31522</v>
      </c>
      <c r="H61" s="42">
        <v>0.32227</v>
      </c>
      <c r="I61" s="42">
        <v>0.32529000000000002</v>
      </c>
      <c r="J61" s="42">
        <v>0.30812</v>
      </c>
      <c r="L61" s="20">
        <v>459</v>
      </c>
      <c r="M61">
        <f t="shared" si="1"/>
        <v>1.23024</v>
      </c>
      <c r="N61">
        <f t="shared" si="2"/>
        <v>1.0956399999999999</v>
      </c>
      <c r="O61">
        <f t="shared" si="3"/>
        <v>1.2918799999999999</v>
      </c>
      <c r="P61">
        <f t="shared" si="4"/>
        <v>1.2474799999999999</v>
      </c>
      <c r="Q61">
        <f t="shared" si="5"/>
        <v>1.26088</v>
      </c>
      <c r="R61">
        <f t="shared" si="6"/>
        <v>1.28908</v>
      </c>
      <c r="S61">
        <f t="shared" si="7"/>
        <v>1.3011600000000001</v>
      </c>
      <c r="T61">
        <f t="shared" si="8"/>
        <v>1.23248</v>
      </c>
    </row>
    <row r="62" spans="2:20" x14ac:dyDescent="0.35">
      <c r="B62" s="42">
        <v>460</v>
      </c>
      <c r="C62" s="42">
        <v>0.30679000000000001</v>
      </c>
      <c r="D62" s="42">
        <v>0.27322000000000002</v>
      </c>
      <c r="E62" s="42">
        <v>0.32230999999999999</v>
      </c>
      <c r="F62" s="42">
        <v>0.31113000000000002</v>
      </c>
      <c r="G62" s="42">
        <v>0.31474000000000002</v>
      </c>
      <c r="H62" s="42">
        <v>0.32161000000000001</v>
      </c>
      <c r="I62" s="42">
        <v>0.32474999999999998</v>
      </c>
      <c r="J62" s="42">
        <v>0.30756</v>
      </c>
      <c r="L62" s="20">
        <v>460</v>
      </c>
      <c r="M62">
        <f t="shared" si="1"/>
        <v>1.22716</v>
      </c>
      <c r="N62">
        <f t="shared" si="2"/>
        <v>1.0928800000000001</v>
      </c>
      <c r="O62">
        <f t="shared" si="3"/>
        <v>1.2892399999999999</v>
      </c>
      <c r="P62">
        <f t="shared" si="4"/>
        <v>1.2445200000000001</v>
      </c>
      <c r="Q62">
        <f t="shared" si="5"/>
        <v>1.2589600000000001</v>
      </c>
      <c r="R62">
        <f t="shared" si="6"/>
        <v>1.28644</v>
      </c>
      <c r="S62">
        <f t="shared" si="7"/>
        <v>1.2989999999999999</v>
      </c>
      <c r="T62">
        <f t="shared" si="8"/>
        <v>1.23024</v>
      </c>
    </row>
    <row r="63" spans="2:20" x14ac:dyDescent="0.35">
      <c r="B63" s="42">
        <v>461</v>
      </c>
      <c r="C63" s="42">
        <v>0.30626999999999999</v>
      </c>
      <c r="D63" s="42">
        <v>0.27274999999999999</v>
      </c>
      <c r="E63" s="42">
        <v>0.32195000000000001</v>
      </c>
      <c r="F63" s="42">
        <v>0.31081999999999999</v>
      </c>
      <c r="G63" s="42">
        <v>0.31435999999999997</v>
      </c>
      <c r="H63" s="42">
        <v>0.32124000000000003</v>
      </c>
      <c r="I63" s="42">
        <v>0.32440000000000002</v>
      </c>
      <c r="J63" s="42">
        <v>0.30713000000000001</v>
      </c>
      <c r="L63" s="20">
        <v>461</v>
      </c>
      <c r="M63">
        <f t="shared" si="1"/>
        <v>1.2250799999999999</v>
      </c>
      <c r="N63">
        <f t="shared" si="2"/>
        <v>1.091</v>
      </c>
      <c r="O63">
        <f t="shared" si="3"/>
        <v>1.2878000000000001</v>
      </c>
      <c r="P63">
        <f t="shared" si="4"/>
        <v>1.2432799999999999</v>
      </c>
      <c r="Q63">
        <f t="shared" si="5"/>
        <v>1.2574399999999999</v>
      </c>
      <c r="R63">
        <f t="shared" si="6"/>
        <v>1.2849600000000001</v>
      </c>
      <c r="S63">
        <f t="shared" si="7"/>
        <v>1.2976000000000001</v>
      </c>
      <c r="T63">
        <f t="shared" si="8"/>
        <v>1.2285200000000001</v>
      </c>
    </row>
    <row r="64" spans="2:20" x14ac:dyDescent="0.35">
      <c r="B64" s="42">
        <v>462</v>
      </c>
      <c r="C64" s="42">
        <v>0.30564999999999998</v>
      </c>
      <c r="D64" s="42">
        <v>0.27226</v>
      </c>
      <c r="E64" s="42">
        <v>0.32144</v>
      </c>
      <c r="F64" s="42">
        <v>0.31025999999999998</v>
      </c>
      <c r="G64" s="42">
        <v>0.31392999999999999</v>
      </c>
      <c r="H64" s="42">
        <v>0.32066</v>
      </c>
      <c r="I64" s="42">
        <v>0.32394000000000001</v>
      </c>
      <c r="J64" s="42">
        <v>0.30679000000000001</v>
      </c>
      <c r="L64" s="20">
        <v>462</v>
      </c>
      <c r="M64">
        <f t="shared" si="1"/>
        <v>1.2225999999999999</v>
      </c>
      <c r="N64">
        <f t="shared" si="2"/>
        <v>1.08904</v>
      </c>
      <c r="O64">
        <f t="shared" si="3"/>
        <v>1.28576</v>
      </c>
      <c r="P64">
        <f t="shared" si="4"/>
        <v>1.2410399999999999</v>
      </c>
      <c r="Q64">
        <f t="shared" si="5"/>
        <v>1.2557199999999999</v>
      </c>
      <c r="R64">
        <f t="shared" si="6"/>
        <v>1.28264</v>
      </c>
      <c r="S64">
        <f t="shared" si="7"/>
        <v>1.29576</v>
      </c>
      <c r="T64">
        <f t="shared" si="8"/>
        <v>1.22716</v>
      </c>
    </row>
    <row r="65" spans="2:20" x14ac:dyDescent="0.35">
      <c r="B65" s="42">
        <v>463</v>
      </c>
      <c r="C65" s="42">
        <v>0.30519000000000002</v>
      </c>
      <c r="D65" s="42">
        <v>0.27188000000000001</v>
      </c>
      <c r="E65" s="42">
        <v>0.32096999999999998</v>
      </c>
      <c r="F65" s="42">
        <v>0.30968000000000001</v>
      </c>
      <c r="G65" s="42">
        <v>0.31352000000000002</v>
      </c>
      <c r="H65" s="42">
        <v>0.32029999999999997</v>
      </c>
      <c r="I65" s="42">
        <v>0.32352999999999998</v>
      </c>
      <c r="J65" s="42">
        <v>0.30641000000000002</v>
      </c>
      <c r="L65" s="20">
        <v>463</v>
      </c>
      <c r="M65">
        <f t="shared" si="1"/>
        <v>1.2207600000000001</v>
      </c>
      <c r="N65">
        <f t="shared" si="2"/>
        <v>1.08752</v>
      </c>
      <c r="O65">
        <f t="shared" si="3"/>
        <v>1.2838799999999999</v>
      </c>
      <c r="P65">
        <f t="shared" si="4"/>
        <v>1.23872</v>
      </c>
      <c r="Q65">
        <f t="shared" si="5"/>
        <v>1.2540800000000001</v>
      </c>
      <c r="R65">
        <f t="shared" si="6"/>
        <v>1.2811999999999999</v>
      </c>
      <c r="S65">
        <f t="shared" si="7"/>
        <v>1.2941199999999999</v>
      </c>
      <c r="T65">
        <f t="shared" si="8"/>
        <v>1.2256400000000001</v>
      </c>
    </row>
    <row r="66" spans="2:20" x14ac:dyDescent="0.35">
      <c r="B66" s="42">
        <v>464</v>
      </c>
      <c r="C66" s="42">
        <v>0.30464000000000002</v>
      </c>
      <c r="D66" s="42">
        <v>0.27150999999999997</v>
      </c>
      <c r="E66" s="42">
        <v>0.32058999999999999</v>
      </c>
      <c r="F66" s="42">
        <v>0.30930000000000002</v>
      </c>
      <c r="G66" s="42">
        <v>0.31317</v>
      </c>
      <c r="H66" s="42">
        <v>0.31984000000000001</v>
      </c>
      <c r="I66" s="42">
        <v>0.32302999999999998</v>
      </c>
      <c r="J66" s="42">
        <v>0.30608999999999997</v>
      </c>
      <c r="L66" s="20">
        <v>464</v>
      </c>
      <c r="M66">
        <f t="shared" si="1"/>
        <v>1.2185600000000001</v>
      </c>
      <c r="N66">
        <f t="shared" si="2"/>
        <v>1.0860399999999999</v>
      </c>
      <c r="O66">
        <f t="shared" si="3"/>
        <v>1.2823599999999999</v>
      </c>
      <c r="P66">
        <f t="shared" si="4"/>
        <v>1.2372000000000001</v>
      </c>
      <c r="Q66">
        <f t="shared" si="5"/>
        <v>1.25268</v>
      </c>
      <c r="R66">
        <f t="shared" si="6"/>
        <v>1.2793600000000001</v>
      </c>
      <c r="S66">
        <f t="shared" si="7"/>
        <v>1.2921199999999999</v>
      </c>
      <c r="T66">
        <f t="shared" si="8"/>
        <v>1.2243599999999999</v>
      </c>
    </row>
    <row r="67" spans="2:20" x14ac:dyDescent="0.35">
      <c r="B67" s="42">
        <v>465</v>
      </c>
      <c r="C67" s="42">
        <v>0.30414999999999998</v>
      </c>
      <c r="D67" s="42">
        <v>0.27096999999999999</v>
      </c>
      <c r="E67" s="42">
        <v>0.32011000000000001</v>
      </c>
      <c r="F67" s="42">
        <v>0.30881999999999998</v>
      </c>
      <c r="G67" s="42">
        <v>0.31275999999999998</v>
      </c>
      <c r="H67" s="42">
        <v>0.31941000000000003</v>
      </c>
      <c r="I67" s="42">
        <v>0.32274000000000003</v>
      </c>
      <c r="J67" s="42">
        <v>0.30565999999999999</v>
      </c>
      <c r="L67" s="20">
        <v>465</v>
      </c>
      <c r="M67">
        <f t="shared" ref="M67:M130" si="9">C67*4</f>
        <v>1.2165999999999999</v>
      </c>
      <c r="N67">
        <f t="shared" ref="N67:N130" si="10">D67*4</f>
        <v>1.08388</v>
      </c>
      <c r="O67">
        <f t="shared" ref="O67:O130" si="11">E67*4</f>
        <v>1.28044</v>
      </c>
      <c r="P67">
        <f t="shared" ref="P67:P130" si="12">F67*4</f>
        <v>1.2352799999999999</v>
      </c>
      <c r="Q67">
        <f t="shared" ref="Q67:Q130" si="13">G67*4</f>
        <v>1.2510399999999999</v>
      </c>
      <c r="R67">
        <f t="shared" ref="R67:R130" si="14">H67*4</f>
        <v>1.2776400000000001</v>
      </c>
      <c r="S67">
        <f t="shared" ref="S67:S130" si="15">I67*4</f>
        <v>1.2909600000000001</v>
      </c>
      <c r="T67">
        <f t="shared" ref="T67:T130" si="16">J67*4</f>
        <v>1.2226399999999999</v>
      </c>
    </row>
    <row r="68" spans="2:20" x14ac:dyDescent="0.35">
      <c r="B68" s="42">
        <v>466</v>
      </c>
      <c r="C68" s="42">
        <v>0.30353000000000002</v>
      </c>
      <c r="D68" s="42">
        <v>0.27055000000000001</v>
      </c>
      <c r="E68" s="42">
        <v>0.31952999999999998</v>
      </c>
      <c r="F68" s="42">
        <v>0.30832999999999999</v>
      </c>
      <c r="G68" s="42">
        <v>0.31241999999999998</v>
      </c>
      <c r="H68" s="42">
        <v>0.31891000000000003</v>
      </c>
      <c r="I68" s="42">
        <v>0.32224000000000003</v>
      </c>
      <c r="J68" s="42">
        <v>0.30521999999999999</v>
      </c>
      <c r="L68" s="20">
        <v>466</v>
      </c>
      <c r="M68">
        <f t="shared" si="9"/>
        <v>1.2141200000000001</v>
      </c>
      <c r="N68">
        <f t="shared" si="10"/>
        <v>1.0822000000000001</v>
      </c>
      <c r="O68">
        <f t="shared" si="11"/>
        <v>1.2781199999999999</v>
      </c>
      <c r="P68">
        <f t="shared" si="12"/>
        <v>1.23332</v>
      </c>
      <c r="Q68">
        <f t="shared" si="13"/>
        <v>1.2496799999999999</v>
      </c>
      <c r="R68">
        <f t="shared" si="14"/>
        <v>1.2756400000000001</v>
      </c>
      <c r="S68">
        <f t="shared" si="15"/>
        <v>1.2889600000000001</v>
      </c>
      <c r="T68">
        <f t="shared" si="16"/>
        <v>1.22088</v>
      </c>
    </row>
    <row r="69" spans="2:20" x14ac:dyDescent="0.35">
      <c r="B69" s="42">
        <v>467</v>
      </c>
      <c r="C69" s="42">
        <v>0.30315999999999999</v>
      </c>
      <c r="D69" s="42">
        <v>0.27022000000000002</v>
      </c>
      <c r="E69" s="42">
        <v>0.31924000000000002</v>
      </c>
      <c r="F69" s="42">
        <v>0.30792000000000003</v>
      </c>
      <c r="G69" s="42">
        <v>0.31191999999999998</v>
      </c>
      <c r="H69" s="42">
        <v>0.31856000000000001</v>
      </c>
      <c r="I69" s="42">
        <v>0.32179000000000002</v>
      </c>
      <c r="J69" s="42">
        <v>0.30484</v>
      </c>
      <c r="L69" s="20">
        <v>467</v>
      </c>
      <c r="M69">
        <f t="shared" si="9"/>
        <v>1.2126399999999999</v>
      </c>
      <c r="N69">
        <f t="shared" si="10"/>
        <v>1.0808800000000001</v>
      </c>
      <c r="O69">
        <f t="shared" si="11"/>
        <v>1.2769600000000001</v>
      </c>
      <c r="P69">
        <f t="shared" si="12"/>
        <v>1.2316800000000001</v>
      </c>
      <c r="Q69">
        <f t="shared" si="13"/>
        <v>1.2476799999999999</v>
      </c>
      <c r="R69">
        <f t="shared" si="14"/>
        <v>1.27424</v>
      </c>
      <c r="S69">
        <f t="shared" si="15"/>
        <v>1.2871600000000001</v>
      </c>
      <c r="T69">
        <f t="shared" si="16"/>
        <v>1.21936</v>
      </c>
    </row>
    <row r="70" spans="2:20" x14ac:dyDescent="0.35">
      <c r="B70" s="42">
        <v>468</v>
      </c>
      <c r="C70" s="42">
        <v>0.30266999999999999</v>
      </c>
      <c r="D70" s="42">
        <v>0.26978000000000002</v>
      </c>
      <c r="E70" s="42">
        <v>0.31891999999999998</v>
      </c>
      <c r="F70" s="42">
        <v>0.30742999999999998</v>
      </c>
      <c r="G70" s="42">
        <v>0.31151000000000001</v>
      </c>
      <c r="H70" s="42">
        <v>0.31814999999999999</v>
      </c>
      <c r="I70" s="42">
        <v>0.32140000000000002</v>
      </c>
      <c r="J70" s="42">
        <v>0.30442999999999998</v>
      </c>
      <c r="L70" s="20">
        <v>468</v>
      </c>
      <c r="M70">
        <f t="shared" si="9"/>
        <v>1.21068</v>
      </c>
      <c r="N70">
        <f t="shared" si="10"/>
        <v>1.0791200000000001</v>
      </c>
      <c r="O70">
        <f t="shared" si="11"/>
        <v>1.2756799999999999</v>
      </c>
      <c r="P70">
        <f t="shared" si="12"/>
        <v>1.2297199999999999</v>
      </c>
      <c r="Q70">
        <f t="shared" si="13"/>
        <v>1.24604</v>
      </c>
      <c r="R70">
        <f t="shared" si="14"/>
        <v>1.2726</v>
      </c>
      <c r="S70">
        <f t="shared" si="15"/>
        <v>1.2856000000000001</v>
      </c>
      <c r="T70">
        <f t="shared" si="16"/>
        <v>1.2177199999999999</v>
      </c>
    </row>
    <row r="71" spans="2:20" x14ac:dyDescent="0.35">
      <c r="B71" s="42">
        <v>469</v>
      </c>
      <c r="C71" s="42">
        <v>0.30208000000000002</v>
      </c>
      <c r="D71" s="42">
        <v>0.26921</v>
      </c>
      <c r="E71" s="42">
        <v>0.31841999999999998</v>
      </c>
      <c r="F71" s="42">
        <v>0.30695</v>
      </c>
      <c r="G71" s="42">
        <v>0.31090000000000001</v>
      </c>
      <c r="H71" s="42">
        <v>0.31763000000000002</v>
      </c>
      <c r="I71" s="42">
        <v>0.32079999999999997</v>
      </c>
      <c r="J71" s="42">
        <v>0.30387999999999998</v>
      </c>
      <c r="L71" s="20">
        <v>469</v>
      </c>
      <c r="M71">
        <f t="shared" si="9"/>
        <v>1.2083200000000001</v>
      </c>
      <c r="N71">
        <f t="shared" si="10"/>
        <v>1.07684</v>
      </c>
      <c r="O71">
        <f t="shared" si="11"/>
        <v>1.2736799999999999</v>
      </c>
      <c r="P71">
        <f t="shared" si="12"/>
        <v>1.2278</v>
      </c>
      <c r="Q71">
        <f t="shared" si="13"/>
        <v>1.2436</v>
      </c>
      <c r="R71">
        <f t="shared" si="14"/>
        <v>1.2705200000000001</v>
      </c>
      <c r="S71">
        <f t="shared" si="15"/>
        <v>1.2831999999999999</v>
      </c>
      <c r="T71">
        <f t="shared" si="16"/>
        <v>1.2155199999999999</v>
      </c>
    </row>
    <row r="72" spans="2:20" x14ac:dyDescent="0.35">
      <c r="B72" s="42">
        <v>470</v>
      </c>
      <c r="C72" s="42">
        <v>0.30155999999999999</v>
      </c>
      <c r="D72" s="42">
        <v>0.26878000000000002</v>
      </c>
      <c r="E72" s="42">
        <v>0.31785999999999998</v>
      </c>
      <c r="F72" s="42">
        <v>0.30641000000000002</v>
      </c>
      <c r="G72" s="42">
        <v>0.31043999999999999</v>
      </c>
      <c r="H72" s="42">
        <v>0.31707999999999997</v>
      </c>
      <c r="I72" s="42">
        <v>0.32024000000000002</v>
      </c>
      <c r="J72" s="42">
        <v>0.30343999999999999</v>
      </c>
      <c r="L72" s="20">
        <v>470</v>
      </c>
      <c r="M72">
        <f t="shared" si="9"/>
        <v>1.20624</v>
      </c>
      <c r="N72">
        <f t="shared" si="10"/>
        <v>1.0751200000000001</v>
      </c>
      <c r="O72">
        <f t="shared" si="11"/>
        <v>1.2714399999999999</v>
      </c>
      <c r="P72">
        <f t="shared" si="12"/>
        <v>1.2256400000000001</v>
      </c>
      <c r="Q72">
        <f t="shared" si="13"/>
        <v>1.24176</v>
      </c>
      <c r="R72">
        <f t="shared" si="14"/>
        <v>1.2683199999999999</v>
      </c>
      <c r="S72">
        <f t="shared" si="15"/>
        <v>1.2809600000000001</v>
      </c>
      <c r="T72">
        <f t="shared" si="16"/>
        <v>1.21376</v>
      </c>
    </row>
    <row r="73" spans="2:20" x14ac:dyDescent="0.35">
      <c r="B73" s="42">
        <v>471</v>
      </c>
      <c r="C73" s="42">
        <v>0.30105999999999999</v>
      </c>
      <c r="D73" s="42">
        <v>0.26841999999999999</v>
      </c>
      <c r="E73" s="42">
        <v>0.31742999999999999</v>
      </c>
      <c r="F73" s="42">
        <v>0.30597999999999997</v>
      </c>
      <c r="G73" s="42">
        <v>0.31001000000000001</v>
      </c>
      <c r="H73" s="42">
        <v>0.31669999999999998</v>
      </c>
      <c r="I73" s="42">
        <v>0.31990000000000002</v>
      </c>
      <c r="J73" s="42">
        <v>0.30298000000000003</v>
      </c>
      <c r="L73" s="20">
        <v>471</v>
      </c>
      <c r="M73">
        <f t="shared" si="9"/>
        <v>1.20424</v>
      </c>
      <c r="N73">
        <f t="shared" si="10"/>
        <v>1.07368</v>
      </c>
      <c r="O73">
        <f t="shared" si="11"/>
        <v>1.26972</v>
      </c>
      <c r="P73">
        <f t="shared" si="12"/>
        <v>1.2239199999999999</v>
      </c>
      <c r="Q73">
        <f t="shared" si="13"/>
        <v>1.24004</v>
      </c>
      <c r="R73">
        <f t="shared" si="14"/>
        <v>1.2667999999999999</v>
      </c>
      <c r="S73">
        <f t="shared" si="15"/>
        <v>1.2796000000000001</v>
      </c>
      <c r="T73">
        <f t="shared" si="16"/>
        <v>1.2119200000000001</v>
      </c>
    </row>
    <row r="74" spans="2:20" x14ac:dyDescent="0.35">
      <c r="B74" s="42">
        <v>472</v>
      </c>
      <c r="C74" s="42">
        <v>0.30051</v>
      </c>
      <c r="D74" s="42">
        <v>0.26787</v>
      </c>
      <c r="E74" s="42">
        <v>0.31685000000000002</v>
      </c>
      <c r="F74" s="42">
        <v>0.30545</v>
      </c>
      <c r="G74" s="42">
        <v>0.30953999999999998</v>
      </c>
      <c r="H74" s="42">
        <v>0.31607000000000002</v>
      </c>
      <c r="I74" s="42">
        <v>0.31935000000000002</v>
      </c>
      <c r="J74" s="42">
        <v>0.30242999999999998</v>
      </c>
      <c r="L74" s="20">
        <v>472</v>
      </c>
      <c r="M74">
        <f t="shared" si="9"/>
        <v>1.20204</v>
      </c>
      <c r="N74">
        <f t="shared" si="10"/>
        <v>1.07148</v>
      </c>
      <c r="O74">
        <f t="shared" si="11"/>
        <v>1.2674000000000001</v>
      </c>
      <c r="P74">
        <f t="shared" si="12"/>
        <v>1.2218</v>
      </c>
      <c r="Q74">
        <f t="shared" si="13"/>
        <v>1.2381599999999999</v>
      </c>
      <c r="R74">
        <f t="shared" si="14"/>
        <v>1.2642800000000001</v>
      </c>
      <c r="S74">
        <f t="shared" si="15"/>
        <v>1.2774000000000001</v>
      </c>
      <c r="T74">
        <f t="shared" si="16"/>
        <v>1.2097199999999999</v>
      </c>
    </row>
    <row r="75" spans="2:20" x14ac:dyDescent="0.35">
      <c r="B75" s="42">
        <v>473</v>
      </c>
      <c r="C75" s="42">
        <v>0.30002000000000001</v>
      </c>
      <c r="D75" s="42">
        <v>0.26763999999999999</v>
      </c>
      <c r="E75" s="42">
        <v>0.31656000000000001</v>
      </c>
      <c r="F75" s="42">
        <v>0.30514999999999998</v>
      </c>
      <c r="G75" s="42">
        <v>0.30914000000000003</v>
      </c>
      <c r="H75" s="42">
        <v>0.31569000000000003</v>
      </c>
      <c r="I75" s="42">
        <v>0.31896999999999998</v>
      </c>
      <c r="J75" s="42">
        <v>0.30208000000000002</v>
      </c>
      <c r="L75" s="20">
        <v>473</v>
      </c>
      <c r="M75">
        <f t="shared" si="9"/>
        <v>1.20008</v>
      </c>
      <c r="N75">
        <f t="shared" si="10"/>
        <v>1.07056</v>
      </c>
      <c r="O75">
        <f t="shared" si="11"/>
        <v>1.26624</v>
      </c>
      <c r="P75">
        <f t="shared" si="12"/>
        <v>1.2205999999999999</v>
      </c>
      <c r="Q75">
        <f t="shared" si="13"/>
        <v>1.2365600000000001</v>
      </c>
      <c r="R75">
        <f t="shared" si="14"/>
        <v>1.2627600000000001</v>
      </c>
      <c r="S75">
        <f t="shared" si="15"/>
        <v>1.2758799999999999</v>
      </c>
      <c r="T75">
        <f t="shared" si="16"/>
        <v>1.2083200000000001</v>
      </c>
    </row>
    <row r="76" spans="2:20" x14ac:dyDescent="0.35">
      <c r="B76" s="42">
        <v>474</v>
      </c>
      <c r="C76" s="42">
        <v>0.29962</v>
      </c>
      <c r="D76" s="42">
        <v>0.26721</v>
      </c>
      <c r="E76" s="42">
        <v>0.31630999999999998</v>
      </c>
      <c r="F76" s="42">
        <v>0.30459999999999998</v>
      </c>
      <c r="G76" s="42">
        <v>0.30873</v>
      </c>
      <c r="H76" s="42">
        <v>0.31524999999999997</v>
      </c>
      <c r="I76" s="42">
        <v>0.31853999999999999</v>
      </c>
      <c r="J76" s="42">
        <v>0.30174000000000001</v>
      </c>
      <c r="L76" s="20">
        <v>474</v>
      </c>
      <c r="M76">
        <f t="shared" si="9"/>
        <v>1.19848</v>
      </c>
      <c r="N76">
        <f t="shared" si="10"/>
        <v>1.06884</v>
      </c>
      <c r="O76">
        <f t="shared" si="11"/>
        <v>1.2652399999999999</v>
      </c>
      <c r="P76">
        <f t="shared" si="12"/>
        <v>1.2183999999999999</v>
      </c>
      <c r="Q76">
        <f t="shared" si="13"/>
        <v>1.23492</v>
      </c>
      <c r="R76">
        <f t="shared" si="14"/>
        <v>1.2609999999999999</v>
      </c>
      <c r="S76">
        <f t="shared" si="15"/>
        <v>1.27416</v>
      </c>
      <c r="T76">
        <f t="shared" si="16"/>
        <v>1.20696</v>
      </c>
    </row>
    <row r="77" spans="2:20" x14ac:dyDescent="0.35">
      <c r="B77" s="42">
        <v>475</v>
      </c>
      <c r="C77" s="42">
        <v>0.29892999999999997</v>
      </c>
      <c r="D77" s="42">
        <v>0.26667999999999997</v>
      </c>
      <c r="E77" s="42">
        <v>0.31552000000000002</v>
      </c>
      <c r="F77" s="42">
        <v>0.30398999999999998</v>
      </c>
      <c r="G77" s="42">
        <v>0.30817</v>
      </c>
      <c r="H77" s="42">
        <v>0.31464999999999999</v>
      </c>
      <c r="I77" s="42">
        <v>0.31802000000000002</v>
      </c>
      <c r="J77" s="42">
        <v>0.30121999999999999</v>
      </c>
      <c r="L77" s="20">
        <v>475</v>
      </c>
      <c r="M77">
        <f t="shared" si="9"/>
        <v>1.1957199999999999</v>
      </c>
      <c r="N77">
        <f t="shared" si="10"/>
        <v>1.0667199999999999</v>
      </c>
      <c r="O77">
        <f t="shared" si="11"/>
        <v>1.2620800000000001</v>
      </c>
      <c r="P77">
        <f t="shared" si="12"/>
        <v>1.2159599999999999</v>
      </c>
      <c r="Q77">
        <f t="shared" si="13"/>
        <v>1.23268</v>
      </c>
      <c r="R77">
        <f t="shared" si="14"/>
        <v>1.2585999999999999</v>
      </c>
      <c r="S77">
        <f t="shared" si="15"/>
        <v>1.2720800000000001</v>
      </c>
      <c r="T77">
        <f t="shared" si="16"/>
        <v>1.20488</v>
      </c>
    </row>
    <row r="78" spans="2:20" x14ac:dyDescent="0.35">
      <c r="B78" s="42">
        <v>476</v>
      </c>
      <c r="C78" s="42">
        <v>0.29844999999999999</v>
      </c>
      <c r="D78" s="42">
        <v>0.26634000000000002</v>
      </c>
      <c r="E78" s="42">
        <v>0.31525999999999998</v>
      </c>
      <c r="F78" s="42">
        <v>0.30348000000000003</v>
      </c>
      <c r="G78" s="42">
        <v>0.30762</v>
      </c>
      <c r="H78" s="42">
        <v>0.31419000000000002</v>
      </c>
      <c r="I78" s="42">
        <v>0.3175</v>
      </c>
      <c r="J78" s="42">
        <v>0.30071999999999999</v>
      </c>
      <c r="L78" s="20">
        <v>476</v>
      </c>
      <c r="M78">
        <f t="shared" si="9"/>
        <v>1.1938</v>
      </c>
      <c r="N78">
        <f t="shared" si="10"/>
        <v>1.0653600000000001</v>
      </c>
      <c r="O78">
        <f t="shared" si="11"/>
        <v>1.2610399999999999</v>
      </c>
      <c r="P78">
        <f t="shared" si="12"/>
        <v>1.2139200000000001</v>
      </c>
      <c r="Q78">
        <f t="shared" si="13"/>
        <v>1.23048</v>
      </c>
      <c r="R78">
        <f t="shared" si="14"/>
        <v>1.2567600000000001</v>
      </c>
      <c r="S78">
        <f t="shared" si="15"/>
        <v>1.27</v>
      </c>
      <c r="T78">
        <f t="shared" si="16"/>
        <v>1.2028799999999999</v>
      </c>
    </row>
    <row r="79" spans="2:20" x14ac:dyDescent="0.35">
      <c r="B79" s="42">
        <v>477</v>
      </c>
      <c r="C79" s="42">
        <v>0.29785</v>
      </c>
      <c r="D79" s="42">
        <v>0.26584999999999998</v>
      </c>
      <c r="E79" s="42">
        <v>0.31473000000000001</v>
      </c>
      <c r="F79" s="42">
        <v>0.30312</v>
      </c>
      <c r="G79" s="42">
        <v>0.30715999999999999</v>
      </c>
      <c r="H79" s="42">
        <v>0.31374999999999997</v>
      </c>
      <c r="I79" s="42">
        <v>0.31713999999999998</v>
      </c>
      <c r="J79" s="42">
        <v>0.30021999999999999</v>
      </c>
      <c r="L79" s="20">
        <v>477</v>
      </c>
      <c r="M79">
        <f t="shared" si="9"/>
        <v>1.1914</v>
      </c>
      <c r="N79">
        <f t="shared" si="10"/>
        <v>1.0633999999999999</v>
      </c>
      <c r="O79">
        <f t="shared" si="11"/>
        <v>1.25892</v>
      </c>
      <c r="P79">
        <f t="shared" si="12"/>
        <v>1.21248</v>
      </c>
      <c r="Q79">
        <f t="shared" si="13"/>
        <v>1.22864</v>
      </c>
      <c r="R79">
        <f t="shared" si="14"/>
        <v>1.2549999999999999</v>
      </c>
      <c r="S79">
        <f t="shared" si="15"/>
        <v>1.2685599999999999</v>
      </c>
      <c r="T79">
        <f t="shared" si="16"/>
        <v>1.2008799999999999</v>
      </c>
    </row>
    <row r="80" spans="2:20" x14ac:dyDescent="0.35">
      <c r="B80" s="42">
        <v>478</v>
      </c>
      <c r="C80" s="42">
        <v>0.29753000000000002</v>
      </c>
      <c r="D80" s="42">
        <v>0.26540999999999998</v>
      </c>
      <c r="E80" s="42">
        <v>0.31426999999999999</v>
      </c>
      <c r="F80" s="42">
        <v>0.30271999999999999</v>
      </c>
      <c r="G80" s="42">
        <v>0.30678</v>
      </c>
      <c r="H80" s="42">
        <v>0.31331999999999999</v>
      </c>
      <c r="I80" s="42">
        <v>0.31675999999999999</v>
      </c>
      <c r="J80" s="42">
        <v>0.29992999999999997</v>
      </c>
      <c r="L80" s="20">
        <v>478</v>
      </c>
      <c r="M80">
        <f t="shared" si="9"/>
        <v>1.1901200000000001</v>
      </c>
      <c r="N80">
        <f t="shared" si="10"/>
        <v>1.0616399999999999</v>
      </c>
      <c r="O80">
        <f t="shared" si="11"/>
        <v>1.25708</v>
      </c>
      <c r="P80">
        <f t="shared" si="12"/>
        <v>1.21088</v>
      </c>
      <c r="Q80">
        <f t="shared" si="13"/>
        <v>1.22712</v>
      </c>
      <c r="R80">
        <f t="shared" si="14"/>
        <v>1.2532799999999999</v>
      </c>
      <c r="S80">
        <f t="shared" si="15"/>
        <v>1.2670399999999999</v>
      </c>
      <c r="T80">
        <f t="shared" si="16"/>
        <v>1.1997199999999999</v>
      </c>
    </row>
    <row r="81" spans="2:20" x14ac:dyDescent="0.35">
      <c r="B81" s="42">
        <v>479</v>
      </c>
      <c r="C81" s="42">
        <v>0.29701</v>
      </c>
      <c r="D81" s="42">
        <v>0.26507999999999998</v>
      </c>
      <c r="E81" s="42">
        <v>0.31401000000000001</v>
      </c>
      <c r="F81" s="42">
        <v>0.30235000000000001</v>
      </c>
      <c r="G81" s="42">
        <v>0.30652000000000001</v>
      </c>
      <c r="H81" s="42">
        <v>0.31298999999999999</v>
      </c>
      <c r="I81" s="42">
        <v>0.31624999999999998</v>
      </c>
      <c r="J81" s="42">
        <v>0.29960999999999999</v>
      </c>
      <c r="L81" s="20">
        <v>479</v>
      </c>
      <c r="M81">
        <f t="shared" si="9"/>
        <v>1.18804</v>
      </c>
      <c r="N81">
        <f t="shared" si="10"/>
        <v>1.0603199999999999</v>
      </c>
      <c r="O81">
        <f t="shared" si="11"/>
        <v>1.25604</v>
      </c>
      <c r="P81">
        <f t="shared" si="12"/>
        <v>1.2094</v>
      </c>
      <c r="Q81">
        <f t="shared" si="13"/>
        <v>1.2260800000000001</v>
      </c>
      <c r="R81">
        <f t="shared" si="14"/>
        <v>1.25196</v>
      </c>
      <c r="S81">
        <f t="shared" si="15"/>
        <v>1.2649999999999999</v>
      </c>
      <c r="T81">
        <f t="shared" si="16"/>
        <v>1.1984399999999999</v>
      </c>
    </row>
    <row r="82" spans="2:20" x14ac:dyDescent="0.35">
      <c r="B82" s="42">
        <v>480</v>
      </c>
      <c r="C82" s="42">
        <v>0.29651</v>
      </c>
      <c r="D82" s="42">
        <v>0.26458999999999999</v>
      </c>
      <c r="E82" s="42">
        <v>0.31348999999999999</v>
      </c>
      <c r="F82" s="42">
        <v>0.30185000000000001</v>
      </c>
      <c r="G82" s="42">
        <v>0.30610999999999999</v>
      </c>
      <c r="H82" s="42">
        <v>0.31247000000000003</v>
      </c>
      <c r="I82" s="42">
        <v>0.31596000000000002</v>
      </c>
      <c r="J82" s="42">
        <v>0.29909999999999998</v>
      </c>
      <c r="L82" s="20">
        <v>480</v>
      </c>
      <c r="M82">
        <f t="shared" si="9"/>
        <v>1.18604</v>
      </c>
      <c r="N82">
        <f t="shared" si="10"/>
        <v>1.05836</v>
      </c>
      <c r="O82">
        <f t="shared" si="11"/>
        <v>1.25396</v>
      </c>
      <c r="P82">
        <f t="shared" si="12"/>
        <v>1.2074</v>
      </c>
      <c r="Q82">
        <f t="shared" si="13"/>
        <v>1.22444</v>
      </c>
      <c r="R82">
        <f t="shared" si="14"/>
        <v>1.2498800000000001</v>
      </c>
      <c r="S82">
        <f t="shared" si="15"/>
        <v>1.2638400000000001</v>
      </c>
      <c r="T82">
        <f t="shared" si="16"/>
        <v>1.1963999999999999</v>
      </c>
    </row>
    <row r="83" spans="2:20" x14ac:dyDescent="0.35">
      <c r="B83" s="42">
        <v>481</v>
      </c>
      <c r="C83" s="42">
        <v>0.29637000000000002</v>
      </c>
      <c r="D83" s="42">
        <v>0.26435999999999998</v>
      </c>
      <c r="E83" s="42">
        <v>0.31329000000000001</v>
      </c>
      <c r="F83" s="42">
        <v>0.30160999999999999</v>
      </c>
      <c r="G83" s="42">
        <v>0.30573</v>
      </c>
      <c r="H83" s="42">
        <v>0.31220999999999999</v>
      </c>
      <c r="I83" s="42">
        <v>0.31567000000000001</v>
      </c>
      <c r="J83" s="42">
        <v>0.29901</v>
      </c>
      <c r="L83" s="20">
        <v>481</v>
      </c>
      <c r="M83">
        <f t="shared" si="9"/>
        <v>1.1854800000000001</v>
      </c>
      <c r="N83">
        <f t="shared" si="10"/>
        <v>1.0574399999999999</v>
      </c>
      <c r="O83">
        <f t="shared" si="11"/>
        <v>1.2531600000000001</v>
      </c>
      <c r="P83">
        <f t="shared" si="12"/>
        <v>1.20644</v>
      </c>
      <c r="Q83">
        <f t="shared" si="13"/>
        <v>1.22292</v>
      </c>
      <c r="R83">
        <f t="shared" si="14"/>
        <v>1.24884</v>
      </c>
      <c r="S83">
        <f t="shared" si="15"/>
        <v>1.26268</v>
      </c>
      <c r="T83">
        <f t="shared" si="16"/>
        <v>1.19604</v>
      </c>
    </row>
    <row r="84" spans="2:20" x14ac:dyDescent="0.35">
      <c r="B84" s="42">
        <v>482</v>
      </c>
      <c r="C84" s="42">
        <v>0.29604000000000003</v>
      </c>
      <c r="D84" s="42">
        <v>0.26412999999999998</v>
      </c>
      <c r="E84" s="42">
        <v>0.31306</v>
      </c>
      <c r="F84" s="42">
        <v>0.30136000000000002</v>
      </c>
      <c r="G84" s="42">
        <v>0.30553000000000002</v>
      </c>
      <c r="H84" s="42">
        <v>0.31176999999999999</v>
      </c>
      <c r="I84" s="42">
        <v>0.31530999999999998</v>
      </c>
      <c r="J84" s="42">
        <v>0.29868</v>
      </c>
      <c r="L84" s="20">
        <v>482</v>
      </c>
      <c r="M84">
        <f t="shared" si="9"/>
        <v>1.1841600000000001</v>
      </c>
      <c r="N84">
        <f t="shared" si="10"/>
        <v>1.0565199999999999</v>
      </c>
      <c r="O84">
        <f t="shared" si="11"/>
        <v>1.25224</v>
      </c>
      <c r="P84">
        <f t="shared" si="12"/>
        <v>1.2054400000000001</v>
      </c>
      <c r="Q84">
        <f t="shared" si="13"/>
        <v>1.2221200000000001</v>
      </c>
      <c r="R84">
        <f t="shared" si="14"/>
        <v>1.24708</v>
      </c>
      <c r="S84">
        <f t="shared" si="15"/>
        <v>1.2612399999999999</v>
      </c>
      <c r="T84">
        <f t="shared" si="16"/>
        <v>1.19472</v>
      </c>
    </row>
    <row r="85" spans="2:20" x14ac:dyDescent="0.35">
      <c r="B85" s="42">
        <v>483</v>
      </c>
      <c r="C85" s="42">
        <v>0.29572999999999999</v>
      </c>
      <c r="D85" s="42">
        <v>0.26395999999999997</v>
      </c>
      <c r="E85" s="42">
        <v>0.31275999999999998</v>
      </c>
      <c r="F85" s="42">
        <v>0.30113000000000001</v>
      </c>
      <c r="G85" s="42">
        <v>0.30536000000000002</v>
      </c>
      <c r="H85" s="42">
        <v>0.31165999999999999</v>
      </c>
      <c r="I85" s="42">
        <v>0.31512000000000001</v>
      </c>
      <c r="J85" s="42">
        <v>0.29848999999999998</v>
      </c>
      <c r="L85" s="20">
        <v>483</v>
      </c>
      <c r="M85">
        <f t="shared" si="9"/>
        <v>1.18292</v>
      </c>
      <c r="N85">
        <f t="shared" si="10"/>
        <v>1.0558399999999999</v>
      </c>
      <c r="O85">
        <f t="shared" si="11"/>
        <v>1.2510399999999999</v>
      </c>
      <c r="P85">
        <f t="shared" si="12"/>
        <v>1.20452</v>
      </c>
      <c r="Q85">
        <f t="shared" si="13"/>
        <v>1.2214400000000001</v>
      </c>
      <c r="R85">
        <f t="shared" si="14"/>
        <v>1.24664</v>
      </c>
      <c r="S85">
        <f t="shared" si="15"/>
        <v>1.26048</v>
      </c>
      <c r="T85">
        <f t="shared" si="16"/>
        <v>1.1939599999999999</v>
      </c>
    </row>
    <row r="86" spans="2:20" x14ac:dyDescent="0.35">
      <c r="B86" s="42">
        <v>484</v>
      </c>
      <c r="C86" s="42">
        <v>0.29547000000000001</v>
      </c>
      <c r="D86" s="42">
        <v>0.26373000000000002</v>
      </c>
      <c r="E86" s="42">
        <v>0.31258999999999998</v>
      </c>
      <c r="F86" s="42">
        <v>0.30080000000000001</v>
      </c>
      <c r="G86" s="42">
        <v>0.30508000000000002</v>
      </c>
      <c r="H86" s="42">
        <v>0.31142999999999998</v>
      </c>
      <c r="I86" s="42">
        <v>0.31498999999999999</v>
      </c>
      <c r="J86" s="42">
        <v>0.29825000000000002</v>
      </c>
      <c r="L86" s="20">
        <v>484</v>
      </c>
      <c r="M86">
        <f t="shared" si="9"/>
        <v>1.18188</v>
      </c>
      <c r="N86">
        <f t="shared" si="10"/>
        <v>1.0549200000000001</v>
      </c>
      <c r="O86">
        <f t="shared" si="11"/>
        <v>1.2503599999999999</v>
      </c>
      <c r="P86">
        <f t="shared" si="12"/>
        <v>1.2032</v>
      </c>
      <c r="Q86">
        <f t="shared" si="13"/>
        <v>1.2203200000000001</v>
      </c>
      <c r="R86">
        <f t="shared" si="14"/>
        <v>1.2457199999999999</v>
      </c>
      <c r="S86">
        <f t="shared" si="15"/>
        <v>1.25996</v>
      </c>
      <c r="T86">
        <f t="shared" si="16"/>
        <v>1.1930000000000001</v>
      </c>
    </row>
    <row r="87" spans="2:20" x14ac:dyDescent="0.35">
      <c r="B87" s="42">
        <v>485</v>
      </c>
      <c r="C87" s="42">
        <v>0.29526000000000002</v>
      </c>
      <c r="D87" s="42">
        <v>0.26357999999999998</v>
      </c>
      <c r="E87" s="42">
        <v>0.31252999999999997</v>
      </c>
      <c r="F87" s="42">
        <v>0.30071999999999999</v>
      </c>
      <c r="G87" s="42">
        <v>0.30488999999999999</v>
      </c>
      <c r="H87" s="42">
        <v>0.31128</v>
      </c>
      <c r="I87" s="42">
        <v>0.31480000000000002</v>
      </c>
      <c r="J87" s="42">
        <v>0.29809999999999998</v>
      </c>
      <c r="L87" s="20">
        <v>485</v>
      </c>
      <c r="M87">
        <f t="shared" si="9"/>
        <v>1.1810400000000001</v>
      </c>
      <c r="N87">
        <f t="shared" si="10"/>
        <v>1.0543199999999999</v>
      </c>
      <c r="O87">
        <f t="shared" si="11"/>
        <v>1.2501199999999999</v>
      </c>
      <c r="P87">
        <f t="shared" si="12"/>
        <v>1.2028799999999999</v>
      </c>
      <c r="Q87">
        <f t="shared" si="13"/>
        <v>1.21956</v>
      </c>
      <c r="R87">
        <f t="shared" si="14"/>
        <v>1.24512</v>
      </c>
      <c r="S87">
        <f t="shared" si="15"/>
        <v>1.2592000000000001</v>
      </c>
      <c r="T87">
        <f t="shared" si="16"/>
        <v>1.1923999999999999</v>
      </c>
    </row>
    <row r="88" spans="2:20" x14ac:dyDescent="0.35">
      <c r="B88" s="42">
        <v>486</v>
      </c>
      <c r="C88" s="42">
        <v>0.29507</v>
      </c>
      <c r="D88" s="42">
        <v>0.26346999999999998</v>
      </c>
      <c r="E88" s="42">
        <v>0.3125</v>
      </c>
      <c r="F88" s="42">
        <v>0.30065999999999998</v>
      </c>
      <c r="G88" s="42">
        <v>0.30492000000000002</v>
      </c>
      <c r="H88" s="42">
        <v>0.31114000000000003</v>
      </c>
      <c r="I88" s="42">
        <v>0.31468000000000002</v>
      </c>
      <c r="J88" s="42">
        <v>0.29803000000000002</v>
      </c>
      <c r="L88" s="20">
        <v>486</v>
      </c>
      <c r="M88">
        <f t="shared" si="9"/>
        <v>1.18028</v>
      </c>
      <c r="N88">
        <f t="shared" si="10"/>
        <v>1.0538799999999999</v>
      </c>
      <c r="O88">
        <f t="shared" si="11"/>
        <v>1.25</v>
      </c>
      <c r="P88">
        <f t="shared" si="12"/>
        <v>1.2026399999999999</v>
      </c>
      <c r="Q88">
        <f t="shared" si="13"/>
        <v>1.2196800000000001</v>
      </c>
      <c r="R88">
        <f t="shared" si="14"/>
        <v>1.2445600000000001</v>
      </c>
      <c r="S88">
        <f t="shared" si="15"/>
        <v>1.2587200000000001</v>
      </c>
      <c r="T88">
        <f t="shared" si="16"/>
        <v>1.1921200000000001</v>
      </c>
    </row>
    <row r="89" spans="2:20" x14ac:dyDescent="0.35">
      <c r="B89" s="42">
        <v>487</v>
      </c>
      <c r="C89" s="42">
        <v>0.29503000000000001</v>
      </c>
      <c r="D89" s="42">
        <v>0.26334000000000002</v>
      </c>
      <c r="E89" s="42">
        <v>0.31235000000000002</v>
      </c>
      <c r="F89" s="42">
        <v>0.30069000000000001</v>
      </c>
      <c r="G89" s="42">
        <v>0.30481999999999998</v>
      </c>
      <c r="H89" s="42">
        <v>0.31114000000000003</v>
      </c>
      <c r="I89" s="42">
        <v>0.31461</v>
      </c>
      <c r="J89" s="42">
        <v>0.29796</v>
      </c>
      <c r="L89" s="20">
        <v>487</v>
      </c>
      <c r="M89">
        <f t="shared" si="9"/>
        <v>1.1801200000000001</v>
      </c>
      <c r="N89">
        <f t="shared" si="10"/>
        <v>1.0533600000000001</v>
      </c>
      <c r="O89">
        <f t="shared" si="11"/>
        <v>1.2494000000000001</v>
      </c>
      <c r="P89">
        <f t="shared" si="12"/>
        <v>1.2027600000000001</v>
      </c>
      <c r="Q89">
        <f t="shared" si="13"/>
        <v>1.2192799999999999</v>
      </c>
      <c r="R89">
        <f t="shared" si="14"/>
        <v>1.2445600000000001</v>
      </c>
      <c r="S89">
        <f t="shared" si="15"/>
        <v>1.25844</v>
      </c>
      <c r="T89">
        <f t="shared" si="16"/>
        <v>1.19184</v>
      </c>
    </row>
    <row r="90" spans="2:20" x14ac:dyDescent="0.35">
      <c r="B90" s="42">
        <v>488</v>
      </c>
      <c r="C90" s="42">
        <v>0.29480000000000001</v>
      </c>
      <c r="D90" s="42">
        <v>0.26311000000000001</v>
      </c>
      <c r="E90" s="42">
        <v>0.31230000000000002</v>
      </c>
      <c r="F90" s="42">
        <v>0.3004</v>
      </c>
      <c r="G90" s="42">
        <v>0.30467</v>
      </c>
      <c r="H90" s="42">
        <v>0.31091000000000002</v>
      </c>
      <c r="I90" s="42">
        <v>0.31441999999999998</v>
      </c>
      <c r="J90" s="42">
        <v>0.29777999999999999</v>
      </c>
      <c r="L90" s="20">
        <v>488</v>
      </c>
      <c r="M90">
        <f t="shared" si="9"/>
        <v>1.1792</v>
      </c>
      <c r="N90">
        <f t="shared" si="10"/>
        <v>1.05244</v>
      </c>
      <c r="O90">
        <f t="shared" si="11"/>
        <v>1.2492000000000001</v>
      </c>
      <c r="P90">
        <f t="shared" si="12"/>
        <v>1.2016</v>
      </c>
      <c r="Q90">
        <f t="shared" si="13"/>
        <v>1.21868</v>
      </c>
      <c r="R90">
        <f t="shared" si="14"/>
        <v>1.2436400000000001</v>
      </c>
      <c r="S90">
        <f t="shared" si="15"/>
        <v>1.2576799999999999</v>
      </c>
      <c r="T90">
        <f t="shared" si="16"/>
        <v>1.19112</v>
      </c>
    </row>
    <row r="91" spans="2:20" x14ac:dyDescent="0.35">
      <c r="B91" s="42">
        <v>489</v>
      </c>
      <c r="C91" s="42">
        <v>0.29468</v>
      </c>
      <c r="D91" s="42">
        <v>0.26313999999999999</v>
      </c>
      <c r="E91" s="42">
        <v>0.31224000000000002</v>
      </c>
      <c r="F91" s="42">
        <v>0.30035000000000001</v>
      </c>
      <c r="G91" s="42">
        <v>0.30448999999999998</v>
      </c>
      <c r="H91" s="42">
        <v>0.31079000000000001</v>
      </c>
      <c r="I91" s="42">
        <v>0.31435000000000002</v>
      </c>
      <c r="J91" s="42">
        <v>0.29776000000000002</v>
      </c>
      <c r="L91" s="20">
        <v>489</v>
      </c>
      <c r="M91">
        <f t="shared" si="9"/>
        <v>1.17872</v>
      </c>
      <c r="N91">
        <f t="shared" si="10"/>
        <v>1.0525599999999999</v>
      </c>
      <c r="O91">
        <f t="shared" si="11"/>
        <v>1.2489600000000001</v>
      </c>
      <c r="P91">
        <f t="shared" si="12"/>
        <v>1.2014</v>
      </c>
      <c r="Q91">
        <f t="shared" si="13"/>
        <v>1.2179599999999999</v>
      </c>
      <c r="R91">
        <f t="shared" si="14"/>
        <v>1.24316</v>
      </c>
      <c r="S91">
        <f t="shared" si="15"/>
        <v>1.2574000000000001</v>
      </c>
      <c r="T91">
        <f t="shared" si="16"/>
        <v>1.1910400000000001</v>
      </c>
    </row>
    <row r="92" spans="2:20" x14ac:dyDescent="0.35">
      <c r="B92" s="42">
        <v>490</v>
      </c>
      <c r="C92" s="42">
        <v>0.29471000000000003</v>
      </c>
      <c r="D92" s="42">
        <v>0.26312000000000002</v>
      </c>
      <c r="E92" s="42">
        <v>0.31230000000000002</v>
      </c>
      <c r="F92" s="42">
        <v>0.30037999999999998</v>
      </c>
      <c r="G92" s="42">
        <v>0.30446000000000001</v>
      </c>
      <c r="H92" s="42">
        <v>0.31068000000000001</v>
      </c>
      <c r="I92" s="42">
        <v>0.31424999999999997</v>
      </c>
      <c r="J92" s="42">
        <v>0.29770000000000002</v>
      </c>
      <c r="L92" s="20">
        <v>490</v>
      </c>
      <c r="M92">
        <f t="shared" si="9"/>
        <v>1.1788400000000001</v>
      </c>
      <c r="N92">
        <f t="shared" si="10"/>
        <v>1.0524800000000001</v>
      </c>
      <c r="O92">
        <f t="shared" si="11"/>
        <v>1.2492000000000001</v>
      </c>
      <c r="P92">
        <f t="shared" si="12"/>
        <v>1.2015199999999999</v>
      </c>
      <c r="Q92">
        <f t="shared" si="13"/>
        <v>1.21784</v>
      </c>
      <c r="R92">
        <f t="shared" si="14"/>
        <v>1.24272</v>
      </c>
      <c r="S92">
        <f t="shared" si="15"/>
        <v>1.2569999999999999</v>
      </c>
      <c r="T92">
        <f t="shared" si="16"/>
        <v>1.1908000000000001</v>
      </c>
    </row>
    <row r="93" spans="2:20" x14ac:dyDescent="0.35">
      <c r="B93" s="42">
        <v>491</v>
      </c>
      <c r="C93" s="42">
        <v>0.29465999999999998</v>
      </c>
      <c r="D93" s="42">
        <v>0.26306000000000002</v>
      </c>
      <c r="E93" s="42">
        <v>0.31219000000000002</v>
      </c>
      <c r="F93" s="42">
        <v>0.30019000000000001</v>
      </c>
      <c r="G93" s="42">
        <v>0.30443999999999999</v>
      </c>
      <c r="H93" s="42">
        <v>0.31064000000000003</v>
      </c>
      <c r="I93" s="42">
        <v>0.31412000000000001</v>
      </c>
      <c r="J93" s="42">
        <v>0.29764000000000002</v>
      </c>
      <c r="L93" s="20">
        <v>491</v>
      </c>
      <c r="M93">
        <f t="shared" si="9"/>
        <v>1.1786399999999999</v>
      </c>
      <c r="N93">
        <f t="shared" si="10"/>
        <v>1.0522400000000001</v>
      </c>
      <c r="O93">
        <f t="shared" si="11"/>
        <v>1.2487600000000001</v>
      </c>
      <c r="P93">
        <f t="shared" si="12"/>
        <v>1.20076</v>
      </c>
      <c r="Q93">
        <f t="shared" si="13"/>
        <v>1.21776</v>
      </c>
      <c r="R93">
        <f t="shared" si="14"/>
        <v>1.2425600000000001</v>
      </c>
      <c r="S93">
        <f t="shared" si="15"/>
        <v>1.25648</v>
      </c>
      <c r="T93">
        <f t="shared" si="16"/>
        <v>1.1905600000000001</v>
      </c>
    </row>
    <row r="94" spans="2:20" x14ac:dyDescent="0.35">
      <c r="B94" s="42">
        <v>492</v>
      </c>
      <c r="C94" s="42">
        <v>0.29457</v>
      </c>
      <c r="D94" s="42">
        <v>0.26300000000000001</v>
      </c>
      <c r="E94" s="42">
        <v>0.31203999999999998</v>
      </c>
      <c r="F94" s="42">
        <v>0.30010999999999999</v>
      </c>
      <c r="G94" s="42">
        <v>0.30431999999999998</v>
      </c>
      <c r="H94" s="42">
        <v>0.31052000000000002</v>
      </c>
      <c r="I94" s="42">
        <v>0.31401000000000001</v>
      </c>
      <c r="J94" s="42">
        <v>0.29752000000000001</v>
      </c>
      <c r="L94" s="20">
        <v>492</v>
      </c>
      <c r="M94">
        <f t="shared" si="9"/>
        <v>1.17828</v>
      </c>
      <c r="N94">
        <f t="shared" si="10"/>
        <v>1.052</v>
      </c>
      <c r="O94">
        <f t="shared" si="11"/>
        <v>1.2481599999999999</v>
      </c>
      <c r="P94">
        <f t="shared" si="12"/>
        <v>1.20044</v>
      </c>
      <c r="Q94">
        <f t="shared" si="13"/>
        <v>1.2172799999999999</v>
      </c>
      <c r="R94">
        <f t="shared" si="14"/>
        <v>1.2420800000000001</v>
      </c>
      <c r="S94">
        <f t="shared" si="15"/>
        <v>1.25604</v>
      </c>
      <c r="T94">
        <f t="shared" si="16"/>
        <v>1.19008</v>
      </c>
    </row>
    <row r="95" spans="2:20" x14ac:dyDescent="0.35">
      <c r="B95" s="42">
        <v>493</v>
      </c>
      <c r="C95" s="42">
        <v>0.29446</v>
      </c>
      <c r="D95" s="42">
        <v>0.26291999999999999</v>
      </c>
      <c r="E95" s="42">
        <v>0.31203999999999998</v>
      </c>
      <c r="F95" s="42">
        <v>0.30014000000000002</v>
      </c>
      <c r="G95" s="42">
        <v>0.30429</v>
      </c>
      <c r="H95" s="42">
        <v>0.3105</v>
      </c>
      <c r="I95" s="42">
        <v>0.31397999999999998</v>
      </c>
      <c r="J95" s="42">
        <v>0.29753000000000002</v>
      </c>
      <c r="L95" s="20">
        <v>493</v>
      </c>
      <c r="M95">
        <f t="shared" si="9"/>
        <v>1.17784</v>
      </c>
      <c r="N95">
        <f t="shared" si="10"/>
        <v>1.0516799999999999</v>
      </c>
      <c r="O95">
        <f t="shared" si="11"/>
        <v>1.2481599999999999</v>
      </c>
      <c r="P95">
        <f t="shared" si="12"/>
        <v>1.2005600000000001</v>
      </c>
      <c r="Q95">
        <f t="shared" si="13"/>
        <v>1.21716</v>
      </c>
      <c r="R95">
        <f t="shared" si="14"/>
        <v>1.242</v>
      </c>
      <c r="S95">
        <f t="shared" si="15"/>
        <v>1.2559199999999999</v>
      </c>
      <c r="T95">
        <f t="shared" si="16"/>
        <v>1.1901200000000001</v>
      </c>
    </row>
    <row r="96" spans="2:20" x14ac:dyDescent="0.35">
      <c r="B96" s="42">
        <v>494</v>
      </c>
      <c r="C96" s="42">
        <v>0.29437000000000002</v>
      </c>
      <c r="D96" s="42">
        <v>0.26282</v>
      </c>
      <c r="E96" s="42">
        <v>0.31195000000000001</v>
      </c>
      <c r="F96" s="42">
        <v>0.30003000000000002</v>
      </c>
      <c r="G96" s="42">
        <v>0.30414999999999998</v>
      </c>
      <c r="H96" s="42">
        <v>0.31041000000000002</v>
      </c>
      <c r="I96" s="42">
        <v>0.31389</v>
      </c>
      <c r="J96" s="42">
        <v>0.29744999999999999</v>
      </c>
      <c r="L96" s="20">
        <v>494</v>
      </c>
      <c r="M96">
        <f t="shared" si="9"/>
        <v>1.1774800000000001</v>
      </c>
      <c r="N96">
        <f t="shared" si="10"/>
        <v>1.05128</v>
      </c>
      <c r="O96">
        <f t="shared" si="11"/>
        <v>1.2478</v>
      </c>
      <c r="P96">
        <f t="shared" si="12"/>
        <v>1.2001200000000001</v>
      </c>
      <c r="Q96">
        <f t="shared" si="13"/>
        <v>1.2165999999999999</v>
      </c>
      <c r="R96">
        <f t="shared" si="14"/>
        <v>1.2416400000000001</v>
      </c>
      <c r="S96">
        <f t="shared" si="15"/>
        <v>1.25556</v>
      </c>
      <c r="T96">
        <f t="shared" si="16"/>
        <v>1.1898</v>
      </c>
    </row>
    <row r="97" spans="2:20" x14ac:dyDescent="0.35">
      <c r="B97" s="42">
        <v>495</v>
      </c>
      <c r="C97" s="42">
        <v>0.29415999999999998</v>
      </c>
      <c r="D97" s="42">
        <v>0.26273000000000002</v>
      </c>
      <c r="E97" s="42">
        <v>0.31189</v>
      </c>
      <c r="F97" s="42">
        <v>0.29987000000000003</v>
      </c>
      <c r="G97" s="42">
        <v>0.30412</v>
      </c>
      <c r="H97" s="42">
        <v>0.31018000000000001</v>
      </c>
      <c r="I97" s="42">
        <v>0.31370999999999999</v>
      </c>
      <c r="J97" s="42">
        <v>0.29726999999999998</v>
      </c>
      <c r="L97" s="20">
        <v>495</v>
      </c>
      <c r="M97">
        <f t="shared" si="9"/>
        <v>1.1766399999999999</v>
      </c>
      <c r="N97">
        <f t="shared" si="10"/>
        <v>1.0509200000000001</v>
      </c>
      <c r="O97">
        <f t="shared" si="11"/>
        <v>1.24756</v>
      </c>
      <c r="P97">
        <f t="shared" si="12"/>
        <v>1.1994800000000001</v>
      </c>
      <c r="Q97">
        <f t="shared" si="13"/>
        <v>1.21648</v>
      </c>
      <c r="R97">
        <f t="shared" si="14"/>
        <v>1.24072</v>
      </c>
      <c r="S97">
        <f t="shared" si="15"/>
        <v>1.25484</v>
      </c>
      <c r="T97">
        <f t="shared" si="16"/>
        <v>1.1890799999999999</v>
      </c>
    </row>
    <row r="98" spans="2:20" x14ac:dyDescent="0.35">
      <c r="B98" s="42">
        <v>496</v>
      </c>
      <c r="C98" s="42">
        <v>0.29398000000000002</v>
      </c>
      <c r="D98" s="42">
        <v>0.26256000000000002</v>
      </c>
      <c r="E98" s="42">
        <v>0.31184000000000001</v>
      </c>
      <c r="F98" s="42">
        <v>0.29979</v>
      </c>
      <c r="G98" s="42">
        <v>0.30382999999999999</v>
      </c>
      <c r="H98" s="42">
        <v>0.31</v>
      </c>
      <c r="I98" s="42">
        <v>0.31353999999999999</v>
      </c>
      <c r="J98" s="42">
        <v>0.29709999999999998</v>
      </c>
      <c r="L98" s="20">
        <v>496</v>
      </c>
      <c r="M98">
        <f t="shared" si="9"/>
        <v>1.1759200000000001</v>
      </c>
      <c r="N98">
        <f t="shared" si="10"/>
        <v>1.0502400000000001</v>
      </c>
      <c r="O98">
        <f t="shared" si="11"/>
        <v>1.24736</v>
      </c>
      <c r="P98">
        <f t="shared" si="12"/>
        <v>1.19916</v>
      </c>
      <c r="Q98">
        <f t="shared" si="13"/>
        <v>1.21532</v>
      </c>
      <c r="R98">
        <f t="shared" si="14"/>
        <v>1.24</v>
      </c>
      <c r="S98">
        <f t="shared" si="15"/>
        <v>1.2541599999999999</v>
      </c>
      <c r="T98">
        <f t="shared" si="16"/>
        <v>1.1883999999999999</v>
      </c>
    </row>
    <row r="99" spans="2:20" x14ac:dyDescent="0.35">
      <c r="B99" s="42">
        <v>497</v>
      </c>
      <c r="C99" s="42">
        <v>0.29381000000000002</v>
      </c>
      <c r="D99" s="42">
        <v>0.26241999999999999</v>
      </c>
      <c r="E99" s="42">
        <v>0.31161</v>
      </c>
      <c r="F99" s="42">
        <v>0.29954999999999998</v>
      </c>
      <c r="G99" s="42">
        <v>0.30353999999999998</v>
      </c>
      <c r="H99" s="42">
        <v>0.30975000000000003</v>
      </c>
      <c r="I99" s="42">
        <v>0.31313000000000002</v>
      </c>
      <c r="J99" s="42">
        <v>0.29680000000000001</v>
      </c>
      <c r="L99" s="20">
        <v>497</v>
      </c>
      <c r="M99">
        <f t="shared" si="9"/>
        <v>1.1752400000000001</v>
      </c>
      <c r="N99">
        <f t="shared" si="10"/>
        <v>1.0496799999999999</v>
      </c>
      <c r="O99">
        <f t="shared" si="11"/>
        <v>1.24644</v>
      </c>
      <c r="P99">
        <f t="shared" si="12"/>
        <v>1.1981999999999999</v>
      </c>
      <c r="Q99">
        <f t="shared" si="13"/>
        <v>1.2141599999999999</v>
      </c>
      <c r="R99">
        <f t="shared" si="14"/>
        <v>1.2390000000000001</v>
      </c>
      <c r="S99">
        <f t="shared" si="15"/>
        <v>1.2525200000000001</v>
      </c>
      <c r="T99">
        <f t="shared" si="16"/>
        <v>1.1872</v>
      </c>
    </row>
    <row r="100" spans="2:20" x14ac:dyDescent="0.35">
      <c r="B100" s="42">
        <v>498</v>
      </c>
      <c r="C100" s="42">
        <v>0.29343000000000002</v>
      </c>
      <c r="D100" s="42">
        <v>0.26207999999999998</v>
      </c>
      <c r="E100" s="42">
        <v>0.31111</v>
      </c>
      <c r="F100" s="42">
        <v>0.29913000000000001</v>
      </c>
      <c r="G100" s="42">
        <v>0.30314999999999998</v>
      </c>
      <c r="H100" s="42">
        <v>0.30930999999999997</v>
      </c>
      <c r="I100" s="42">
        <v>0.31292999999999999</v>
      </c>
      <c r="J100" s="42">
        <v>0.29652000000000001</v>
      </c>
      <c r="L100" s="20">
        <v>498</v>
      </c>
      <c r="M100">
        <f t="shared" si="9"/>
        <v>1.1737200000000001</v>
      </c>
      <c r="N100">
        <f t="shared" si="10"/>
        <v>1.0483199999999999</v>
      </c>
      <c r="O100">
        <f t="shared" si="11"/>
        <v>1.24444</v>
      </c>
      <c r="P100">
        <f t="shared" si="12"/>
        <v>1.19652</v>
      </c>
      <c r="Q100">
        <f t="shared" si="13"/>
        <v>1.2125999999999999</v>
      </c>
      <c r="R100">
        <f t="shared" si="14"/>
        <v>1.2372399999999999</v>
      </c>
      <c r="S100">
        <f t="shared" si="15"/>
        <v>1.2517199999999999</v>
      </c>
      <c r="T100">
        <f t="shared" si="16"/>
        <v>1.18608</v>
      </c>
    </row>
    <row r="101" spans="2:20" x14ac:dyDescent="0.35">
      <c r="B101" s="42">
        <v>499</v>
      </c>
      <c r="C101" s="42">
        <v>0.29314000000000001</v>
      </c>
      <c r="D101" s="42">
        <v>0.26166</v>
      </c>
      <c r="E101" s="42">
        <v>0.31079000000000001</v>
      </c>
      <c r="F101" s="42">
        <v>0.29881000000000002</v>
      </c>
      <c r="G101" s="42">
        <v>0.30284</v>
      </c>
      <c r="H101" s="42">
        <v>0.30898999999999999</v>
      </c>
      <c r="I101" s="42">
        <v>0.31247000000000003</v>
      </c>
      <c r="J101" s="42">
        <v>0.29616999999999999</v>
      </c>
      <c r="L101" s="20">
        <v>499</v>
      </c>
      <c r="M101">
        <f t="shared" si="9"/>
        <v>1.17256</v>
      </c>
      <c r="N101">
        <f t="shared" si="10"/>
        <v>1.04664</v>
      </c>
      <c r="O101">
        <f t="shared" si="11"/>
        <v>1.24316</v>
      </c>
      <c r="P101">
        <f t="shared" si="12"/>
        <v>1.1952400000000001</v>
      </c>
      <c r="Q101">
        <f t="shared" si="13"/>
        <v>1.21136</v>
      </c>
      <c r="R101">
        <f t="shared" si="14"/>
        <v>1.2359599999999999</v>
      </c>
      <c r="S101">
        <f t="shared" si="15"/>
        <v>1.2498800000000001</v>
      </c>
      <c r="T101">
        <f t="shared" si="16"/>
        <v>1.18468</v>
      </c>
    </row>
    <row r="102" spans="2:20" x14ac:dyDescent="0.35">
      <c r="B102" s="42">
        <v>500</v>
      </c>
      <c r="C102" s="42">
        <v>0.29268</v>
      </c>
      <c r="D102" s="42">
        <v>0.26149</v>
      </c>
      <c r="E102" s="42">
        <v>0.31062000000000001</v>
      </c>
      <c r="F102" s="42">
        <v>0.29848999999999998</v>
      </c>
      <c r="G102" s="42">
        <v>0.30248999999999998</v>
      </c>
      <c r="H102" s="42">
        <v>0.30858999999999998</v>
      </c>
      <c r="I102" s="42">
        <v>0.31212000000000001</v>
      </c>
      <c r="J102" s="42">
        <v>0.29583999999999999</v>
      </c>
      <c r="L102" s="20">
        <v>500</v>
      </c>
      <c r="M102">
        <f t="shared" si="9"/>
        <v>1.17072</v>
      </c>
      <c r="N102">
        <f t="shared" si="10"/>
        <v>1.04596</v>
      </c>
      <c r="O102">
        <f t="shared" si="11"/>
        <v>1.24248</v>
      </c>
      <c r="P102">
        <f t="shared" si="12"/>
        <v>1.1939599999999999</v>
      </c>
      <c r="Q102">
        <f t="shared" si="13"/>
        <v>1.2099599999999999</v>
      </c>
      <c r="R102">
        <f t="shared" si="14"/>
        <v>1.2343599999999999</v>
      </c>
      <c r="S102">
        <f t="shared" si="15"/>
        <v>1.24848</v>
      </c>
      <c r="T102">
        <f t="shared" si="16"/>
        <v>1.18336</v>
      </c>
    </row>
    <row r="103" spans="2:20" x14ac:dyDescent="0.35">
      <c r="B103" s="42">
        <v>501</v>
      </c>
      <c r="C103" s="42">
        <v>0.29236000000000001</v>
      </c>
      <c r="D103" s="42">
        <v>0.26118000000000002</v>
      </c>
      <c r="E103" s="42">
        <v>0.31024000000000002</v>
      </c>
      <c r="F103" s="42">
        <v>0.29814000000000002</v>
      </c>
      <c r="G103" s="42">
        <v>0.30212</v>
      </c>
      <c r="H103" s="42">
        <v>0.30818000000000001</v>
      </c>
      <c r="I103" s="42">
        <v>0.31172</v>
      </c>
      <c r="J103" s="42">
        <v>0.29543000000000003</v>
      </c>
      <c r="L103" s="20">
        <v>501</v>
      </c>
      <c r="M103">
        <f t="shared" si="9"/>
        <v>1.16944</v>
      </c>
      <c r="N103">
        <f t="shared" si="10"/>
        <v>1.0447200000000001</v>
      </c>
      <c r="O103">
        <f t="shared" si="11"/>
        <v>1.2409600000000001</v>
      </c>
      <c r="P103">
        <f t="shared" si="12"/>
        <v>1.1925600000000001</v>
      </c>
      <c r="Q103">
        <f t="shared" si="13"/>
        <v>1.20848</v>
      </c>
      <c r="R103">
        <f t="shared" si="14"/>
        <v>1.23272</v>
      </c>
      <c r="S103">
        <f t="shared" si="15"/>
        <v>1.24688</v>
      </c>
      <c r="T103">
        <f t="shared" si="16"/>
        <v>1.1817200000000001</v>
      </c>
    </row>
    <row r="104" spans="2:20" x14ac:dyDescent="0.35">
      <c r="B104" s="42">
        <v>502</v>
      </c>
      <c r="C104" s="42">
        <v>0.29188999999999998</v>
      </c>
      <c r="D104" s="42">
        <v>0.26082</v>
      </c>
      <c r="E104" s="42">
        <v>0.30986000000000002</v>
      </c>
      <c r="F104" s="42">
        <v>0.29772999999999999</v>
      </c>
      <c r="G104" s="42">
        <v>0.30170000000000002</v>
      </c>
      <c r="H104" s="42">
        <v>0.30770999999999998</v>
      </c>
      <c r="I104" s="42">
        <v>0.31130999999999998</v>
      </c>
      <c r="J104" s="42">
        <v>0.29503000000000001</v>
      </c>
      <c r="L104" s="20">
        <v>502</v>
      </c>
      <c r="M104">
        <f t="shared" si="9"/>
        <v>1.1675599999999999</v>
      </c>
      <c r="N104">
        <f t="shared" si="10"/>
        <v>1.04328</v>
      </c>
      <c r="O104">
        <f t="shared" si="11"/>
        <v>1.2394400000000001</v>
      </c>
      <c r="P104">
        <f t="shared" si="12"/>
        <v>1.19092</v>
      </c>
      <c r="Q104">
        <f t="shared" si="13"/>
        <v>1.2068000000000001</v>
      </c>
      <c r="R104">
        <f t="shared" si="14"/>
        <v>1.2308399999999999</v>
      </c>
      <c r="S104">
        <f t="shared" si="15"/>
        <v>1.2452399999999999</v>
      </c>
      <c r="T104">
        <f t="shared" si="16"/>
        <v>1.1801200000000001</v>
      </c>
    </row>
    <row r="105" spans="2:20" x14ac:dyDescent="0.35">
      <c r="B105" s="42">
        <v>503</v>
      </c>
      <c r="C105" s="42">
        <v>0.29133999999999999</v>
      </c>
      <c r="D105" s="42">
        <v>0.26039000000000001</v>
      </c>
      <c r="E105" s="42">
        <v>0.30936000000000002</v>
      </c>
      <c r="F105" s="42">
        <v>0.29722999999999999</v>
      </c>
      <c r="G105" s="42">
        <v>0.30121999999999999</v>
      </c>
      <c r="H105" s="42">
        <v>0.30719000000000002</v>
      </c>
      <c r="I105" s="42">
        <v>0.31061</v>
      </c>
      <c r="J105" s="42">
        <v>0.29448999999999997</v>
      </c>
      <c r="L105" s="20">
        <v>503</v>
      </c>
      <c r="M105">
        <f t="shared" si="9"/>
        <v>1.16536</v>
      </c>
      <c r="N105">
        <f t="shared" si="10"/>
        <v>1.04156</v>
      </c>
      <c r="O105">
        <f t="shared" si="11"/>
        <v>1.2374400000000001</v>
      </c>
      <c r="P105">
        <f t="shared" si="12"/>
        <v>1.18892</v>
      </c>
      <c r="Q105">
        <f t="shared" si="13"/>
        <v>1.20488</v>
      </c>
      <c r="R105">
        <f t="shared" si="14"/>
        <v>1.2287600000000001</v>
      </c>
      <c r="S105">
        <f t="shared" si="15"/>
        <v>1.24244</v>
      </c>
      <c r="T105">
        <f t="shared" si="16"/>
        <v>1.1779599999999999</v>
      </c>
    </row>
    <row r="106" spans="2:20" x14ac:dyDescent="0.35">
      <c r="B106" s="42">
        <v>504</v>
      </c>
      <c r="C106" s="42">
        <v>0.2908</v>
      </c>
      <c r="D106" s="42">
        <v>0.25996000000000002</v>
      </c>
      <c r="E106" s="42">
        <v>0.30891000000000002</v>
      </c>
      <c r="F106" s="42">
        <v>0.29668</v>
      </c>
      <c r="G106" s="42">
        <v>0.30070000000000002</v>
      </c>
      <c r="H106" s="42">
        <v>0.30667</v>
      </c>
      <c r="I106" s="42">
        <v>0.31009999999999999</v>
      </c>
      <c r="J106" s="42">
        <v>0.29404999999999998</v>
      </c>
      <c r="L106" s="20">
        <v>504</v>
      </c>
      <c r="M106">
        <f t="shared" si="9"/>
        <v>1.1632</v>
      </c>
      <c r="N106">
        <f t="shared" si="10"/>
        <v>1.0398400000000001</v>
      </c>
      <c r="O106">
        <f t="shared" si="11"/>
        <v>1.2356400000000001</v>
      </c>
      <c r="P106">
        <f t="shared" si="12"/>
        <v>1.18672</v>
      </c>
      <c r="Q106">
        <f t="shared" si="13"/>
        <v>1.2028000000000001</v>
      </c>
      <c r="R106">
        <f t="shared" si="14"/>
        <v>1.22668</v>
      </c>
      <c r="S106">
        <f t="shared" si="15"/>
        <v>1.2403999999999999</v>
      </c>
      <c r="T106">
        <f t="shared" si="16"/>
        <v>1.1761999999999999</v>
      </c>
    </row>
    <row r="107" spans="2:20" x14ac:dyDescent="0.35">
      <c r="B107" s="42">
        <v>505</v>
      </c>
      <c r="C107" s="42">
        <v>0.29013</v>
      </c>
      <c r="D107" s="42">
        <v>0.25935000000000002</v>
      </c>
      <c r="E107" s="42">
        <v>0.30819999999999997</v>
      </c>
      <c r="F107" s="42">
        <v>0.29602000000000001</v>
      </c>
      <c r="G107" s="42">
        <v>0.30005999999999999</v>
      </c>
      <c r="H107" s="42">
        <v>0.30599999999999999</v>
      </c>
      <c r="I107" s="42">
        <v>0.30946000000000001</v>
      </c>
      <c r="J107" s="42">
        <v>0.29335</v>
      </c>
      <c r="L107" s="20">
        <v>505</v>
      </c>
      <c r="M107">
        <f t="shared" si="9"/>
        <v>1.16052</v>
      </c>
      <c r="N107">
        <f t="shared" si="10"/>
        <v>1.0374000000000001</v>
      </c>
      <c r="O107">
        <f t="shared" si="11"/>
        <v>1.2327999999999999</v>
      </c>
      <c r="P107">
        <f t="shared" si="12"/>
        <v>1.18408</v>
      </c>
      <c r="Q107">
        <f t="shared" si="13"/>
        <v>1.20024</v>
      </c>
      <c r="R107">
        <f t="shared" si="14"/>
        <v>1.224</v>
      </c>
      <c r="S107">
        <f t="shared" si="15"/>
        <v>1.2378400000000001</v>
      </c>
      <c r="T107">
        <f t="shared" si="16"/>
        <v>1.1734</v>
      </c>
    </row>
    <row r="108" spans="2:20" x14ac:dyDescent="0.35">
      <c r="B108" s="42">
        <v>506</v>
      </c>
      <c r="C108" s="42">
        <v>0.28949000000000003</v>
      </c>
      <c r="D108" s="42">
        <v>0.25877</v>
      </c>
      <c r="E108" s="42">
        <v>0.30758999999999997</v>
      </c>
      <c r="F108" s="42">
        <v>0.29546</v>
      </c>
      <c r="G108" s="42">
        <v>0.29941000000000001</v>
      </c>
      <c r="H108" s="42">
        <v>0.30531000000000003</v>
      </c>
      <c r="I108" s="42">
        <v>0.30890000000000001</v>
      </c>
      <c r="J108" s="42">
        <v>0.29274</v>
      </c>
      <c r="L108" s="20">
        <v>506</v>
      </c>
      <c r="M108">
        <f t="shared" si="9"/>
        <v>1.1579600000000001</v>
      </c>
      <c r="N108">
        <f t="shared" si="10"/>
        <v>1.03508</v>
      </c>
      <c r="O108">
        <f t="shared" si="11"/>
        <v>1.2303599999999999</v>
      </c>
      <c r="P108">
        <f t="shared" si="12"/>
        <v>1.18184</v>
      </c>
      <c r="Q108">
        <f t="shared" si="13"/>
        <v>1.19764</v>
      </c>
      <c r="R108">
        <f t="shared" si="14"/>
        <v>1.2212400000000001</v>
      </c>
      <c r="S108">
        <f t="shared" si="15"/>
        <v>1.2356</v>
      </c>
      <c r="T108">
        <f t="shared" si="16"/>
        <v>1.17096</v>
      </c>
    </row>
    <row r="109" spans="2:20" x14ac:dyDescent="0.35">
      <c r="B109" s="42">
        <v>507</v>
      </c>
      <c r="C109" s="42">
        <v>0.28888000000000003</v>
      </c>
      <c r="D109" s="42">
        <v>0.25821</v>
      </c>
      <c r="E109" s="42">
        <v>0.30687999999999999</v>
      </c>
      <c r="F109" s="42">
        <v>0.29471999999999998</v>
      </c>
      <c r="G109" s="42">
        <v>0.29874000000000001</v>
      </c>
      <c r="H109" s="42">
        <v>0.30471999999999999</v>
      </c>
      <c r="I109" s="42">
        <v>0.30814000000000002</v>
      </c>
      <c r="J109" s="42">
        <v>0.29210999999999998</v>
      </c>
      <c r="L109" s="20">
        <v>507</v>
      </c>
      <c r="M109">
        <f t="shared" si="9"/>
        <v>1.1555200000000001</v>
      </c>
      <c r="N109">
        <f t="shared" si="10"/>
        <v>1.03284</v>
      </c>
      <c r="O109">
        <f t="shared" si="11"/>
        <v>1.2275199999999999</v>
      </c>
      <c r="P109">
        <f t="shared" si="12"/>
        <v>1.1788799999999999</v>
      </c>
      <c r="Q109">
        <f t="shared" si="13"/>
        <v>1.19496</v>
      </c>
      <c r="R109">
        <f t="shared" si="14"/>
        <v>1.21888</v>
      </c>
      <c r="S109">
        <f t="shared" si="15"/>
        <v>1.2325600000000001</v>
      </c>
      <c r="T109">
        <f t="shared" si="16"/>
        <v>1.1684399999999999</v>
      </c>
    </row>
    <row r="110" spans="2:20" x14ac:dyDescent="0.35">
      <c r="B110" s="42">
        <v>508</v>
      </c>
      <c r="C110" s="42">
        <v>0.28813</v>
      </c>
      <c r="D110" s="42">
        <v>0.25768000000000002</v>
      </c>
      <c r="E110" s="42">
        <v>0.30630000000000002</v>
      </c>
      <c r="F110" s="42">
        <v>0.29415999999999998</v>
      </c>
      <c r="G110" s="42">
        <v>0.29819000000000001</v>
      </c>
      <c r="H110" s="42">
        <v>0.30393999999999999</v>
      </c>
      <c r="I110" s="42">
        <v>0.30753000000000003</v>
      </c>
      <c r="J110" s="42">
        <v>0.29153000000000001</v>
      </c>
      <c r="L110" s="20">
        <v>508</v>
      </c>
      <c r="M110">
        <f t="shared" si="9"/>
        <v>1.15252</v>
      </c>
      <c r="N110">
        <f t="shared" si="10"/>
        <v>1.0307200000000001</v>
      </c>
      <c r="O110">
        <f t="shared" si="11"/>
        <v>1.2252000000000001</v>
      </c>
      <c r="P110">
        <f t="shared" si="12"/>
        <v>1.1766399999999999</v>
      </c>
      <c r="Q110">
        <f t="shared" si="13"/>
        <v>1.19276</v>
      </c>
      <c r="R110">
        <f t="shared" si="14"/>
        <v>1.21576</v>
      </c>
      <c r="S110">
        <f t="shared" si="15"/>
        <v>1.2301200000000001</v>
      </c>
      <c r="T110">
        <f t="shared" si="16"/>
        <v>1.16612</v>
      </c>
    </row>
    <row r="111" spans="2:20" x14ac:dyDescent="0.35">
      <c r="B111" s="42">
        <v>509</v>
      </c>
      <c r="C111" s="42">
        <v>0.28750999999999999</v>
      </c>
      <c r="D111" s="42">
        <v>0.25696999999999998</v>
      </c>
      <c r="E111" s="42">
        <v>0.30562</v>
      </c>
      <c r="F111" s="42">
        <v>0.29341</v>
      </c>
      <c r="G111" s="42">
        <v>0.29747000000000001</v>
      </c>
      <c r="H111" s="42">
        <v>0.30331000000000002</v>
      </c>
      <c r="I111" s="42">
        <v>0.30686999999999998</v>
      </c>
      <c r="J111" s="42">
        <v>0.29082999999999998</v>
      </c>
      <c r="L111" s="20">
        <v>509</v>
      </c>
      <c r="M111">
        <f t="shared" si="9"/>
        <v>1.15004</v>
      </c>
      <c r="N111">
        <f t="shared" si="10"/>
        <v>1.0278799999999999</v>
      </c>
      <c r="O111">
        <f t="shared" si="11"/>
        <v>1.22248</v>
      </c>
      <c r="P111">
        <f t="shared" si="12"/>
        <v>1.17364</v>
      </c>
      <c r="Q111">
        <f t="shared" si="13"/>
        <v>1.18988</v>
      </c>
      <c r="R111">
        <f t="shared" si="14"/>
        <v>1.2132400000000001</v>
      </c>
      <c r="S111">
        <f t="shared" si="15"/>
        <v>1.2274799999999999</v>
      </c>
      <c r="T111">
        <f t="shared" si="16"/>
        <v>1.1633199999999999</v>
      </c>
    </row>
    <row r="112" spans="2:20" x14ac:dyDescent="0.35">
      <c r="B112" s="42">
        <v>510</v>
      </c>
      <c r="C112" s="42">
        <v>0.28666999999999998</v>
      </c>
      <c r="D112" s="42">
        <v>0.25627</v>
      </c>
      <c r="E112" s="42">
        <v>0.30481000000000003</v>
      </c>
      <c r="F112" s="42">
        <v>0.29268</v>
      </c>
      <c r="G112" s="42">
        <v>0.29680000000000001</v>
      </c>
      <c r="H112" s="42">
        <v>0.30253999999999998</v>
      </c>
      <c r="I112" s="42">
        <v>0.30612</v>
      </c>
      <c r="J112" s="42">
        <v>0.29017999999999999</v>
      </c>
      <c r="L112" s="20">
        <v>510</v>
      </c>
      <c r="M112">
        <f t="shared" si="9"/>
        <v>1.1466799999999999</v>
      </c>
      <c r="N112">
        <f t="shared" si="10"/>
        <v>1.02508</v>
      </c>
      <c r="O112">
        <f t="shared" si="11"/>
        <v>1.2192400000000001</v>
      </c>
      <c r="P112">
        <f t="shared" si="12"/>
        <v>1.17072</v>
      </c>
      <c r="Q112">
        <f t="shared" si="13"/>
        <v>1.1872</v>
      </c>
      <c r="R112">
        <f t="shared" si="14"/>
        <v>1.2101599999999999</v>
      </c>
      <c r="S112">
        <f t="shared" si="15"/>
        <v>1.22448</v>
      </c>
      <c r="T112">
        <f t="shared" si="16"/>
        <v>1.16072</v>
      </c>
    </row>
    <row r="113" spans="2:20" x14ac:dyDescent="0.35">
      <c r="B113" s="42">
        <v>511</v>
      </c>
      <c r="C113" s="42">
        <v>0.28581000000000001</v>
      </c>
      <c r="D113" s="42">
        <v>0.25552000000000002</v>
      </c>
      <c r="E113" s="42">
        <v>0.30409000000000003</v>
      </c>
      <c r="F113" s="42">
        <v>0.29185</v>
      </c>
      <c r="G113" s="42">
        <v>0.29598999999999998</v>
      </c>
      <c r="H113" s="42">
        <v>0.30166999999999999</v>
      </c>
      <c r="I113" s="42">
        <v>0.30532999999999999</v>
      </c>
      <c r="J113" s="42">
        <v>0.28943000000000002</v>
      </c>
      <c r="L113" s="20">
        <v>511</v>
      </c>
      <c r="M113">
        <f t="shared" si="9"/>
        <v>1.14324</v>
      </c>
      <c r="N113">
        <f t="shared" si="10"/>
        <v>1.0220800000000001</v>
      </c>
      <c r="O113">
        <f t="shared" si="11"/>
        <v>1.2163600000000001</v>
      </c>
      <c r="P113">
        <f t="shared" si="12"/>
        <v>1.1674</v>
      </c>
      <c r="Q113">
        <f t="shared" si="13"/>
        <v>1.1839599999999999</v>
      </c>
      <c r="R113">
        <f t="shared" si="14"/>
        <v>1.20668</v>
      </c>
      <c r="S113">
        <f t="shared" si="15"/>
        <v>1.22132</v>
      </c>
      <c r="T113">
        <f t="shared" si="16"/>
        <v>1.1577200000000001</v>
      </c>
    </row>
    <row r="114" spans="2:20" x14ac:dyDescent="0.35">
      <c r="B114" s="42">
        <v>512</v>
      </c>
      <c r="C114" s="42">
        <v>0.28499999999999998</v>
      </c>
      <c r="D114" s="42">
        <v>0.25480999999999998</v>
      </c>
      <c r="E114" s="42">
        <v>0.30325000000000002</v>
      </c>
      <c r="F114" s="42">
        <v>0.29104999999999998</v>
      </c>
      <c r="G114" s="42">
        <v>0.29514000000000001</v>
      </c>
      <c r="H114" s="42">
        <v>0.30080000000000001</v>
      </c>
      <c r="I114" s="42">
        <v>0.30446000000000001</v>
      </c>
      <c r="J114" s="42">
        <v>0.28865000000000002</v>
      </c>
      <c r="L114" s="20">
        <v>512</v>
      </c>
      <c r="M114">
        <f t="shared" si="9"/>
        <v>1.1399999999999999</v>
      </c>
      <c r="N114">
        <f t="shared" si="10"/>
        <v>1.0192399999999999</v>
      </c>
      <c r="O114">
        <f t="shared" si="11"/>
        <v>1.2130000000000001</v>
      </c>
      <c r="P114">
        <f t="shared" si="12"/>
        <v>1.1641999999999999</v>
      </c>
      <c r="Q114">
        <f t="shared" si="13"/>
        <v>1.1805600000000001</v>
      </c>
      <c r="R114">
        <f t="shared" si="14"/>
        <v>1.2032</v>
      </c>
      <c r="S114">
        <f t="shared" si="15"/>
        <v>1.21784</v>
      </c>
      <c r="T114">
        <f t="shared" si="16"/>
        <v>1.1546000000000001</v>
      </c>
    </row>
    <row r="115" spans="2:20" x14ac:dyDescent="0.35">
      <c r="B115" s="42">
        <v>513</v>
      </c>
      <c r="C115" s="42">
        <v>0.28423999999999999</v>
      </c>
      <c r="D115" s="42">
        <v>0.25414999999999999</v>
      </c>
      <c r="E115" s="42">
        <v>0.30266999999999999</v>
      </c>
      <c r="F115" s="42">
        <v>0.29031000000000001</v>
      </c>
      <c r="G115" s="42">
        <v>0.29446</v>
      </c>
      <c r="H115" s="42">
        <v>0.30021999999999999</v>
      </c>
      <c r="I115" s="42">
        <v>0.30381999999999998</v>
      </c>
      <c r="J115" s="42">
        <v>0.28800999999999999</v>
      </c>
      <c r="L115" s="20">
        <v>513</v>
      </c>
      <c r="M115">
        <f t="shared" si="9"/>
        <v>1.13696</v>
      </c>
      <c r="N115">
        <f t="shared" si="10"/>
        <v>1.0165999999999999</v>
      </c>
      <c r="O115">
        <f t="shared" si="11"/>
        <v>1.21068</v>
      </c>
      <c r="P115">
        <f t="shared" si="12"/>
        <v>1.16124</v>
      </c>
      <c r="Q115">
        <f t="shared" si="13"/>
        <v>1.17784</v>
      </c>
      <c r="R115">
        <f t="shared" si="14"/>
        <v>1.2008799999999999</v>
      </c>
      <c r="S115">
        <f t="shared" si="15"/>
        <v>1.2152799999999999</v>
      </c>
      <c r="T115">
        <f t="shared" si="16"/>
        <v>1.15204</v>
      </c>
    </row>
    <row r="116" spans="2:20" x14ac:dyDescent="0.35">
      <c r="B116" s="42">
        <v>514</v>
      </c>
      <c r="C116" s="42">
        <v>0.28349000000000002</v>
      </c>
      <c r="D116" s="42">
        <v>0.25352000000000002</v>
      </c>
      <c r="E116" s="42">
        <v>0.30192999999999998</v>
      </c>
      <c r="F116" s="42">
        <v>0.28952</v>
      </c>
      <c r="G116" s="42">
        <v>0.29375000000000001</v>
      </c>
      <c r="H116" s="42">
        <v>0.29948000000000002</v>
      </c>
      <c r="I116" s="42">
        <v>0.30309999999999998</v>
      </c>
      <c r="J116" s="42">
        <v>0.28732000000000002</v>
      </c>
      <c r="L116" s="20">
        <v>514</v>
      </c>
      <c r="M116">
        <f t="shared" si="9"/>
        <v>1.1339600000000001</v>
      </c>
      <c r="N116">
        <f t="shared" si="10"/>
        <v>1.0140800000000001</v>
      </c>
      <c r="O116">
        <f t="shared" si="11"/>
        <v>1.2077199999999999</v>
      </c>
      <c r="P116">
        <f t="shared" si="12"/>
        <v>1.15808</v>
      </c>
      <c r="Q116">
        <f t="shared" si="13"/>
        <v>1.175</v>
      </c>
      <c r="R116">
        <f t="shared" si="14"/>
        <v>1.1979200000000001</v>
      </c>
      <c r="S116">
        <f t="shared" si="15"/>
        <v>1.2123999999999999</v>
      </c>
      <c r="T116">
        <f t="shared" si="16"/>
        <v>1.1492800000000001</v>
      </c>
    </row>
    <row r="117" spans="2:20" x14ac:dyDescent="0.35">
      <c r="B117" s="42">
        <v>515</v>
      </c>
      <c r="C117" s="42">
        <v>0.28259000000000001</v>
      </c>
      <c r="D117" s="42">
        <v>0.25275999999999998</v>
      </c>
      <c r="E117" s="42">
        <v>0.30103000000000002</v>
      </c>
      <c r="F117" s="42">
        <v>0.28871000000000002</v>
      </c>
      <c r="G117" s="42">
        <v>0.29298000000000002</v>
      </c>
      <c r="H117" s="42">
        <v>0.29870999999999998</v>
      </c>
      <c r="I117" s="42">
        <v>0.30229</v>
      </c>
      <c r="J117" s="42">
        <v>0.28650999999999999</v>
      </c>
      <c r="L117" s="20">
        <v>515</v>
      </c>
      <c r="M117">
        <f t="shared" si="9"/>
        <v>1.13036</v>
      </c>
      <c r="N117">
        <f t="shared" si="10"/>
        <v>1.0110399999999999</v>
      </c>
      <c r="O117">
        <f t="shared" si="11"/>
        <v>1.2041200000000001</v>
      </c>
      <c r="P117">
        <f t="shared" si="12"/>
        <v>1.1548400000000001</v>
      </c>
      <c r="Q117">
        <f t="shared" si="13"/>
        <v>1.1719200000000001</v>
      </c>
      <c r="R117">
        <f t="shared" si="14"/>
        <v>1.1948399999999999</v>
      </c>
      <c r="S117">
        <f t="shared" si="15"/>
        <v>1.20916</v>
      </c>
      <c r="T117">
        <f t="shared" si="16"/>
        <v>1.1460399999999999</v>
      </c>
    </row>
    <row r="118" spans="2:20" x14ac:dyDescent="0.35">
      <c r="B118" s="42">
        <v>516</v>
      </c>
      <c r="C118" s="42">
        <v>0.28161999999999998</v>
      </c>
      <c r="D118" s="42">
        <v>0.25191999999999998</v>
      </c>
      <c r="E118" s="42">
        <v>0.30015999999999998</v>
      </c>
      <c r="F118" s="42">
        <v>0.28786</v>
      </c>
      <c r="G118" s="42">
        <v>0.29208000000000001</v>
      </c>
      <c r="H118" s="42">
        <v>0.29774</v>
      </c>
      <c r="I118" s="42">
        <v>0.30137999999999998</v>
      </c>
      <c r="J118" s="42">
        <v>0.28573999999999999</v>
      </c>
      <c r="L118" s="20">
        <v>516</v>
      </c>
      <c r="M118">
        <f t="shared" si="9"/>
        <v>1.1264799999999999</v>
      </c>
      <c r="N118">
        <f t="shared" si="10"/>
        <v>1.0076799999999999</v>
      </c>
      <c r="O118">
        <f t="shared" si="11"/>
        <v>1.2006399999999999</v>
      </c>
      <c r="P118">
        <f t="shared" si="12"/>
        <v>1.15144</v>
      </c>
      <c r="Q118">
        <f t="shared" si="13"/>
        <v>1.16832</v>
      </c>
      <c r="R118">
        <f t="shared" si="14"/>
        <v>1.19096</v>
      </c>
      <c r="S118">
        <f t="shared" si="15"/>
        <v>1.2055199999999999</v>
      </c>
      <c r="T118">
        <f t="shared" si="16"/>
        <v>1.14296</v>
      </c>
    </row>
    <row r="119" spans="2:20" x14ac:dyDescent="0.35">
      <c r="B119" s="42">
        <v>517</v>
      </c>
      <c r="C119" s="42">
        <v>0.28075</v>
      </c>
      <c r="D119" s="42">
        <v>0.25113999999999997</v>
      </c>
      <c r="E119" s="42">
        <v>0.29931999999999997</v>
      </c>
      <c r="F119" s="42">
        <v>0.28702</v>
      </c>
      <c r="G119" s="42">
        <v>0.29127999999999998</v>
      </c>
      <c r="H119" s="42">
        <v>0.29692000000000002</v>
      </c>
      <c r="I119" s="42">
        <v>0.30059999999999998</v>
      </c>
      <c r="J119" s="42">
        <v>0.28499999999999998</v>
      </c>
      <c r="L119" s="20">
        <v>517</v>
      </c>
      <c r="M119">
        <f t="shared" si="9"/>
        <v>1.123</v>
      </c>
      <c r="N119">
        <f t="shared" si="10"/>
        <v>1.0045599999999999</v>
      </c>
      <c r="O119">
        <f t="shared" si="11"/>
        <v>1.1972799999999999</v>
      </c>
      <c r="P119">
        <f t="shared" si="12"/>
        <v>1.14808</v>
      </c>
      <c r="Q119">
        <f t="shared" si="13"/>
        <v>1.1651199999999999</v>
      </c>
      <c r="R119">
        <f t="shared" si="14"/>
        <v>1.1876800000000001</v>
      </c>
      <c r="S119">
        <f t="shared" si="15"/>
        <v>1.2023999999999999</v>
      </c>
      <c r="T119">
        <f t="shared" si="16"/>
        <v>1.1399999999999999</v>
      </c>
    </row>
    <row r="120" spans="2:20" x14ac:dyDescent="0.35">
      <c r="B120" s="42">
        <v>518</v>
      </c>
      <c r="C120" s="42">
        <v>0.27983000000000002</v>
      </c>
      <c r="D120" s="42">
        <v>0.25034000000000001</v>
      </c>
      <c r="E120" s="42">
        <v>0.29854000000000003</v>
      </c>
      <c r="F120" s="42">
        <v>0.28615000000000002</v>
      </c>
      <c r="G120" s="42">
        <v>0.29055999999999998</v>
      </c>
      <c r="H120" s="42">
        <v>0.29609999999999997</v>
      </c>
      <c r="I120" s="42">
        <v>0.29979</v>
      </c>
      <c r="J120" s="42">
        <v>0.28415000000000001</v>
      </c>
      <c r="L120" s="20">
        <v>518</v>
      </c>
      <c r="M120">
        <f t="shared" si="9"/>
        <v>1.1193200000000001</v>
      </c>
      <c r="N120">
        <f t="shared" si="10"/>
        <v>1.00136</v>
      </c>
      <c r="O120">
        <f t="shared" si="11"/>
        <v>1.1941600000000001</v>
      </c>
      <c r="P120">
        <f t="shared" si="12"/>
        <v>1.1446000000000001</v>
      </c>
      <c r="Q120">
        <f t="shared" si="13"/>
        <v>1.1622399999999999</v>
      </c>
      <c r="R120">
        <f t="shared" si="14"/>
        <v>1.1843999999999999</v>
      </c>
      <c r="S120">
        <f t="shared" si="15"/>
        <v>1.19916</v>
      </c>
      <c r="T120">
        <f t="shared" si="16"/>
        <v>1.1366000000000001</v>
      </c>
    </row>
    <row r="121" spans="2:20" x14ac:dyDescent="0.35">
      <c r="B121" s="42">
        <v>519</v>
      </c>
      <c r="C121" s="42">
        <v>0.27895999999999999</v>
      </c>
      <c r="D121" s="42">
        <v>0.24956999999999999</v>
      </c>
      <c r="E121" s="42">
        <v>0.29765000000000003</v>
      </c>
      <c r="F121" s="42">
        <v>0.28532000000000002</v>
      </c>
      <c r="G121" s="42">
        <v>0.28972999999999999</v>
      </c>
      <c r="H121" s="42">
        <v>0.29518</v>
      </c>
      <c r="I121" s="42">
        <v>0.29897000000000001</v>
      </c>
      <c r="J121" s="42">
        <v>0.28333000000000003</v>
      </c>
      <c r="L121" s="20">
        <v>519</v>
      </c>
      <c r="M121">
        <f t="shared" si="9"/>
        <v>1.1158399999999999</v>
      </c>
      <c r="N121">
        <f t="shared" si="10"/>
        <v>0.99827999999999995</v>
      </c>
      <c r="O121">
        <f t="shared" si="11"/>
        <v>1.1906000000000001</v>
      </c>
      <c r="P121">
        <f t="shared" si="12"/>
        <v>1.1412800000000001</v>
      </c>
      <c r="Q121">
        <f t="shared" si="13"/>
        <v>1.15892</v>
      </c>
      <c r="R121">
        <f t="shared" si="14"/>
        <v>1.18072</v>
      </c>
      <c r="S121">
        <f t="shared" si="15"/>
        <v>1.1958800000000001</v>
      </c>
      <c r="T121">
        <f t="shared" si="16"/>
        <v>1.1333200000000001</v>
      </c>
    </row>
    <row r="122" spans="2:20" x14ac:dyDescent="0.35">
      <c r="B122" s="42">
        <v>520</v>
      </c>
      <c r="C122" s="42">
        <v>0.27805999999999997</v>
      </c>
      <c r="D122" s="42">
        <v>0.24883</v>
      </c>
      <c r="E122" s="42">
        <v>0.29686000000000001</v>
      </c>
      <c r="F122" s="42">
        <v>0.28449999999999998</v>
      </c>
      <c r="G122" s="42">
        <v>0.28897</v>
      </c>
      <c r="H122" s="42">
        <v>0.29450999999999999</v>
      </c>
      <c r="I122" s="42">
        <v>0.29816999999999999</v>
      </c>
      <c r="J122" s="42">
        <v>0.28255999999999998</v>
      </c>
      <c r="L122" s="20">
        <v>520</v>
      </c>
      <c r="M122">
        <f t="shared" si="9"/>
        <v>1.1122399999999999</v>
      </c>
      <c r="N122">
        <f t="shared" si="10"/>
        <v>0.99531999999999998</v>
      </c>
      <c r="O122">
        <f t="shared" si="11"/>
        <v>1.1874400000000001</v>
      </c>
      <c r="P122">
        <f t="shared" si="12"/>
        <v>1.1379999999999999</v>
      </c>
      <c r="Q122">
        <f t="shared" si="13"/>
        <v>1.15588</v>
      </c>
      <c r="R122">
        <f t="shared" si="14"/>
        <v>1.17804</v>
      </c>
      <c r="S122">
        <f t="shared" si="15"/>
        <v>1.19268</v>
      </c>
      <c r="T122">
        <f t="shared" si="16"/>
        <v>1.1302399999999999</v>
      </c>
    </row>
    <row r="123" spans="2:20" x14ac:dyDescent="0.35">
      <c r="B123" s="42">
        <v>521</v>
      </c>
      <c r="C123" s="42">
        <v>0.27718999999999999</v>
      </c>
      <c r="D123" s="42">
        <v>0.24801999999999999</v>
      </c>
      <c r="E123" s="42">
        <v>0.29608000000000001</v>
      </c>
      <c r="F123" s="42">
        <v>0.28365000000000001</v>
      </c>
      <c r="G123" s="42">
        <v>0.28821000000000002</v>
      </c>
      <c r="H123" s="42">
        <v>0.29364000000000001</v>
      </c>
      <c r="I123" s="42">
        <v>0.29737999999999998</v>
      </c>
      <c r="J123" s="42">
        <v>0.28177000000000002</v>
      </c>
      <c r="L123" s="20">
        <v>521</v>
      </c>
      <c r="M123">
        <f t="shared" si="9"/>
        <v>1.10876</v>
      </c>
      <c r="N123">
        <f t="shared" si="10"/>
        <v>0.99207999999999996</v>
      </c>
      <c r="O123">
        <f t="shared" si="11"/>
        <v>1.18432</v>
      </c>
      <c r="P123">
        <f t="shared" si="12"/>
        <v>1.1346000000000001</v>
      </c>
      <c r="Q123">
        <f t="shared" si="13"/>
        <v>1.1528400000000001</v>
      </c>
      <c r="R123">
        <f t="shared" si="14"/>
        <v>1.17456</v>
      </c>
      <c r="S123">
        <f t="shared" si="15"/>
        <v>1.1895199999999999</v>
      </c>
      <c r="T123">
        <f t="shared" si="16"/>
        <v>1.1270800000000001</v>
      </c>
    </row>
    <row r="124" spans="2:20" x14ac:dyDescent="0.35">
      <c r="B124" s="42">
        <v>522</v>
      </c>
      <c r="C124" s="42">
        <v>0.27639999999999998</v>
      </c>
      <c r="D124" s="42">
        <v>0.24728</v>
      </c>
      <c r="E124" s="42">
        <v>0.29529</v>
      </c>
      <c r="F124" s="42">
        <v>0.28282000000000002</v>
      </c>
      <c r="G124" s="42">
        <v>0.28744999999999998</v>
      </c>
      <c r="H124" s="42">
        <v>0.2928</v>
      </c>
      <c r="I124" s="42">
        <v>0.29652000000000001</v>
      </c>
      <c r="J124" s="42">
        <v>0.28110000000000002</v>
      </c>
      <c r="L124" s="20">
        <v>522</v>
      </c>
      <c r="M124">
        <f t="shared" si="9"/>
        <v>1.1055999999999999</v>
      </c>
      <c r="N124">
        <f t="shared" si="10"/>
        <v>0.98912</v>
      </c>
      <c r="O124">
        <f t="shared" si="11"/>
        <v>1.18116</v>
      </c>
      <c r="P124">
        <f t="shared" si="12"/>
        <v>1.1312800000000001</v>
      </c>
      <c r="Q124">
        <f t="shared" si="13"/>
        <v>1.1497999999999999</v>
      </c>
      <c r="R124">
        <f t="shared" si="14"/>
        <v>1.1712</v>
      </c>
      <c r="S124">
        <f t="shared" si="15"/>
        <v>1.18608</v>
      </c>
      <c r="T124">
        <f t="shared" si="16"/>
        <v>1.1244000000000001</v>
      </c>
    </row>
    <row r="125" spans="2:20" x14ac:dyDescent="0.35">
      <c r="B125" s="42">
        <v>523</v>
      </c>
      <c r="C125" s="42">
        <v>0.27567999999999998</v>
      </c>
      <c r="D125" s="42">
        <v>0.24671999999999999</v>
      </c>
      <c r="E125" s="42">
        <v>0.29459000000000002</v>
      </c>
      <c r="F125" s="42">
        <v>0.28206999999999999</v>
      </c>
      <c r="G125" s="42">
        <v>0.28682999999999997</v>
      </c>
      <c r="H125" s="42">
        <v>0.29221000000000003</v>
      </c>
      <c r="I125" s="42">
        <v>0.29591000000000001</v>
      </c>
      <c r="J125" s="42">
        <v>0.28047</v>
      </c>
      <c r="L125" s="20">
        <v>523</v>
      </c>
      <c r="M125">
        <f t="shared" si="9"/>
        <v>1.1027199999999999</v>
      </c>
      <c r="N125">
        <f t="shared" si="10"/>
        <v>0.98687999999999998</v>
      </c>
      <c r="O125">
        <f t="shared" si="11"/>
        <v>1.1783600000000001</v>
      </c>
      <c r="P125">
        <f t="shared" si="12"/>
        <v>1.1282799999999999</v>
      </c>
      <c r="Q125">
        <f t="shared" si="13"/>
        <v>1.1473199999999999</v>
      </c>
      <c r="R125">
        <f t="shared" si="14"/>
        <v>1.1688400000000001</v>
      </c>
      <c r="S125">
        <f t="shared" si="15"/>
        <v>1.18364</v>
      </c>
      <c r="T125">
        <f t="shared" si="16"/>
        <v>1.12188</v>
      </c>
    </row>
    <row r="126" spans="2:20" x14ac:dyDescent="0.35">
      <c r="B126" s="42">
        <v>524</v>
      </c>
      <c r="C126" s="42">
        <v>0.27483000000000002</v>
      </c>
      <c r="D126" s="42">
        <v>0.24593000000000001</v>
      </c>
      <c r="E126" s="42">
        <v>0.29379</v>
      </c>
      <c r="F126" s="42">
        <v>0.28138999999999997</v>
      </c>
      <c r="G126" s="42">
        <v>0.28610000000000002</v>
      </c>
      <c r="H126" s="42">
        <v>0.29143000000000002</v>
      </c>
      <c r="I126" s="42">
        <v>0.29511999999999999</v>
      </c>
      <c r="J126" s="42">
        <v>0.27978999999999998</v>
      </c>
      <c r="L126" s="20">
        <v>524</v>
      </c>
      <c r="M126">
        <f t="shared" si="9"/>
        <v>1.0993200000000001</v>
      </c>
      <c r="N126">
        <f t="shared" si="10"/>
        <v>0.98372000000000004</v>
      </c>
      <c r="O126">
        <f t="shared" si="11"/>
        <v>1.17516</v>
      </c>
      <c r="P126">
        <f t="shared" si="12"/>
        <v>1.1255599999999999</v>
      </c>
      <c r="Q126">
        <f t="shared" si="13"/>
        <v>1.1444000000000001</v>
      </c>
      <c r="R126">
        <f t="shared" si="14"/>
        <v>1.1657200000000001</v>
      </c>
      <c r="S126">
        <f t="shared" si="15"/>
        <v>1.18048</v>
      </c>
      <c r="T126">
        <f t="shared" si="16"/>
        <v>1.1191599999999999</v>
      </c>
    </row>
    <row r="127" spans="2:20" x14ac:dyDescent="0.35">
      <c r="B127" s="42">
        <v>525</v>
      </c>
      <c r="C127" s="42">
        <v>0.27411999999999997</v>
      </c>
      <c r="D127" s="42">
        <v>0.24524000000000001</v>
      </c>
      <c r="E127" s="42">
        <v>0.29316999999999999</v>
      </c>
      <c r="F127" s="42">
        <v>0.28064</v>
      </c>
      <c r="G127" s="42">
        <v>0.28538999999999998</v>
      </c>
      <c r="H127" s="42">
        <v>0.29067999999999999</v>
      </c>
      <c r="I127" s="42">
        <v>0.29446</v>
      </c>
      <c r="J127" s="42">
        <v>0.27907999999999999</v>
      </c>
      <c r="L127" s="20">
        <v>525</v>
      </c>
      <c r="M127">
        <f t="shared" si="9"/>
        <v>1.0964799999999999</v>
      </c>
      <c r="N127">
        <f t="shared" si="10"/>
        <v>0.98096000000000005</v>
      </c>
      <c r="O127">
        <f t="shared" si="11"/>
        <v>1.1726799999999999</v>
      </c>
      <c r="P127">
        <f t="shared" si="12"/>
        <v>1.12256</v>
      </c>
      <c r="Q127">
        <f t="shared" si="13"/>
        <v>1.1415599999999999</v>
      </c>
      <c r="R127">
        <f t="shared" si="14"/>
        <v>1.16272</v>
      </c>
      <c r="S127">
        <f t="shared" si="15"/>
        <v>1.17784</v>
      </c>
      <c r="T127">
        <f t="shared" si="16"/>
        <v>1.11632</v>
      </c>
    </row>
    <row r="128" spans="2:20" x14ac:dyDescent="0.35">
      <c r="B128" s="42">
        <v>526</v>
      </c>
      <c r="C128" s="42">
        <v>0.27321000000000001</v>
      </c>
      <c r="D128" s="42">
        <v>0.24443000000000001</v>
      </c>
      <c r="E128" s="42">
        <v>0.29238999999999998</v>
      </c>
      <c r="F128" s="42">
        <v>0.27982000000000001</v>
      </c>
      <c r="G128" s="42">
        <v>0.28459000000000001</v>
      </c>
      <c r="H128" s="42">
        <v>0.28982999999999998</v>
      </c>
      <c r="I128" s="42">
        <v>0.29359000000000002</v>
      </c>
      <c r="J128" s="42">
        <v>0.27827000000000002</v>
      </c>
      <c r="L128" s="20">
        <v>526</v>
      </c>
      <c r="M128">
        <f t="shared" si="9"/>
        <v>1.09284</v>
      </c>
      <c r="N128">
        <f t="shared" si="10"/>
        <v>0.97772000000000003</v>
      </c>
      <c r="O128">
        <f t="shared" si="11"/>
        <v>1.1695599999999999</v>
      </c>
      <c r="P128">
        <f t="shared" si="12"/>
        <v>1.1192800000000001</v>
      </c>
      <c r="Q128">
        <f t="shared" si="13"/>
        <v>1.13836</v>
      </c>
      <c r="R128">
        <f t="shared" si="14"/>
        <v>1.1593199999999999</v>
      </c>
      <c r="S128">
        <f t="shared" si="15"/>
        <v>1.1743600000000001</v>
      </c>
      <c r="T128">
        <f t="shared" si="16"/>
        <v>1.1130800000000001</v>
      </c>
    </row>
    <row r="129" spans="2:20" x14ac:dyDescent="0.35">
      <c r="B129" s="42">
        <v>527</v>
      </c>
      <c r="C129" s="42">
        <v>0.27242</v>
      </c>
      <c r="D129" s="42">
        <v>0.24376999999999999</v>
      </c>
      <c r="E129" s="42">
        <v>0.29170000000000001</v>
      </c>
      <c r="F129" s="42">
        <v>0.27916000000000002</v>
      </c>
      <c r="G129" s="42">
        <v>0.28392000000000001</v>
      </c>
      <c r="H129" s="42">
        <v>0.28909000000000001</v>
      </c>
      <c r="I129" s="42">
        <v>0.29294999999999999</v>
      </c>
      <c r="J129" s="42">
        <v>0.27767999999999998</v>
      </c>
      <c r="L129" s="20">
        <v>527</v>
      </c>
      <c r="M129">
        <f t="shared" si="9"/>
        <v>1.08968</v>
      </c>
      <c r="N129">
        <f t="shared" si="10"/>
        <v>0.97507999999999995</v>
      </c>
      <c r="O129">
        <f t="shared" si="11"/>
        <v>1.1668000000000001</v>
      </c>
      <c r="P129">
        <f t="shared" si="12"/>
        <v>1.1166400000000001</v>
      </c>
      <c r="Q129">
        <f t="shared" si="13"/>
        <v>1.13568</v>
      </c>
      <c r="R129">
        <f t="shared" si="14"/>
        <v>1.1563600000000001</v>
      </c>
      <c r="S129">
        <f t="shared" si="15"/>
        <v>1.1718</v>
      </c>
      <c r="T129">
        <f t="shared" si="16"/>
        <v>1.1107199999999999</v>
      </c>
    </row>
    <row r="130" spans="2:20" x14ac:dyDescent="0.35">
      <c r="B130" s="42">
        <v>528</v>
      </c>
      <c r="C130" s="42">
        <v>0.27173999999999998</v>
      </c>
      <c r="D130" s="42">
        <v>0.24315999999999999</v>
      </c>
      <c r="E130" s="42">
        <v>0.29105999999999999</v>
      </c>
      <c r="F130" s="42">
        <v>0.27843000000000001</v>
      </c>
      <c r="G130" s="42">
        <v>0.28322999999999998</v>
      </c>
      <c r="H130" s="42">
        <v>0.28842000000000001</v>
      </c>
      <c r="I130" s="42">
        <v>0.29225000000000001</v>
      </c>
      <c r="J130" s="42">
        <v>0.27701999999999999</v>
      </c>
      <c r="L130" s="20">
        <v>528</v>
      </c>
      <c r="M130">
        <f t="shared" si="9"/>
        <v>1.0869599999999999</v>
      </c>
      <c r="N130">
        <f t="shared" si="10"/>
        <v>0.97263999999999995</v>
      </c>
      <c r="O130">
        <f t="shared" si="11"/>
        <v>1.1642399999999999</v>
      </c>
      <c r="P130">
        <f t="shared" si="12"/>
        <v>1.11372</v>
      </c>
      <c r="Q130">
        <f t="shared" si="13"/>
        <v>1.1329199999999999</v>
      </c>
      <c r="R130">
        <f t="shared" si="14"/>
        <v>1.15368</v>
      </c>
      <c r="S130">
        <f t="shared" si="15"/>
        <v>1.169</v>
      </c>
      <c r="T130">
        <f t="shared" si="16"/>
        <v>1.10808</v>
      </c>
    </row>
    <row r="131" spans="2:20" x14ac:dyDescent="0.35">
      <c r="B131" s="42">
        <v>529</v>
      </c>
      <c r="C131" s="42">
        <v>0.27109</v>
      </c>
      <c r="D131" s="42">
        <v>0.24260000000000001</v>
      </c>
      <c r="E131" s="42">
        <v>0.29055999999999998</v>
      </c>
      <c r="F131" s="42">
        <v>0.27789000000000003</v>
      </c>
      <c r="G131" s="42">
        <v>0.28270000000000001</v>
      </c>
      <c r="H131" s="42">
        <v>0.28782999999999997</v>
      </c>
      <c r="I131" s="42">
        <v>0.29175000000000001</v>
      </c>
      <c r="J131" s="42">
        <v>0.27645999999999998</v>
      </c>
      <c r="L131" s="20">
        <v>529</v>
      </c>
      <c r="M131">
        <f t="shared" ref="M131:M194" si="17">C131*4</f>
        <v>1.08436</v>
      </c>
      <c r="N131">
        <f t="shared" ref="N131:N194" si="18">D131*4</f>
        <v>0.97040000000000004</v>
      </c>
      <c r="O131">
        <f t="shared" ref="O131:O194" si="19">E131*4</f>
        <v>1.1622399999999999</v>
      </c>
      <c r="P131">
        <f t="shared" ref="P131:P194" si="20">F131*4</f>
        <v>1.1115600000000001</v>
      </c>
      <c r="Q131">
        <f t="shared" ref="Q131:Q194" si="21">G131*4</f>
        <v>1.1308</v>
      </c>
      <c r="R131">
        <f t="shared" ref="R131:R194" si="22">H131*4</f>
        <v>1.1513199999999999</v>
      </c>
      <c r="S131">
        <f t="shared" ref="S131:S194" si="23">I131*4</f>
        <v>1.167</v>
      </c>
      <c r="T131">
        <f t="shared" ref="T131:T194" si="24">J131*4</f>
        <v>1.1058399999999999</v>
      </c>
    </row>
    <row r="132" spans="2:20" x14ac:dyDescent="0.35">
      <c r="B132" s="42">
        <v>530</v>
      </c>
      <c r="C132" s="42">
        <v>0.27039999999999997</v>
      </c>
      <c r="D132" s="42">
        <v>0.24199999999999999</v>
      </c>
      <c r="E132" s="42">
        <v>0.28993000000000002</v>
      </c>
      <c r="F132" s="42">
        <v>0.27718999999999999</v>
      </c>
      <c r="G132" s="42">
        <v>0.28205999999999998</v>
      </c>
      <c r="H132" s="42">
        <v>0.28716999999999998</v>
      </c>
      <c r="I132" s="42">
        <v>0.29109000000000002</v>
      </c>
      <c r="J132" s="42">
        <v>0.27582000000000001</v>
      </c>
      <c r="L132" s="20">
        <v>530</v>
      </c>
      <c r="M132">
        <f t="shared" si="17"/>
        <v>1.0815999999999999</v>
      </c>
      <c r="N132">
        <f t="shared" si="18"/>
        <v>0.96799999999999997</v>
      </c>
      <c r="O132">
        <f t="shared" si="19"/>
        <v>1.1597200000000001</v>
      </c>
      <c r="P132">
        <f t="shared" si="20"/>
        <v>1.10876</v>
      </c>
      <c r="Q132">
        <f t="shared" si="21"/>
        <v>1.1282399999999999</v>
      </c>
      <c r="R132">
        <f t="shared" si="22"/>
        <v>1.1486799999999999</v>
      </c>
      <c r="S132">
        <f t="shared" si="23"/>
        <v>1.1643600000000001</v>
      </c>
      <c r="T132">
        <f t="shared" si="24"/>
        <v>1.10328</v>
      </c>
    </row>
    <row r="133" spans="2:20" x14ac:dyDescent="0.35">
      <c r="B133" s="42">
        <v>531</v>
      </c>
      <c r="C133" s="42">
        <v>0.26971000000000001</v>
      </c>
      <c r="D133" s="42">
        <v>0.24143999999999999</v>
      </c>
      <c r="E133" s="42">
        <v>0.28922999999999999</v>
      </c>
      <c r="F133" s="42">
        <v>0.27662999999999999</v>
      </c>
      <c r="G133" s="42">
        <v>0.28138999999999997</v>
      </c>
      <c r="H133" s="42">
        <v>0.28654000000000002</v>
      </c>
      <c r="I133" s="42">
        <v>0.29033999999999999</v>
      </c>
      <c r="J133" s="42">
        <v>0.27517999999999998</v>
      </c>
      <c r="L133" s="20">
        <v>531</v>
      </c>
      <c r="M133">
        <f t="shared" si="17"/>
        <v>1.07884</v>
      </c>
      <c r="N133">
        <f t="shared" si="18"/>
        <v>0.96575999999999995</v>
      </c>
      <c r="O133">
        <f t="shared" si="19"/>
        <v>1.1569199999999999</v>
      </c>
      <c r="P133">
        <f t="shared" si="20"/>
        <v>1.1065199999999999</v>
      </c>
      <c r="Q133">
        <f t="shared" si="21"/>
        <v>1.1255599999999999</v>
      </c>
      <c r="R133">
        <f t="shared" si="22"/>
        <v>1.1461600000000001</v>
      </c>
      <c r="S133">
        <f t="shared" si="23"/>
        <v>1.1613599999999999</v>
      </c>
      <c r="T133">
        <f t="shared" si="24"/>
        <v>1.1007199999999999</v>
      </c>
    </row>
    <row r="134" spans="2:20" x14ac:dyDescent="0.35">
      <c r="B134" s="42">
        <v>532</v>
      </c>
      <c r="C134" s="42">
        <v>0.26910000000000001</v>
      </c>
      <c r="D134" s="42">
        <v>0.24095</v>
      </c>
      <c r="E134" s="42">
        <v>0.28877000000000003</v>
      </c>
      <c r="F134" s="42">
        <v>0.27605000000000002</v>
      </c>
      <c r="G134" s="42">
        <v>0.28090999999999999</v>
      </c>
      <c r="H134" s="42">
        <v>0.28603000000000001</v>
      </c>
      <c r="I134" s="42">
        <v>0.28986000000000001</v>
      </c>
      <c r="J134" s="42">
        <v>0.27474999999999999</v>
      </c>
      <c r="L134" s="20">
        <v>532</v>
      </c>
      <c r="M134">
        <f t="shared" si="17"/>
        <v>1.0764</v>
      </c>
      <c r="N134">
        <f t="shared" si="18"/>
        <v>0.96379999999999999</v>
      </c>
      <c r="O134">
        <f t="shared" si="19"/>
        <v>1.1550800000000001</v>
      </c>
      <c r="P134">
        <f t="shared" si="20"/>
        <v>1.1042000000000001</v>
      </c>
      <c r="Q134">
        <f t="shared" si="21"/>
        <v>1.12364</v>
      </c>
      <c r="R134">
        <f t="shared" si="22"/>
        <v>1.14412</v>
      </c>
      <c r="S134">
        <f t="shared" si="23"/>
        <v>1.15944</v>
      </c>
      <c r="T134">
        <f t="shared" si="24"/>
        <v>1.099</v>
      </c>
    </row>
    <row r="135" spans="2:20" x14ac:dyDescent="0.35">
      <c r="B135" s="42">
        <v>533</v>
      </c>
      <c r="C135" s="42">
        <v>0.26851000000000003</v>
      </c>
      <c r="D135" s="42">
        <v>0.24031</v>
      </c>
      <c r="E135" s="42">
        <v>0.28819</v>
      </c>
      <c r="F135" s="42">
        <v>0.27542</v>
      </c>
      <c r="G135" s="42">
        <v>0.28027000000000002</v>
      </c>
      <c r="H135" s="42">
        <v>0.28526000000000001</v>
      </c>
      <c r="I135" s="42">
        <v>0.28914000000000001</v>
      </c>
      <c r="J135" s="42">
        <v>0.27399000000000001</v>
      </c>
      <c r="L135" s="20">
        <v>533</v>
      </c>
      <c r="M135">
        <f t="shared" si="17"/>
        <v>1.0740400000000001</v>
      </c>
      <c r="N135">
        <f t="shared" si="18"/>
        <v>0.96123999999999998</v>
      </c>
      <c r="O135">
        <f t="shared" si="19"/>
        <v>1.15276</v>
      </c>
      <c r="P135">
        <f t="shared" si="20"/>
        <v>1.10168</v>
      </c>
      <c r="Q135">
        <f t="shared" si="21"/>
        <v>1.1210800000000001</v>
      </c>
      <c r="R135">
        <f t="shared" si="22"/>
        <v>1.1410400000000001</v>
      </c>
      <c r="S135">
        <f t="shared" si="23"/>
        <v>1.15656</v>
      </c>
      <c r="T135">
        <f t="shared" si="24"/>
        <v>1.09596</v>
      </c>
    </row>
    <row r="136" spans="2:20" x14ac:dyDescent="0.35">
      <c r="B136" s="42">
        <v>534</v>
      </c>
      <c r="C136" s="42">
        <v>0.26784999999999998</v>
      </c>
      <c r="D136" s="42">
        <v>0.23973</v>
      </c>
      <c r="E136" s="42">
        <v>0.28760000000000002</v>
      </c>
      <c r="F136" s="42">
        <v>0.27481</v>
      </c>
      <c r="G136" s="42">
        <v>0.27967999999999998</v>
      </c>
      <c r="H136" s="42">
        <v>0.28466999999999998</v>
      </c>
      <c r="I136" s="42">
        <v>0.28860000000000002</v>
      </c>
      <c r="J136" s="42">
        <v>0.27338000000000001</v>
      </c>
      <c r="L136" s="20">
        <v>534</v>
      </c>
      <c r="M136">
        <f t="shared" si="17"/>
        <v>1.0713999999999999</v>
      </c>
      <c r="N136">
        <f t="shared" si="18"/>
        <v>0.95891999999999999</v>
      </c>
      <c r="O136">
        <f t="shared" si="19"/>
        <v>1.1504000000000001</v>
      </c>
      <c r="P136">
        <f t="shared" si="20"/>
        <v>1.09924</v>
      </c>
      <c r="Q136">
        <f t="shared" si="21"/>
        <v>1.1187199999999999</v>
      </c>
      <c r="R136">
        <f t="shared" si="22"/>
        <v>1.1386799999999999</v>
      </c>
      <c r="S136">
        <f t="shared" si="23"/>
        <v>1.1544000000000001</v>
      </c>
      <c r="T136">
        <f t="shared" si="24"/>
        <v>1.09352</v>
      </c>
    </row>
    <row r="137" spans="2:20" x14ac:dyDescent="0.35">
      <c r="B137" s="42">
        <v>535</v>
      </c>
      <c r="C137" s="42">
        <v>0.26721</v>
      </c>
      <c r="D137" s="42">
        <v>0.23921000000000001</v>
      </c>
      <c r="E137" s="42">
        <v>0.28697</v>
      </c>
      <c r="F137" s="42">
        <v>0.27422999999999997</v>
      </c>
      <c r="G137" s="42">
        <v>0.27907999999999999</v>
      </c>
      <c r="H137" s="42">
        <v>0.28394999999999998</v>
      </c>
      <c r="I137" s="42">
        <v>0.28795999999999999</v>
      </c>
      <c r="J137" s="42">
        <v>0.27281</v>
      </c>
      <c r="L137" s="20">
        <v>535</v>
      </c>
      <c r="M137">
        <f t="shared" si="17"/>
        <v>1.06884</v>
      </c>
      <c r="N137">
        <f t="shared" si="18"/>
        <v>0.95684000000000002</v>
      </c>
      <c r="O137">
        <f t="shared" si="19"/>
        <v>1.14788</v>
      </c>
      <c r="P137">
        <f t="shared" si="20"/>
        <v>1.0969199999999999</v>
      </c>
      <c r="Q137">
        <f t="shared" si="21"/>
        <v>1.11632</v>
      </c>
      <c r="R137">
        <f t="shared" si="22"/>
        <v>1.1357999999999999</v>
      </c>
      <c r="S137">
        <f t="shared" si="23"/>
        <v>1.15184</v>
      </c>
      <c r="T137">
        <f t="shared" si="24"/>
        <v>1.09124</v>
      </c>
    </row>
    <row r="138" spans="2:20" x14ac:dyDescent="0.35">
      <c r="B138" s="42">
        <v>536</v>
      </c>
      <c r="C138" s="42">
        <v>0.26665</v>
      </c>
      <c r="D138" s="42">
        <v>0.23880000000000001</v>
      </c>
      <c r="E138" s="42">
        <v>0.28650999999999999</v>
      </c>
      <c r="F138" s="42">
        <v>0.27376</v>
      </c>
      <c r="G138" s="42">
        <v>0.27857999999999999</v>
      </c>
      <c r="H138" s="42">
        <v>0.28344999999999998</v>
      </c>
      <c r="I138" s="42">
        <v>0.28749000000000002</v>
      </c>
      <c r="J138" s="42">
        <v>0.27234000000000003</v>
      </c>
      <c r="L138" s="20">
        <v>536</v>
      </c>
      <c r="M138">
        <f t="shared" si="17"/>
        <v>1.0666</v>
      </c>
      <c r="N138">
        <f t="shared" si="18"/>
        <v>0.95520000000000005</v>
      </c>
      <c r="O138">
        <f t="shared" si="19"/>
        <v>1.1460399999999999</v>
      </c>
      <c r="P138">
        <f t="shared" si="20"/>
        <v>1.09504</v>
      </c>
      <c r="Q138">
        <f t="shared" si="21"/>
        <v>1.11432</v>
      </c>
      <c r="R138">
        <f t="shared" si="22"/>
        <v>1.1337999999999999</v>
      </c>
      <c r="S138">
        <f t="shared" si="23"/>
        <v>1.1499600000000001</v>
      </c>
      <c r="T138">
        <f t="shared" si="24"/>
        <v>1.0893600000000001</v>
      </c>
    </row>
    <row r="139" spans="2:20" x14ac:dyDescent="0.35">
      <c r="B139" s="42">
        <v>537</v>
      </c>
      <c r="C139" s="42">
        <v>0.26584000000000002</v>
      </c>
      <c r="D139" s="42">
        <v>0.23810000000000001</v>
      </c>
      <c r="E139" s="42">
        <v>0.2858</v>
      </c>
      <c r="F139" s="42">
        <v>0.27311999999999997</v>
      </c>
      <c r="G139" s="42">
        <v>0.27778999999999998</v>
      </c>
      <c r="H139" s="42">
        <v>0.28267999999999999</v>
      </c>
      <c r="I139" s="42">
        <v>0.28670000000000001</v>
      </c>
      <c r="J139" s="42">
        <v>0.27161999999999997</v>
      </c>
      <c r="L139" s="20">
        <v>537</v>
      </c>
      <c r="M139">
        <f t="shared" si="17"/>
        <v>1.0633600000000001</v>
      </c>
      <c r="N139">
        <f t="shared" si="18"/>
        <v>0.95240000000000002</v>
      </c>
      <c r="O139">
        <f t="shared" si="19"/>
        <v>1.1432</v>
      </c>
      <c r="P139">
        <f t="shared" si="20"/>
        <v>1.0924799999999999</v>
      </c>
      <c r="Q139">
        <f t="shared" si="21"/>
        <v>1.1111599999999999</v>
      </c>
      <c r="R139">
        <f t="shared" si="22"/>
        <v>1.1307199999999999</v>
      </c>
      <c r="S139">
        <f t="shared" si="23"/>
        <v>1.1468</v>
      </c>
      <c r="T139">
        <f t="shared" si="24"/>
        <v>1.0864799999999999</v>
      </c>
    </row>
    <row r="140" spans="2:20" x14ac:dyDescent="0.35">
      <c r="B140" s="42">
        <v>538</v>
      </c>
      <c r="C140" s="42">
        <v>0.26538</v>
      </c>
      <c r="D140" s="42">
        <v>0.23763000000000001</v>
      </c>
      <c r="E140" s="42">
        <v>0.28544999999999998</v>
      </c>
      <c r="F140" s="42">
        <v>0.27263999999999999</v>
      </c>
      <c r="G140" s="42">
        <v>0.27731</v>
      </c>
      <c r="H140" s="42">
        <v>0.28216999999999998</v>
      </c>
      <c r="I140" s="42">
        <v>0.28617999999999999</v>
      </c>
      <c r="J140" s="42">
        <v>0.27115</v>
      </c>
      <c r="L140" s="20">
        <v>538</v>
      </c>
      <c r="M140">
        <f t="shared" si="17"/>
        <v>1.06152</v>
      </c>
      <c r="N140">
        <f t="shared" si="18"/>
        <v>0.95052000000000003</v>
      </c>
      <c r="O140">
        <f t="shared" si="19"/>
        <v>1.1417999999999999</v>
      </c>
      <c r="P140">
        <f t="shared" si="20"/>
        <v>1.09056</v>
      </c>
      <c r="Q140">
        <f t="shared" si="21"/>
        <v>1.10924</v>
      </c>
      <c r="R140">
        <f t="shared" si="22"/>
        <v>1.1286799999999999</v>
      </c>
      <c r="S140">
        <f t="shared" si="23"/>
        <v>1.14472</v>
      </c>
      <c r="T140">
        <f t="shared" si="24"/>
        <v>1.0846</v>
      </c>
    </row>
    <row r="141" spans="2:20" x14ac:dyDescent="0.35">
      <c r="B141" s="42">
        <v>539</v>
      </c>
      <c r="C141" s="42">
        <v>0.26488</v>
      </c>
      <c r="D141" s="42">
        <v>0.23721</v>
      </c>
      <c r="E141" s="42">
        <v>0.28497</v>
      </c>
      <c r="F141" s="42">
        <v>0.27224999999999999</v>
      </c>
      <c r="G141" s="42">
        <v>0.27689000000000002</v>
      </c>
      <c r="H141" s="42">
        <v>0.28173999999999999</v>
      </c>
      <c r="I141" s="42">
        <v>0.28566000000000003</v>
      </c>
      <c r="J141" s="42">
        <v>0.27074999999999999</v>
      </c>
      <c r="L141" s="20">
        <v>539</v>
      </c>
      <c r="M141">
        <f t="shared" si="17"/>
        <v>1.05952</v>
      </c>
      <c r="N141">
        <f t="shared" si="18"/>
        <v>0.94884000000000002</v>
      </c>
      <c r="O141">
        <f t="shared" si="19"/>
        <v>1.13988</v>
      </c>
      <c r="P141">
        <f t="shared" si="20"/>
        <v>1.089</v>
      </c>
      <c r="Q141">
        <f t="shared" si="21"/>
        <v>1.1075600000000001</v>
      </c>
      <c r="R141">
        <f t="shared" si="22"/>
        <v>1.12696</v>
      </c>
      <c r="S141">
        <f t="shared" si="23"/>
        <v>1.1426400000000001</v>
      </c>
      <c r="T141">
        <f t="shared" si="24"/>
        <v>1.083</v>
      </c>
    </row>
    <row r="142" spans="2:20" x14ac:dyDescent="0.35">
      <c r="B142" s="42">
        <v>540</v>
      </c>
      <c r="C142" s="42">
        <v>0.26436999999999999</v>
      </c>
      <c r="D142" s="42">
        <v>0.23680000000000001</v>
      </c>
      <c r="E142" s="42">
        <v>0.28455000000000003</v>
      </c>
      <c r="F142" s="42">
        <v>0.27173000000000003</v>
      </c>
      <c r="G142" s="42">
        <v>0.27631</v>
      </c>
      <c r="H142" s="42">
        <v>0.28116000000000002</v>
      </c>
      <c r="I142" s="42">
        <v>0.28516999999999998</v>
      </c>
      <c r="J142" s="42">
        <v>0.27018999999999999</v>
      </c>
      <c r="L142" s="20">
        <v>540</v>
      </c>
      <c r="M142">
        <f t="shared" si="17"/>
        <v>1.05748</v>
      </c>
      <c r="N142">
        <f t="shared" si="18"/>
        <v>0.94720000000000004</v>
      </c>
      <c r="O142">
        <f t="shared" si="19"/>
        <v>1.1382000000000001</v>
      </c>
      <c r="P142">
        <f t="shared" si="20"/>
        <v>1.0869200000000001</v>
      </c>
      <c r="Q142">
        <f t="shared" si="21"/>
        <v>1.10524</v>
      </c>
      <c r="R142">
        <f t="shared" si="22"/>
        <v>1.1246400000000001</v>
      </c>
      <c r="S142">
        <f t="shared" si="23"/>
        <v>1.1406799999999999</v>
      </c>
      <c r="T142">
        <f t="shared" si="24"/>
        <v>1.0807599999999999</v>
      </c>
    </row>
    <row r="143" spans="2:20" x14ac:dyDescent="0.35">
      <c r="B143" s="42">
        <v>541</v>
      </c>
      <c r="C143" s="42">
        <v>0.26404</v>
      </c>
      <c r="D143" s="42">
        <v>0.23643</v>
      </c>
      <c r="E143" s="42">
        <v>0.28416000000000002</v>
      </c>
      <c r="F143" s="42">
        <v>0.27129999999999999</v>
      </c>
      <c r="G143" s="42">
        <v>0.27583000000000002</v>
      </c>
      <c r="H143" s="42">
        <v>0.28069</v>
      </c>
      <c r="I143" s="42">
        <v>0.28473999999999999</v>
      </c>
      <c r="J143" s="42">
        <v>0.26978999999999997</v>
      </c>
      <c r="L143" s="20">
        <v>541</v>
      </c>
      <c r="M143">
        <f t="shared" si="17"/>
        <v>1.05616</v>
      </c>
      <c r="N143">
        <f t="shared" si="18"/>
        <v>0.94572000000000001</v>
      </c>
      <c r="O143">
        <f t="shared" si="19"/>
        <v>1.1366400000000001</v>
      </c>
      <c r="P143">
        <f t="shared" si="20"/>
        <v>1.0851999999999999</v>
      </c>
      <c r="Q143">
        <f t="shared" si="21"/>
        <v>1.1033200000000001</v>
      </c>
      <c r="R143">
        <f t="shared" si="22"/>
        <v>1.12276</v>
      </c>
      <c r="S143">
        <f t="shared" si="23"/>
        <v>1.13896</v>
      </c>
      <c r="T143">
        <f t="shared" si="24"/>
        <v>1.0791599999999999</v>
      </c>
    </row>
    <row r="144" spans="2:20" x14ac:dyDescent="0.35">
      <c r="B144" s="42">
        <v>542</v>
      </c>
      <c r="C144" s="42">
        <v>0.26357000000000003</v>
      </c>
      <c r="D144" s="42">
        <v>0.23608000000000001</v>
      </c>
      <c r="E144" s="42">
        <v>0.28386</v>
      </c>
      <c r="F144" s="42">
        <v>0.27095000000000002</v>
      </c>
      <c r="G144" s="42">
        <v>0.27548</v>
      </c>
      <c r="H144" s="42">
        <v>0.28034999999999999</v>
      </c>
      <c r="I144" s="42">
        <v>0.2843</v>
      </c>
      <c r="J144" s="42">
        <v>0.26945000000000002</v>
      </c>
      <c r="L144" s="20">
        <v>542</v>
      </c>
      <c r="M144">
        <f t="shared" si="17"/>
        <v>1.0542800000000001</v>
      </c>
      <c r="N144">
        <f t="shared" si="18"/>
        <v>0.94432000000000005</v>
      </c>
      <c r="O144">
        <f t="shared" si="19"/>
        <v>1.13544</v>
      </c>
      <c r="P144">
        <f t="shared" si="20"/>
        <v>1.0838000000000001</v>
      </c>
      <c r="Q144">
        <f t="shared" si="21"/>
        <v>1.10192</v>
      </c>
      <c r="R144">
        <f t="shared" si="22"/>
        <v>1.1214</v>
      </c>
      <c r="S144">
        <f t="shared" si="23"/>
        <v>1.1372</v>
      </c>
      <c r="T144">
        <f t="shared" si="24"/>
        <v>1.0778000000000001</v>
      </c>
    </row>
    <row r="145" spans="2:20" x14ac:dyDescent="0.35">
      <c r="B145" s="42">
        <v>543</v>
      </c>
      <c r="C145" s="42">
        <v>0.26305000000000001</v>
      </c>
      <c r="D145" s="42">
        <v>0.2356</v>
      </c>
      <c r="E145" s="42">
        <v>0.28336</v>
      </c>
      <c r="F145" s="42">
        <v>0.27048</v>
      </c>
      <c r="G145" s="42">
        <v>0.27499000000000001</v>
      </c>
      <c r="H145" s="42">
        <v>0.27977000000000002</v>
      </c>
      <c r="I145" s="42">
        <v>0.28381000000000001</v>
      </c>
      <c r="J145" s="42">
        <v>0.26889000000000002</v>
      </c>
      <c r="L145" s="20">
        <v>543</v>
      </c>
      <c r="M145">
        <f t="shared" si="17"/>
        <v>1.0522</v>
      </c>
      <c r="N145">
        <f t="shared" si="18"/>
        <v>0.94240000000000002</v>
      </c>
      <c r="O145">
        <f t="shared" si="19"/>
        <v>1.13344</v>
      </c>
      <c r="P145">
        <f t="shared" si="20"/>
        <v>1.08192</v>
      </c>
      <c r="Q145">
        <f t="shared" si="21"/>
        <v>1.09996</v>
      </c>
      <c r="R145">
        <f t="shared" si="22"/>
        <v>1.1190800000000001</v>
      </c>
      <c r="S145">
        <f t="shared" si="23"/>
        <v>1.13524</v>
      </c>
      <c r="T145">
        <f t="shared" si="24"/>
        <v>1.0755600000000001</v>
      </c>
    </row>
    <row r="146" spans="2:20" x14ac:dyDescent="0.35">
      <c r="B146" s="42">
        <v>544</v>
      </c>
      <c r="C146" s="42">
        <v>0.2626</v>
      </c>
      <c r="D146" s="42">
        <v>0.23527999999999999</v>
      </c>
      <c r="E146" s="42">
        <v>0.28299999999999997</v>
      </c>
      <c r="F146" s="42">
        <v>0.27010000000000001</v>
      </c>
      <c r="G146" s="42">
        <v>0.27456999999999998</v>
      </c>
      <c r="H146" s="42">
        <v>0.27933000000000002</v>
      </c>
      <c r="I146" s="42">
        <v>0.28342000000000001</v>
      </c>
      <c r="J146" s="42">
        <v>0.26848</v>
      </c>
      <c r="L146" s="20">
        <v>544</v>
      </c>
      <c r="M146">
        <f t="shared" si="17"/>
        <v>1.0504</v>
      </c>
      <c r="N146">
        <f t="shared" si="18"/>
        <v>0.94111999999999996</v>
      </c>
      <c r="O146">
        <f t="shared" si="19"/>
        <v>1.1319999999999999</v>
      </c>
      <c r="P146">
        <f t="shared" si="20"/>
        <v>1.0804</v>
      </c>
      <c r="Q146">
        <f t="shared" si="21"/>
        <v>1.0982799999999999</v>
      </c>
      <c r="R146">
        <f t="shared" si="22"/>
        <v>1.1173200000000001</v>
      </c>
      <c r="S146">
        <f t="shared" si="23"/>
        <v>1.13368</v>
      </c>
      <c r="T146">
        <f t="shared" si="24"/>
        <v>1.07392</v>
      </c>
    </row>
    <row r="147" spans="2:20" x14ac:dyDescent="0.35">
      <c r="B147" s="42">
        <v>545</v>
      </c>
      <c r="C147" s="42">
        <v>0.26222000000000001</v>
      </c>
      <c r="D147" s="42">
        <v>0.23494999999999999</v>
      </c>
      <c r="E147" s="42">
        <v>0.28264</v>
      </c>
      <c r="F147" s="42">
        <v>0.26980999999999999</v>
      </c>
      <c r="G147" s="42">
        <v>0.27415</v>
      </c>
      <c r="H147" s="42">
        <v>0.27892</v>
      </c>
      <c r="I147" s="42">
        <v>0.28293000000000001</v>
      </c>
      <c r="J147" s="42">
        <v>0.26807999999999998</v>
      </c>
      <c r="L147" s="20">
        <v>545</v>
      </c>
      <c r="M147">
        <f t="shared" si="17"/>
        <v>1.04888</v>
      </c>
      <c r="N147">
        <f t="shared" si="18"/>
        <v>0.93979999999999997</v>
      </c>
      <c r="O147">
        <f t="shared" si="19"/>
        <v>1.13056</v>
      </c>
      <c r="P147">
        <f t="shared" si="20"/>
        <v>1.07924</v>
      </c>
      <c r="Q147">
        <f t="shared" si="21"/>
        <v>1.0966</v>
      </c>
      <c r="R147">
        <f t="shared" si="22"/>
        <v>1.11568</v>
      </c>
      <c r="S147">
        <f t="shared" si="23"/>
        <v>1.1317200000000001</v>
      </c>
      <c r="T147">
        <f t="shared" si="24"/>
        <v>1.0723199999999999</v>
      </c>
    </row>
    <row r="148" spans="2:20" x14ac:dyDescent="0.35">
      <c r="B148" s="42">
        <v>546</v>
      </c>
      <c r="C148" s="42">
        <v>0.26185999999999998</v>
      </c>
      <c r="D148" s="42">
        <v>0.23454</v>
      </c>
      <c r="E148" s="42">
        <v>0.28226000000000001</v>
      </c>
      <c r="F148" s="42">
        <v>0.26935999999999999</v>
      </c>
      <c r="G148" s="42">
        <v>0.27372999999999997</v>
      </c>
      <c r="H148" s="42">
        <v>0.27843000000000001</v>
      </c>
      <c r="I148" s="42">
        <v>0.28249999999999997</v>
      </c>
      <c r="J148" s="42">
        <v>0.26765</v>
      </c>
      <c r="L148" s="20">
        <v>546</v>
      </c>
      <c r="M148">
        <f t="shared" si="17"/>
        <v>1.0474399999999999</v>
      </c>
      <c r="N148">
        <f t="shared" si="18"/>
        <v>0.93815999999999999</v>
      </c>
      <c r="O148">
        <f t="shared" si="19"/>
        <v>1.12904</v>
      </c>
      <c r="P148">
        <f t="shared" si="20"/>
        <v>1.07744</v>
      </c>
      <c r="Q148">
        <f t="shared" si="21"/>
        <v>1.0949199999999999</v>
      </c>
      <c r="R148">
        <f t="shared" si="22"/>
        <v>1.11372</v>
      </c>
      <c r="S148">
        <f t="shared" si="23"/>
        <v>1.1299999999999999</v>
      </c>
      <c r="T148">
        <f t="shared" si="24"/>
        <v>1.0706</v>
      </c>
    </row>
    <row r="149" spans="2:20" x14ac:dyDescent="0.35">
      <c r="B149" s="42">
        <v>547</v>
      </c>
      <c r="C149" s="42">
        <v>0.26149</v>
      </c>
      <c r="D149" s="42">
        <v>0.23427000000000001</v>
      </c>
      <c r="E149" s="42">
        <v>0.28197</v>
      </c>
      <c r="F149" s="42">
        <v>0.26906000000000002</v>
      </c>
      <c r="G149" s="42">
        <v>0.27346999999999999</v>
      </c>
      <c r="H149" s="42">
        <v>0.27807999999999999</v>
      </c>
      <c r="I149" s="42">
        <v>0.28214</v>
      </c>
      <c r="J149" s="42">
        <v>0.26729000000000003</v>
      </c>
      <c r="L149" s="20">
        <v>547</v>
      </c>
      <c r="M149">
        <f t="shared" si="17"/>
        <v>1.04596</v>
      </c>
      <c r="N149">
        <f t="shared" si="18"/>
        <v>0.93708000000000002</v>
      </c>
      <c r="O149">
        <f t="shared" si="19"/>
        <v>1.12788</v>
      </c>
      <c r="P149">
        <f t="shared" si="20"/>
        <v>1.0762400000000001</v>
      </c>
      <c r="Q149">
        <f t="shared" si="21"/>
        <v>1.09388</v>
      </c>
      <c r="R149">
        <f t="shared" si="22"/>
        <v>1.11232</v>
      </c>
      <c r="S149">
        <f t="shared" si="23"/>
        <v>1.12856</v>
      </c>
      <c r="T149">
        <f t="shared" si="24"/>
        <v>1.0691600000000001</v>
      </c>
    </row>
    <row r="150" spans="2:20" x14ac:dyDescent="0.35">
      <c r="B150" s="42">
        <v>548</v>
      </c>
      <c r="C150" s="42">
        <v>0.26112000000000002</v>
      </c>
      <c r="D150" s="42">
        <v>0.23383999999999999</v>
      </c>
      <c r="E150" s="42">
        <v>0.28155999999999998</v>
      </c>
      <c r="F150" s="42">
        <v>0.26871</v>
      </c>
      <c r="G150" s="42">
        <v>0.27295000000000003</v>
      </c>
      <c r="H150" s="42">
        <v>0.27765000000000001</v>
      </c>
      <c r="I150" s="42">
        <v>0.28169</v>
      </c>
      <c r="J150" s="42">
        <v>0.26690999999999998</v>
      </c>
      <c r="L150" s="20">
        <v>548</v>
      </c>
      <c r="M150">
        <f t="shared" si="17"/>
        <v>1.0444800000000001</v>
      </c>
      <c r="N150">
        <f t="shared" si="18"/>
        <v>0.93535999999999997</v>
      </c>
      <c r="O150">
        <f t="shared" si="19"/>
        <v>1.1262399999999999</v>
      </c>
      <c r="P150">
        <f t="shared" si="20"/>
        <v>1.07484</v>
      </c>
      <c r="Q150">
        <f t="shared" si="21"/>
        <v>1.0918000000000001</v>
      </c>
      <c r="R150">
        <f t="shared" si="22"/>
        <v>1.1106</v>
      </c>
      <c r="S150">
        <f t="shared" si="23"/>
        <v>1.12676</v>
      </c>
      <c r="T150">
        <f t="shared" si="24"/>
        <v>1.0676399999999999</v>
      </c>
    </row>
    <row r="151" spans="2:20" x14ac:dyDescent="0.35">
      <c r="B151" s="42">
        <v>549</v>
      </c>
      <c r="C151" s="42">
        <v>0.26083000000000001</v>
      </c>
      <c r="D151" s="42">
        <v>0.23366999999999999</v>
      </c>
      <c r="E151" s="42">
        <v>0.28137000000000001</v>
      </c>
      <c r="F151" s="42">
        <v>0.26841999999999999</v>
      </c>
      <c r="G151" s="42">
        <v>0.27268999999999999</v>
      </c>
      <c r="H151" s="42">
        <v>0.27733000000000002</v>
      </c>
      <c r="I151" s="42">
        <v>0.28138999999999997</v>
      </c>
      <c r="J151" s="42">
        <v>0.26656000000000002</v>
      </c>
      <c r="L151" s="20">
        <v>549</v>
      </c>
      <c r="M151">
        <f t="shared" si="17"/>
        <v>1.04332</v>
      </c>
      <c r="N151">
        <f t="shared" si="18"/>
        <v>0.93467999999999996</v>
      </c>
      <c r="O151">
        <f t="shared" si="19"/>
        <v>1.12548</v>
      </c>
      <c r="P151">
        <f t="shared" si="20"/>
        <v>1.07368</v>
      </c>
      <c r="Q151">
        <f t="shared" si="21"/>
        <v>1.09076</v>
      </c>
      <c r="R151">
        <f t="shared" si="22"/>
        <v>1.1093200000000001</v>
      </c>
      <c r="S151">
        <f t="shared" si="23"/>
        <v>1.1255599999999999</v>
      </c>
      <c r="T151">
        <f t="shared" si="24"/>
        <v>1.0662400000000001</v>
      </c>
    </row>
    <row r="152" spans="2:20" x14ac:dyDescent="0.35">
      <c r="B152" s="42">
        <v>550</v>
      </c>
      <c r="C152" s="42">
        <v>0.26050000000000001</v>
      </c>
      <c r="D152" s="42">
        <v>0.23336999999999999</v>
      </c>
      <c r="E152" s="42">
        <v>0.28105000000000002</v>
      </c>
      <c r="F152" s="42">
        <v>0.26807999999999998</v>
      </c>
      <c r="G152" s="42">
        <v>0.27231</v>
      </c>
      <c r="H152" s="42">
        <v>0.27692</v>
      </c>
      <c r="I152" s="42">
        <v>0.28095999999999999</v>
      </c>
      <c r="J152" s="42">
        <v>0.26627000000000001</v>
      </c>
      <c r="L152" s="20">
        <v>550</v>
      </c>
      <c r="M152">
        <f t="shared" si="17"/>
        <v>1.042</v>
      </c>
      <c r="N152">
        <f t="shared" si="18"/>
        <v>0.93347999999999998</v>
      </c>
      <c r="O152">
        <f t="shared" si="19"/>
        <v>1.1242000000000001</v>
      </c>
      <c r="P152">
        <f t="shared" si="20"/>
        <v>1.0723199999999999</v>
      </c>
      <c r="Q152">
        <f t="shared" si="21"/>
        <v>1.08924</v>
      </c>
      <c r="R152">
        <f t="shared" si="22"/>
        <v>1.10768</v>
      </c>
      <c r="S152">
        <f t="shared" si="23"/>
        <v>1.12384</v>
      </c>
      <c r="T152">
        <f t="shared" si="24"/>
        <v>1.06508</v>
      </c>
    </row>
    <row r="153" spans="2:20" x14ac:dyDescent="0.35">
      <c r="B153" s="42">
        <v>551</v>
      </c>
      <c r="C153" s="42">
        <v>0.26007000000000002</v>
      </c>
      <c r="D153" s="42">
        <v>0.23305000000000001</v>
      </c>
      <c r="E153" s="42">
        <v>0.28065000000000001</v>
      </c>
      <c r="F153" s="42">
        <v>0.26776</v>
      </c>
      <c r="G153" s="42">
        <v>0.27184000000000003</v>
      </c>
      <c r="H153" s="42">
        <v>0.27644000000000002</v>
      </c>
      <c r="I153" s="42">
        <v>0.28061999999999998</v>
      </c>
      <c r="J153" s="42">
        <v>0.26587</v>
      </c>
      <c r="L153" s="20">
        <v>551</v>
      </c>
      <c r="M153">
        <f t="shared" si="17"/>
        <v>1.0402800000000001</v>
      </c>
      <c r="N153">
        <f t="shared" si="18"/>
        <v>0.93220000000000003</v>
      </c>
      <c r="O153">
        <f t="shared" si="19"/>
        <v>1.1226</v>
      </c>
      <c r="P153">
        <f t="shared" si="20"/>
        <v>1.07104</v>
      </c>
      <c r="Q153">
        <f t="shared" si="21"/>
        <v>1.0873600000000001</v>
      </c>
      <c r="R153">
        <f t="shared" si="22"/>
        <v>1.1057600000000001</v>
      </c>
      <c r="S153">
        <f t="shared" si="23"/>
        <v>1.1224799999999999</v>
      </c>
      <c r="T153">
        <f t="shared" si="24"/>
        <v>1.06348</v>
      </c>
    </row>
    <row r="154" spans="2:20" x14ac:dyDescent="0.35">
      <c r="B154" s="42">
        <v>552</v>
      </c>
      <c r="C154" s="42">
        <v>0.25980999999999999</v>
      </c>
      <c r="D154" s="42">
        <v>0.23275999999999999</v>
      </c>
      <c r="E154" s="42">
        <v>0.28043000000000001</v>
      </c>
      <c r="F154" s="42">
        <v>0.26756000000000002</v>
      </c>
      <c r="G154" s="42">
        <v>0.27163999999999999</v>
      </c>
      <c r="H154" s="42">
        <v>0.27615000000000001</v>
      </c>
      <c r="I154" s="42">
        <v>0.28023999999999999</v>
      </c>
      <c r="J154" s="42">
        <v>0.26556000000000002</v>
      </c>
      <c r="L154" s="20">
        <v>552</v>
      </c>
      <c r="M154">
        <f t="shared" si="17"/>
        <v>1.0392399999999999</v>
      </c>
      <c r="N154">
        <f t="shared" si="18"/>
        <v>0.93103999999999998</v>
      </c>
      <c r="O154">
        <f t="shared" si="19"/>
        <v>1.1217200000000001</v>
      </c>
      <c r="P154">
        <f t="shared" si="20"/>
        <v>1.0702400000000001</v>
      </c>
      <c r="Q154">
        <f t="shared" si="21"/>
        <v>1.08656</v>
      </c>
      <c r="R154">
        <f t="shared" si="22"/>
        <v>1.1046</v>
      </c>
      <c r="S154">
        <f t="shared" si="23"/>
        <v>1.12096</v>
      </c>
      <c r="T154">
        <f t="shared" si="24"/>
        <v>1.0622400000000001</v>
      </c>
    </row>
    <row r="155" spans="2:20" x14ac:dyDescent="0.35">
      <c r="B155" s="42">
        <v>553</v>
      </c>
      <c r="C155" s="42">
        <v>0.25957999999999998</v>
      </c>
      <c r="D155" s="42">
        <v>0.23257</v>
      </c>
      <c r="E155" s="42">
        <v>0.2802</v>
      </c>
      <c r="F155" s="42">
        <v>0.26723999999999998</v>
      </c>
      <c r="G155" s="42">
        <v>0.27135999999999999</v>
      </c>
      <c r="H155" s="42">
        <v>0.27582000000000001</v>
      </c>
      <c r="I155" s="42">
        <v>0.27994000000000002</v>
      </c>
      <c r="J155" s="42">
        <v>0.26523000000000002</v>
      </c>
      <c r="L155" s="20">
        <v>553</v>
      </c>
      <c r="M155">
        <f t="shared" si="17"/>
        <v>1.0383199999999999</v>
      </c>
      <c r="N155">
        <f t="shared" si="18"/>
        <v>0.93028</v>
      </c>
      <c r="O155">
        <f t="shared" si="19"/>
        <v>1.1208</v>
      </c>
      <c r="P155">
        <f t="shared" si="20"/>
        <v>1.0689599999999999</v>
      </c>
      <c r="Q155">
        <f t="shared" si="21"/>
        <v>1.08544</v>
      </c>
      <c r="R155">
        <f t="shared" si="22"/>
        <v>1.10328</v>
      </c>
      <c r="S155">
        <f t="shared" si="23"/>
        <v>1.1197600000000001</v>
      </c>
      <c r="T155">
        <f t="shared" si="24"/>
        <v>1.0609200000000001</v>
      </c>
    </row>
    <row r="156" spans="2:20" x14ac:dyDescent="0.35">
      <c r="B156" s="42">
        <v>554</v>
      </c>
      <c r="C156" s="42">
        <v>0.25928000000000001</v>
      </c>
      <c r="D156" s="42">
        <v>0.23236000000000001</v>
      </c>
      <c r="E156" s="42">
        <v>0.28003</v>
      </c>
      <c r="F156" s="42">
        <v>0.26706000000000002</v>
      </c>
      <c r="G156" s="42">
        <v>0.27095000000000002</v>
      </c>
      <c r="H156" s="42">
        <v>0.27544999999999997</v>
      </c>
      <c r="I156" s="42">
        <v>0.27968999999999999</v>
      </c>
      <c r="J156" s="42">
        <v>0.26497999999999999</v>
      </c>
      <c r="L156" s="20">
        <v>554</v>
      </c>
      <c r="M156">
        <f t="shared" si="17"/>
        <v>1.03712</v>
      </c>
      <c r="N156">
        <f t="shared" si="18"/>
        <v>0.92944000000000004</v>
      </c>
      <c r="O156">
        <f t="shared" si="19"/>
        <v>1.12012</v>
      </c>
      <c r="P156">
        <f t="shared" si="20"/>
        <v>1.0682400000000001</v>
      </c>
      <c r="Q156">
        <f t="shared" si="21"/>
        <v>1.0838000000000001</v>
      </c>
      <c r="R156">
        <f t="shared" si="22"/>
        <v>1.1017999999999999</v>
      </c>
      <c r="S156">
        <f t="shared" si="23"/>
        <v>1.11876</v>
      </c>
      <c r="T156">
        <f t="shared" si="24"/>
        <v>1.05992</v>
      </c>
    </row>
    <row r="157" spans="2:20" x14ac:dyDescent="0.35">
      <c r="B157" s="42">
        <v>555</v>
      </c>
      <c r="C157" s="42">
        <v>0.25917000000000001</v>
      </c>
      <c r="D157" s="42">
        <v>0.23202999999999999</v>
      </c>
      <c r="E157" s="42">
        <v>0.27984999999999999</v>
      </c>
      <c r="F157" s="42">
        <v>0.26685999999999999</v>
      </c>
      <c r="G157" s="42">
        <v>0.27074999999999999</v>
      </c>
      <c r="H157" s="42">
        <v>0.27521000000000001</v>
      </c>
      <c r="I157" s="42">
        <v>0.27939000000000003</v>
      </c>
      <c r="J157" s="42">
        <v>0.26466000000000001</v>
      </c>
      <c r="L157" s="20">
        <v>555</v>
      </c>
      <c r="M157">
        <f t="shared" si="17"/>
        <v>1.03668</v>
      </c>
      <c r="N157">
        <f t="shared" si="18"/>
        <v>0.92811999999999995</v>
      </c>
      <c r="O157">
        <f t="shared" si="19"/>
        <v>1.1194</v>
      </c>
      <c r="P157">
        <f t="shared" si="20"/>
        <v>1.0674399999999999</v>
      </c>
      <c r="Q157">
        <f t="shared" si="21"/>
        <v>1.083</v>
      </c>
      <c r="R157">
        <f t="shared" si="22"/>
        <v>1.10084</v>
      </c>
      <c r="S157">
        <f t="shared" si="23"/>
        <v>1.1175600000000001</v>
      </c>
      <c r="T157">
        <f t="shared" si="24"/>
        <v>1.05864</v>
      </c>
    </row>
    <row r="158" spans="2:20" x14ac:dyDescent="0.35">
      <c r="B158" s="42">
        <v>556</v>
      </c>
      <c r="C158" s="42">
        <v>0.25890999999999997</v>
      </c>
      <c r="D158" s="42">
        <v>0.23196</v>
      </c>
      <c r="E158" s="42">
        <v>0.27959000000000001</v>
      </c>
      <c r="F158" s="42">
        <v>0.26662999999999998</v>
      </c>
      <c r="G158" s="42">
        <v>0.27043</v>
      </c>
      <c r="H158" s="42">
        <v>0.27492</v>
      </c>
      <c r="I158" s="42">
        <v>0.27898000000000001</v>
      </c>
      <c r="J158" s="42">
        <v>0.26436999999999999</v>
      </c>
      <c r="L158" s="20">
        <v>556</v>
      </c>
      <c r="M158">
        <f t="shared" si="17"/>
        <v>1.0356399999999999</v>
      </c>
      <c r="N158">
        <f t="shared" si="18"/>
        <v>0.92784</v>
      </c>
      <c r="O158">
        <f t="shared" si="19"/>
        <v>1.11836</v>
      </c>
      <c r="P158">
        <f t="shared" si="20"/>
        <v>1.0665199999999999</v>
      </c>
      <c r="Q158">
        <f t="shared" si="21"/>
        <v>1.08172</v>
      </c>
      <c r="R158">
        <f t="shared" si="22"/>
        <v>1.09968</v>
      </c>
      <c r="S158">
        <f t="shared" si="23"/>
        <v>1.11592</v>
      </c>
      <c r="T158">
        <f t="shared" si="24"/>
        <v>1.05748</v>
      </c>
    </row>
    <row r="159" spans="2:20" x14ac:dyDescent="0.35">
      <c r="B159" s="42">
        <v>557</v>
      </c>
      <c r="C159" s="42">
        <v>0.25864999999999999</v>
      </c>
      <c r="D159" s="42">
        <v>0.23166</v>
      </c>
      <c r="E159" s="42">
        <v>0.27936</v>
      </c>
      <c r="F159" s="42">
        <v>0.26641999999999999</v>
      </c>
      <c r="G159" s="42">
        <v>0.27011000000000002</v>
      </c>
      <c r="H159" s="42">
        <v>0.27461000000000002</v>
      </c>
      <c r="I159" s="42">
        <v>0.2787</v>
      </c>
      <c r="J159" s="42">
        <v>0.26404</v>
      </c>
      <c r="L159" s="20">
        <v>557</v>
      </c>
      <c r="M159">
        <f t="shared" si="17"/>
        <v>1.0346</v>
      </c>
      <c r="N159">
        <f t="shared" si="18"/>
        <v>0.92664000000000002</v>
      </c>
      <c r="O159">
        <f t="shared" si="19"/>
        <v>1.11744</v>
      </c>
      <c r="P159">
        <f t="shared" si="20"/>
        <v>1.06568</v>
      </c>
      <c r="Q159">
        <f t="shared" si="21"/>
        <v>1.0804400000000001</v>
      </c>
      <c r="R159">
        <f t="shared" si="22"/>
        <v>1.0984400000000001</v>
      </c>
      <c r="S159">
        <f t="shared" si="23"/>
        <v>1.1148</v>
      </c>
      <c r="T159">
        <f t="shared" si="24"/>
        <v>1.05616</v>
      </c>
    </row>
    <row r="160" spans="2:20" x14ac:dyDescent="0.35">
      <c r="B160" s="42">
        <v>558</v>
      </c>
      <c r="C160" s="42">
        <v>0.25845000000000001</v>
      </c>
      <c r="D160" s="42">
        <v>0.23158000000000001</v>
      </c>
      <c r="E160" s="42">
        <v>0.27918999999999999</v>
      </c>
      <c r="F160" s="42">
        <v>0.26635999999999999</v>
      </c>
      <c r="G160" s="42">
        <v>0.26990999999999998</v>
      </c>
      <c r="H160" s="42">
        <v>0.27440999999999999</v>
      </c>
      <c r="I160" s="42">
        <v>0.27847</v>
      </c>
      <c r="J160" s="42">
        <v>0.26380999999999999</v>
      </c>
      <c r="L160" s="20">
        <v>558</v>
      </c>
      <c r="M160">
        <f t="shared" si="17"/>
        <v>1.0338000000000001</v>
      </c>
      <c r="N160">
        <f t="shared" si="18"/>
        <v>0.92632000000000003</v>
      </c>
      <c r="O160">
        <f t="shared" si="19"/>
        <v>1.11676</v>
      </c>
      <c r="P160">
        <f t="shared" si="20"/>
        <v>1.0654399999999999</v>
      </c>
      <c r="Q160">
        <f t="shared" si="21"/>
        <v>1.0796399999999999</v>
      </c>
      <c r="R160">
        <f t="shared" si="22"/>
        <v>1.0976399999999999</v>
      </c>
      <c r="S160">
        <f t="shared" si="23"/>
        <v>1.11388</v>
      </c>
      <c r="T160">
        <f t="shared" si="24"/>
        <v>1.05524</v>
      </c>
    </row>
    <row r="161" spans="2:20" x14ac:dyDescent="0.35">
      <c r="B161" s="42">
        <v>559</v>
      </c>
      <c r="C161" s="42">
        <v>0.25833</v>
      </c>
      <c r="D161" s="42">
        <v>0.23141</v>
      </c>
      <c r="E161" s="42">
        <v>0.27912999999999999</v>
      </c>
      <c r="F161" s="42">
        <v>0.26616000000000001</v>
      </c>
      <c r="G161" s="42">
        <v>0.26971000000000001</v>
      </c>
      <c r="H161" s="42">
        <v>0.27417000000000002</v>
      </c>
      <c r="I161" s="42">
        <v>0.27821000000000001</v>
      </c>
      <c r="J161" s="42">
        <v>0.26357999999999998</v>
      </c>
      <c r="L161" s="20">
        <v>559</v>
      </c>
      <c r="M161">
        <f t="shared" si="17"/>
        <v>1.03332</v>
      </c>
      <c r="N161">
        <f t="shared" si="18"/>
        <v>0.92564000000000002</v>
      </c>
      <c r="O161">
        <f t="shared" si="19"/>
        <v>1.11652</v>
      </c>
      <c r="P161">
        <f t="shared" si="20"/>
        <v>1.06464</v>
      </c>
      <c r="Q161">
        <f t="shared" si="21"/>
        <v>1.07884</v>
      </c>
      <c r="R161">
        <f t="shared" si="22"/>
        <v>1.0966800000000001</v>
      </c>
      <c r="S161">
        <f t="shared" si="23"/>
        <v>1.1128400000000001</v>
      </c>
      <c r="T161">
        <f t="shared" si="24"/>
        <v>1.0543199999999999</v>
      </c>
    </row>
    <row r="162" spans="2:20" x14ac:dyDescent="0.35">
      <c r="B162" s="42">
        <v>560</v>
      </c>
      <c r="C162" s="42">
        <v>0.25816</v>
      </c>
      <c r="D162" s="42">
        <v>0.23135</v>
      </c>
      <c r="E162" s="42">
        <v>0.27906999999999998</v>
      </c>
      <c r="F162" s="42">
        <v>0.26613999999999999</v>
      </c>
      <c r="G162" s="42">
        <v>0.26945000000000002</v>
      </c>
      <c r="H162" s="42">
        <v>0.27393000000000001</v>
      </c>
      <c r="I162" s="42">
        <v>0.27805000000000002</v>
      </c>
      <c r="J162" s="42">
        <v>0.26336999999999999</v>
      </c>
      <c r="L162" s="20">
        <v>560</v>
      </c>
      <c r="M162">
        <f t="shared" si="17"/>
        <v>1.03264</v>
      </c>
      <c r="N162">
        <f t="shared" si="18"/>
        <v>0.9254</v>
      </c>
      <c r="O162">
        <f t="shared" si="19"/>
        <v>1.1162799999999999</v>
      </c>
      <c r="P162">
        <f t="shared" si="20"/>
        <v>1.06456</v>
      </c>
      <c r="Q162">
        <f t="shared" si="21"/>
        <v>1.0778000000000001</v>
      </c>
      <c r="R162">
        <f t="shared" si="22"/>
        <v>1.09572</v>
      </c>
      <c r="S162">
        <f t="shared" si="23"/>
        <v>1.1122000000000001</v>
      </c>
      <c r="T162">
        <f t="shared" si="24"/>
        <v>1.05348</v>
      </c>
    </row>
    <row r="163" spans="2:20" x14ac:dyDescent="0.35">
      <c r="B163" s="42">
        <v>561</v>
      </c>
      <c r="C163" s="42">
        <v>0.25808999999999999</v>
      </c>
      <c r="D163" s="42">
        <v>0.23116999999999999</v>
      </c>
      <c r="E163" s="42">
        <v>0.27889999999999998</v>
      </c>
      <c r="F163" s="42">
        <v>0.26597999999999999</v>
      </c>
      <c r="G163" s="42">
        <v>0.26921</v>
      </c>
      <c r="H163" s="42">
        <v>0.27372999999999997</v>
      </c>
      <c r="I163" s="42">
        <v>0.27778999999999998</v>
      </c>
      <c r="J163" s="42">
        <v>0.26311000000000001</v>
      </c>
      <c r="L163" s="20">
        <v>561</v>
      </c>
      <c r="M163">
        <f t="shared" si="17"/>
        <v>1.0323599999999999</v>
      </c>
      <c r="N163">
        <f t="shared" si="18"/>
        <v>0.92467999999999995</v>
      </c>
      <c r="O163">
        <f t="shared" si="19"/>
        <v>1.1155999999999999</v>
      </c>
      <c r="P163">
        <f t="shared" si="20"/>
        <v>1.06392</v>
      </c>
      <c r="Q163">
        <f t="shared" si="21"/>
        <v>1.07684</v>
      </c>
      <c r="R163">
        <f t="shared" si="22"/>
        <v>1.0949199999999999</v>
      </c>
      <c r="S163">
        <f t="shared" si="23"/>
        <v>1.1111599999999999</v>
      </c>
      <c r="T163">
        <f t="shared" si="24"/>
        <v>1.05244</v>
      </c>
    </row>
    <row r="164" spans="2:20" x14ac:dyDescent="0.35">
      <c r="B164" s="42">
        <v>562</v>
      </c>
      <c r="C164" s="42">
        <v>0.25800000000000001</v>
      </c>
      <c r="D164" s="42">
        <v>0.23111000000000001</v>
      </c>
      <c r="E164" s="42">
        <v>0.27898000000000001</v>
      </c>
      <c r="F164" s="42">
        <v>0.26593</v>
      </c>
      <c r="G164" s="42">
        <v>0.26906000000000002</v>
      </c>
      <c r="H164" s="42">
        <v>0.27348</v>
      </c>
      <c r="I164" s="42">
        <v>0.27755999999999997</v>
      </c>
      <c r="J164" s="42">
        <v>0.26299</v>
      </c>
      <c r="L164" s="20">
        <v>562</v>
      </c>
      <c r="M164">
        <f t="shared" si="17"/>
        <v>1.032</v>
      </c>
      <c r="N164">
        <f t="shared" si="18"/>
        <v>0.92444000000000004</v>
      </c>
      <c r="O164">
        <f t="shared" si="19"/>
        <v>1.11592</v>
      </c>
      <c r="P164">
        <f t="shared" si="20"/>
        <v>1.06372</v>
      </c>
      <c r="Q164">
        <f t="shared" si="21"/>
        <v>1.0762400000000001</v>
      </c>
      <c r="R164">
        <f t="shared" si="22"/>
        <v>1.09392</v>
      </c>
      <c r="S164">
        <f t="shared" si="23"/>
        <v>1.1102399999999999</v>
      </c>
      <c r="T164">
        <f t="shared" si="24"/>
        <v>1.05196</v>
      </c>
    </row>
    <row r="165" spans="2:20" x14ac:dyDescent="0.35">
      <c r="B165" s="42">
        <v>563</v>
      </c>
      <c r="C165" s="42">
        <v>0.25791999999999998</v>
      </c>
      <c r="D165" s="42">
        <v>0.23103000000000001</v>
      </c>
      <c r="E165" s="42">
        <v>0.27883999999999998</v>
      </c>
      <c r="F165" s="42">
        <v>0.26584999999999998</v>
      </c>
      <c r="G165" s="42">
        <v>0.26880999999999999</v>
      </c>
      <c r="H165" s="42">
        <v>0.27332000000000001</v>
      </c>
      <c r="I165" s="42">
        <v>0.27744999999999997</v>
      </c>
      <c r="J165" s="42">
        <v>0.26273000000000002</v>
      </c>
      <c r="L165" s="20">
        <v>563</v>
      </c>
      <c r="M165">
        <f t="shared" si="17"/>
        <v>1.0316799999999999</v>
      </c>
      <c r="N165">
        <f t="shared" si="18"/>
        <v>0.92412000000000005</v>
      </c>
      <c r="O165">
        <f t="shared" si="19"/>
        <v>1.1153599999999999</v>
      </c>
      <c r="P165">
        <f t="shared" si="20"/>
        <v>1.0633999999999999</v>
      </c>
      <c r="Q165">
        <f t="shared" si="21"/>
        <v>1.07524</v>
      </c>
      <c r="R165">
        <f t="shared" si="22"/>
        <v>1.09328</v>
      </c>
      <c r="S165">
        <f t="shared" si="23"/>
        <v>1.1097999999999999</v>
      </c>
      <c r="T165">
        <f t="shared" si="24"/>
        <v>1.0509200000000001</v>
      </c>
    </row>
    <row r="166" spans="2:20" x14ac:dyDescent="0.35">
      <c r="B166" s="42">
        <v>564</v>
      </c>
      <c r="C166" s="42">
        <v>0.25797999999999999</v>
      </c>
      <c r="D166" s="42">
        <v>0.23103000000000001</v>
      </c>
      <c r="E166" s="42">
        <v>0.27892</v>
      </c>
      <c r="F166" s="42">
        <v>0.26605000000000001</v>
      </c>
      <c r="G166" s="42">
        <v>0.26885999999999999</v>
      </c>
      <c r="H166" s="42">
        <v>0.27324999999999999</v>
      </c>
      <c r="I166" s="42">
        <v>0.27728000000000003</v>
      </c>
      <c r="J166" s="42">
        <v>0.26264999999999999</v>
      </c>
      <c r="L166" s="20">
        <v>564</v>
      </c>
      <c r="M166">
        <f t="shared" si="17"/>
        <v>1.0319199999999999</v>
      </c>
      <c r="N166">
        <f t="shared" si="18"/>
        <v>0.92412000000000005</v>
      </c>
      <c r="O166">
        <f t="shared" si="19"/>
        <v>1.11568</v>
      </c>
      <c r="P166">
        <f t="shared" si="20"/>
        <v>1.0642</v>
      </c>
      <c r="Q166">
        <f t="shared" si="21"/>
        <v>1.07544</v>
      </c>
      <c r="R166">
        <f t="shared" si="22"/>
        <v>1.093</v>
      </c>
      <c r="S166">
        <f t="shared" si="23"/>
        <v>1.1091200000000001</v>
      </c>
      <c r="T166">
        <f t="shared" si="24"/>
        <v>1.0506</v>
      </c>
    </row>
    <row r="167" spans="2:20" x14ac:dyDescent="0.35">
      <c r="B167" s="42">
        <v>565</v>
      </c>
      <c r="C167" s="42">
        <v>0.25780999999999998</v>
      </c>
      <c r="D167" s="42">
        <v>0.23099</v>
      </c>
      <c r="E167" s="42">
        <v>0.27877999999999997</v>
      </c>
      <c r="F167" s="42">
        <v>0.26584999999999998</v>
      </c>
      <c r="G167" s="42">
        <v>0.26851999999999998</v>
      </c>
      <c r="H167" s="42">
        <v>0.27295999999999998</v>
      </c>
      <c r="I167" s="42">
        <v>0.27698</v>
      </c>
      <c r="J167" s="42">
        <v>0.26240999999999998</v>
      </c>
      <c r="L167" s="20">
        <v>565</v>
      </c>
      <c r="M167">
        <f t="shared" si="17"/>
        <v>1.0312399999999999</v>
      </c>
      <c r="N167">
        <f t="shared" si="18"/>
        <v>0.92396</v>
      </c>
      <c r="O167">
        <f t="shared" si="19"/>
        <v>1.1151199999999999</v>
      </c>
      <c r="P167">
        <f t="shared" si="20"/>
        <v>1.0633999999999999</v>
      </c>
      <c r="Q167">
        <f t="shared" si="21"/>
        <v>1.0740799999999999</v>
      </c>
      <c r="R167">
        <f t="shared" si="22"/>
        <v>1.0918399999999999</v>
      </c>
      <c r="S167">
        <f t="shared" si="23"/>
        <v>1.10792</v>
      </c>
      <c r="T167">
        <f t="shared" si="24"/>
        <v>1.0496399999999999</v>
      </c>
    </row>
    <row r="168" spans="2:20" x14ac:dyDescent="0.35">
      <c r="B168" s="42">
        <v>566</v>
      </c>
      <c r="C168" s="42">
        <v>0.25796999999999998</v>
      </c>
      <c r="D168" s="42">
        <v>0.23102</v>
      </c>
      <c r="E168" s="42">
        <v>0.27881</v>
      </c>
      <c r="F168" s="42">
        <v>0.26588000000000001</v>
      </c>
      <c r="G168" s="42">
        <v>0.26837</v>
      </c>
      <c r="H168" s="42">
        <v>0.27287</v>
      </c>
      <c r="I168" s="42">
        <v>0.27689000000000002</v>
      </c>
      <c r="J168" s="42">
        <v>0.26230999999999999</v>
      </c>
      <c r="L168" s="20">
        <v>566</v>
      </c>
      <c r="M168">
        <f t="shared" si="17"/>
        <v>1.0318799999999999</v>
      </c>
      <c r="N168">
        <f t="shared" si="18"/>
        <v>0.92408000000000001</v>
      </c>
      <c r="O168">
        <f t="shared" si="19"/>
        <v>1.11524</v>
      </c>
      <c r="P168">
        <f t="shared" si="20"/>
        <v>1.06352</v>
      </c>
      <c r="Q168">
        <f t="shared" si="21"/>
        <v>1.07348</v>
      </c>
      <c r="R168">
        <f t="shared" si="22"/>
        <v>1.09148</v>
      </c>
      <c r="S168">
        <f t="shared" si="23"/>
        <v>1.1075600000000001</v>
      </c>
      <c r="T168">
        <f t="shared" si="24"/>
        <v>1.04924</v>
      </c>
    </row>
    <row r="169" spans="2:20" x14ac:dyDescent="0.35">
      <c r="B169" s="42">
        <v>567</v>
      </c>
      <c r="C169" s="42">
        <v>0.25800000000000001</v>
      </c>
      <c r="D169" s="42">
        <v>0.23105999999999999</v>
      </c>
      <c r="E169" s="42">
        <v>0.27894999999999998</v>
      </c>
      <c r="F169" s="42">
        <v>0.26595000000000002</v>
      </c>
      <c r="G169" s="42">
        <v>0.26833000000000001</v>
      </c>
      <c r="H169" s="42">
        <v>0.27273999999999998</v>
      </c>
      <c r="I169" s="42">
        <v>0.27687</v>
      </c>
      <c r="J169" s="42">
        <v>0.26216</v>
      </c>
      <c r="L169" s="20">
        <v>567</v>
      </c>
      <c r="M169">
        <f t="shared" si="17"/>
        <v>1.032</v>
      </c>
      <c r="N169">
        <f t="shared" si="18"/>
        <v>0.92423999999999995</v>
      </c>
      <c r="O169">
        <f t="shared" si="19"/>
        <v>1.1157999999999999</v>
      </c>
      <c r="P169">
        <f t="shared" si="20"/>
        <v>1.0638000000000001</v>
      </c>
      <c r="Q169">
        <f t="shared" si="21"/>
        <v>1.0733200000000001</v>
      </c>
      <c r="R169">
        <f t="shared" si="22"/>
        <v>1.0909599999999999</v>
      </c>
      <c r="S169">
        <f t="shared" si="23"/>
        <v>1.10748</v>
      </c>
      <c r="T169">
        <f t="shared" si="24"/>
        <v>1.04864</v>
      </c>
    </row>
    <row r="170" spans="2:20" x14ac:dyDescent="0.35">
      <c r="B170" s="42">
        <v>568</v>
      </c>
      <c r="C170" s="42">
        <v>0.25802999999999998</v>
      </c>
      <c r="D170" s="42">
        <v>0.23103000000000001</v>
      </c>
      <c r="E170" s="42">
        <v>0.27895999999999999</v>
      </c>
      <c r="F170" s="42">
        <v>0.26601999999999998</v>
      </c>
      <c r="G170" s="42">
        <v>0.26816000000000001</v>
      </c>
      <c r="H170" s="42">
        <v>0.27272000000000002</v>
      </c>
      <c r="I170" s="42">
        <v>0.2767</v>
      </c>
      <c r="J170" s="42">
        <v>0.26199</v>
      </c>
      <c r="L170" s="20">
        <v>568</v>
      </c>
      <c r="M170">
        <f t="shared" si="17"/>
        <v>1.0321199999999999</v>
      </c>
      <c r="N170">
        <f t="shared" si="18"/>
        <v>0.92412000000000005</v>
      </c>
      <c r="O170">
        <f t="shared" si="19"/>
        <v>1.1158399999999999</v>
      </c>
      <c r="P170">
        <f t="shared" si="20"/>
        <v>1.0640799999999999</v>
      </c>
      <c r="Q170">
        <f t="shared" si="21"/>
        <v>1.07264</v>
      </c>
      <c r="R170">
        <f t="shared" si="22"/>
        <v>1.0908800000000001</v>
      </c>
      <c r="S170">
        <f t="shared" si="23"/>
        <v>1.1068</v>
      </c>
      <c r="T170">
        <f t="shared" si="24"/>
        <v>1.04796</v>
      </c>
    </row>
    <row r="171" spans="2:20" x14ac:dyDescent="0.35">
      <c r="B171" s="42">
        <v>569</v>
      </c>
      <c r="C171" s="42">
        <v>0.25803999999999999</v>
      </c>
      <c r="D171" s="42">
        <v>0.23111999999999999</v>
      </c>
      <c r="E171" s="42">
        <v>0.27905000000000002</v>
      </c>
      <c r="F171" s="42">
        <v>0.2661</v>
      </c>
      <c r="G171" s="42">
        <v>0.26804</v>
      </c>
      <c r="H171" s="42">
        <v>0.27254</v>
      </c>
      <c r="I171" s="42">
        <v>0.27651999999999999</v>
      </c>
      <c r="J171" s="42">
        <v>0.26190000000000002</v>
      </c>
      <c r="L171" s="20">
        <v>569</v>
      </c>
      <c r="M171">
        <f t="shared" si="17"/>
        <v>1.03216</v>
      </c>
      <c r="N171">
        <f t="shared" si="18"/>
        <v>0.92447999999999997</v>
      </c>
      <c r="O171">
        <f t="shared" si="19"/>
        <v>1.1162000000000001</v>
      </c>
      <c r="P171">
        <f t="shared" si="20"/>
        <v>1.0644</v>
      </c>
      <c r="Q171">
        <f t="shared" si="21"/>
        <v>1.07216</v>
      </c>
      <c r="R171">
        <f t="shared" si="22"/>
        <v>1.09016</v>
      </c>
      <c r="S171">
        <f t="shared" si="23"/>
        <v>1.10608</v>
      </c>
      <c r="T171">
        <f t="shared" si="24"/>
        <v>1.0476000000000001</v>
      </c>
    </row>
    <row r="172" spans="2:20" x14ac:dyDescent="0.35">
      <c r="B172" s="42">
        <v>570</v>
      </c>
      <c r="C172" s="42">
        <v>0.25818000000000002</v>
      </c>
      <c r="D172" s="42">
        <v>0.23130999999999999</v>
      </c>
      <c r="E172" s="42">
        <v>0.27922000000000002</v>
      </c>
      <c r="F172" s="42">
        <v>0.26619999999999999</v>
      </c>
      <c r="G172" s="42">
        <v>0.26804</v>
      </c>
      <c r="H172" s="42">
        <v>0.27248</v>
      </c>
      <c r="I172" s="42">
        <v>0.27643000000000001</v>
      </c>
      <c r="J172" s="42">
        <v>0.26186999999999999</v>
      </c>
      <c r="L172" s="20">
        <v>570</v>
      </c>
      <c r="M172">
        <f t="shared" si="17"/>
        <v>1.0327200000000001</v>
      </c>
      <c r="N172">
        <f t="shared" si="18"/>
        <v>0.92523999999999995</v>
      </c>
      <c r="O172">
        <f t="shared" si="19"/>
        <v>1.1168800000000001</v>
      </c>
      <c r="P172">
        <f t="shared" si="20"/>
        <v>1.0648</v>
      </c>
      <c r="Q172">
        <f t="shared" si="21"/>
        <v>1.07216</v>
      </c>
      <c r="R172">
        <f t="shared" si="22"/>
        <v>1.08992</v>
      </c>
      <c r="S172">
        <f t="shared" si="23"/>
        <v>1.10572</v>
      </c>
      <c r="T172">
        <f t="shared" si="24"/>
        <v>1.04748</v>
      </c>
    </row>
    <row r="173" spans="2:20" x14ac:dyDescent="0.35">
      <c r="B173" s="42">
        <v>571</v>
      </c>
      <c r="C173" s="42">
        <v>0.25833</v>
      </c>
      <c r="D173" s="42">
        <v>0.23146</v>
      </c>
      <c r="E173" s="42">
        <v>0.27929999999999999</v>
      </c>
      <c r="F173" s="42">
        <v>0.26635999999999999</v>
      </c>
      <c r="G173" s="42">
        <v>0.26804</v>
      </c>
      <c r="H173" s="42">
        <v>0.27250999999999997</v>
      </c>
      <c r="I173" s="42">
        <v>0.27639999999999998</v>
      </c>
      <c r="J173" s="42">
        <v>0.26184000000000002</v>
      </c>
      <c r="L173" s="20">
        <v>571</v>
      </c>
      <c r="M173">
        <f t="shared" si="17"/>
        <v>1.03332</v>
      </c>
      <c r="N173">
        <f t="shared" si="18"/>
        <v>0.92584</v>
      </c>
      <c r="O173">
        <f t="shared" si="19"/>
        <v>1.1172</v>
      </c>
      <c r="P173">
        <f t="shared" si="20"/>
        <v>1.0654399999999999</v>
      </c>
      <c r="Q173">
        <f t="shared" si="21"/>
        <v>1.07216</v>
      </c>
      <c r="R173">
        <f t="shared" si="22"/>
        <v>1.0900399999999999</v>
      </c>
      <c r="S173">
        <f t="shared" si="23"/>
        <v>1.1055999999999999</v>
      </c>
      <c r="T173">
        <f t="shared" si="24"/>
        <v>1.0473600000000001</v>
      </c>
    </row>
    <row r="174" spans="2:20" x14ac:dyDescent="0.35">
      <c r="B174" s="42">
        <v>572</v>
      </c>
      <c r="C174" s="42">
        <v>0.25856000000000001</v>
      </c>
      <c r="D174" s="42">
        <v>0.23166</v>
      </c>
      <c r="E174" s="42">
        <v>0.27945999999999999</v>
      </c>
      <c r="F174" s="42">
        <v>0.26654</v>
      </c>
      <c r="G174" s="42">
        <v>0.26804</v>
      </c>
      <c r="H174" s="42">
        <v>0.27248</v>
      </c>
      <c r="I174" s="42">
        <v>0.27638000000000001</v>
      </c>
      <c r="J174" s="42">
        <v>0.26186999999999999</v>
      </c>
      <c r="L174" s="20">
        <v>572</v>
      </c>
      <c r="M174">
        <f t="shared" si="17"/>
        <v>1.03424</v>
      </c>
      <c r="N174">
        <f t="shared" si="18"/>
        <v>0.92664000000000002</v>
      </c>
      <c r="O174">
        <f t="shared" si="19"/>
        <v>1.1178399999999999</v>
      </c>
      <c r="P174">
        <f t="shared" si="20"/>
        <v>1.06616</v>
      </c>
      <c r="Q174">
        <f t="shared" si="21"/>
        <v>1.07216</v>
      </c>
      <c r="R174">
        <f t="shared" si="22"/>
        <v>1.08992</v>
      </c>
      <c r="S174">
        <f t="shared" si="23"/>
        <v>1.1055200000000001</v>
      </c>
      <c r="T174">
        <f t="shared" si="24"/>
        <v>1.04748</v>
      </c>
    </row>
    <row r="175" spans="2:20" x14ac:dyDescent="0.35">
      <c r="B175" s="42">
        <v>573</v>
      </c>
      <c r="C175" s="42">
        <v>0.25871</v>
      </c>
      <c r="D175" s="42">
        <v>0.23172000000000001</v>
      </c>
      <c r="E175" s="42">
        <v>0.27966000000000002</v>
      </c>
      <c r="F175" s="42">
        <v>0.26671</v>
      </c>
      <c r="G175" s="42">
        <v>0.26796999999999999</v>
      </c>
      <c r="H175" s="42">
        <v>0.27249000000000001</v>
      </c>
      <c r="I175" s="42">
        <v>0.27632000000000001</v>
      </c>
      <c r="J175" s="42">
        <v>0.26180999999999999</v>
      </c>
      <c r="L175" s="20">
        <v>573</v>
      </c>
      <c r="M175">
        <f t="shared" si="17"/>
        <v>1.03484</v>
      </c>
      <c r="N175">
        <f t="shared" si="18"/>
        <v>0.92688000000000004</v>
      </c>
      <c r="O175">
        <f t="shared" si="19"/>
        <v>1.1186400000000001</v>
      </c>
      <c r="P175">
        <f t="shared" si="20"/>
        <v>1.06684</v>
      </c>
      <c r="Q175">
        <f t="shared" si="21"/>
        <v>1.0718799999999999</v>
      </c>
      <c r="R175">
        <f t="shared" si="22"/>
        <v>1.08996</v>
      </c>
      <c r="S175">
        <f t="shared" si="23"/>
        <v>1.10528</v>
      </c>
      <c r="T175">
        <f t="shared" si="24"/>
        <v>1.0472399999999999</v>
      </c>
    </row>
    <row r="176" spans="2:20" x14ac:dyDescent="0.35">
      <c r="B176" s="42">
        <v>574</v>
      </c>
      <c r="C176" s="42">
        <v>0.25894</v>
      </c>
      <c r="D176" s="42">
        <v>0.23196</v>
      </c>
      <c r="E176" s="42">
        <v>0.27983000000000002</v>
      </c>
      <c r="F176" s="42">
        <v>0.26698</v>
      </c>
      <c r="G176" s="42">
        <v>0.26804</v>
      </c>
      <c r="H176" s="42">
        <v>0.27251999999999998</v>
      </c>
      <c r="I176" s="42">
        <v>0.27637</v>
      </c>
      <c r="J176" s="42">
        <v>0.26180999999999999</v>
      </c>
      <c r="L176" s="20">
        <v>574</v>
      </c>
      <c r="M176">
        <f t="shared" si="17"/>
        <v>1.03576</v>
      </c>
      <c r="N176">
        <f t="shared" si="18"/>
        <v>0.92784</v>
      </c>
      <c r="O176">
        <f t="shared" si="19"/>
        <v>1.1193200000000001</v>
      </c>
      <c r="P176">
        <f t="shared" si="20"/>
        <v>1.06792</v>
      </c>
      <c r="Q176">
        <f t="shared" si="21"/>
        <v>1.07216</v>
      </c>
      <c r="R176">
        <f t="shared" si="22"/>
        <v>1.0900799999999999</v>
      </c>
      <c r="S176">
        <f t="shared" si="23"/>
        <v>1.10548</v>
      </c>
      <c r="T176">
        <f t="shared" si="24"/>
        <v>1.0472399999999999</v>
      </c>
    </row>
    <row r="177" spans="2:20" x14ac:dyDescent="0.35">
      <c r="B177" s="42">
        <v>575</v>
      </c>
      <c r="C177" s="42">
        <v>0.25912000000000002</v>
      </c>
      <c r="D177" s="42">
        <v>0.23208999999999999</v>
      </c>
      <c r="E177" s="42">
        <v>0.27994000000000002</v>
      </c>
      <c r="F177" s="42">
        <v>0.26715</v>
      </c>
      <c r="G177" s="42">
        <v>0.26794000000000001</v>
      </c>
      <c r="H177" s="42">
        <v>0.27245000000000003</v>
      </c>
      <c r="I177" s="42">
        <v>0.27628999999999998</v>
      </c>
      <c r="J177" s="42">
        <v>0.26178000000000001</v>
      </c>
      <c r="L177" s="20">
        <v>575</v>
      </c>
      <c r="M177">
        <f t="shared" si="17"/>
        <v>1.0364800000000001</v>
      </c>
      <c r="N177">
        <f t="shared" si="18"/>
        <v>0.92835999999999996</v>
      </c>
      <c r="O177">
        <f t="shared" si="19"/>
        <v>1.1197600000000001</v>
      </c>
      <c r="P177">
        <f t="shared" si="20"/>
        <v>1.0686</v>
      </c>
      <c r="Q177">
        <f t="shared" si="21"/>
        <v>1.07176</v>
      </c>
      <c r="R177">
        <f t="shared" si="22"/>
        <v>1.0898000000000001</v>
      </c>
      <c r="S177">
        <f t="shared" si="23"/>
        <v>1.1051599999999999</v>
      </c>
      <c r="T177">
        <f t="shared" si="24"/>
        <v>1.0471200000000001</v>
      </c>
    </row>
    <row r="178" spans="2:20" x14ac:dyDescent="0.35">
      <c r="B178" s="42">
        <v>576</v>
      </c>
      <c r="C178" s="42">
        <v>0.25942999999999999</v>
      </c>
      <c r="D178" s="42">
        <v>0.23239000000000001</v>
      </c>
      <c r="E178" s="42">
        <v>0.28027000000000002</v>
      </c>
      <c r="F178" s="42">
        <v>0.26740999999999998</v>
      </c>
      <c r="G178" s="42">
        <v>0.26804</v>
      </c>
      <c r="H178" s="42">
        <v>0.27263999999999999</v>
      </c>
      <c r="I178" s="42">
        <v>0.27637</v>
      </c>
      <c r="J178" s="42">
        <v>0.26186999999999999</v>
      </c>
      <c r="L178" s="20">
        <v>576</v>
      </c>
      <c r="M178">
        <f t="shared" si="17"/>
        <v>1.03772</v>
      </c>
      <c r="N178">
        <f t="shared" si="18"/>
        <v>0.92956000000000005</v>
      </c>
      <c r="O178">
        <f t="shared" si="19"/>
        <v>1.1210800000000001</v>
      </c>
      <c r="P178">
        <f t="shared" si="20"/>
        <v>1.0696399999999999</v>
      </c>
      <c r="Q178">
        <f t="shared" si="21"/>
        <v>1.07216</v>
      </c>
      <c r="R178">
        <f t="shared" si="22"/>
        <v>1.09056</v>
      </c>
      <c r="S178">
        <f t="shared" si="23"/>
        <v>1.10548</v>
      </c>
      <c r="T178">
        <f t="shared" si="24"/>
        <v>1.04748</v>
      </c>
    </row>
    <row r="179" spans="2:20" x14ac:dyDescent="0.35">
      <c r="B179" s="42">
        <v>577</v>
      </c>
      <c r="C179" s="42">
        <v>0.25953999999999999</v>
      </c>
      <c r="D179" s="42">
        <v>0.23252999999999999</v>
      </c>
      <c r="E179" s="42">
        <v>0.28049000000000002</v>
      </c>
      <c r="F179" s="42">
        <v>0.26757999999999998</v>
      </c>
      <c r="G179" s="42">
        <v>0.26801999999999998</v>
      </c>
      <c r="H179" s="42">
        <v>0.27262999999999998</v>
      </c>
      <c r="I179" s="42">
        <v>0.27632000000000001</v>
      </c>
      <c r="J179" s="42">
        <v>0.26185999999999998</v>
      </c>
      <c r="L179" s="20">
        <v>577</v>
      </c>
      <c r="M179">
        <f t="shared" si="17"/>
        <v>1.03816</v>
      </c>
      <c r="N179">
        <f t="shared" si="18"/>
        <v>0.93011999999999995</v>
      </c>
      <c r="O179">
        <f t="shared" si="19"/>
        <v>1.1219600000000001</v>
      </c>
      <c r="P179">
        <f t="shared" si="20"/>
        <v>1.0703199999999999</v>
      </c>
      <c r="Q179">
        <f t="shared" si="21"/>
        <v>1.0720799999999999</v>
      </c>
      <c r="R179">
        <f t="shared" si="22"/>
        <v>1.0905199999999999</v>
      </c>
      <c r="S179">
        <f t="shared" si="23"/>
        <v>1.10528</v>
      </c>
      <c r="T179">
        <f t="shared" si="24"/>
        <v>1.0474399999999999</v>
      </c>
    </row>
    <row r="180" spans="2:20" x14ac:dyDescent="0.35">
      <c r="B180" s="42">
        <v>578</v>
      </c>
      <c r="C180" s="42">
        <v>0.25974000000000003</v>
      </c>
      <c r="D180" s="42">
        <v>0.23266999999999999</v>
      </c>
      <c r="E180" s="42">
        <v>0.28065000000000001</v>
      </c>
      <c r="F180" s="42">
        <v>0.26778000000000002</v>
      </c>
      <c r="G180" s="42">
        <v>0.26799000000000001</v>
      </c>
      <c r="H180" s="42">
        <v>0.27261000000000002</v>
      </c>
      <c r="I180" s="42">
        <v>0.27628999999999998</v>
      </c>
      <c r="J180" s="42">
        <v>0.26178000000000001</v>
      </c>
      <c r="L180" s="20">
        <v>578</v>
      </c>
      <c r="M180">
        <f t="shared" si="17"/>
        <v>1.0389600000000001</v>
      </c>
      <c r="N180">
        <f t="shared" si="18"/>
        <v>0.93067999999999995</v>
      </c>
      <c r="O180">
        <f t="shared" si="19"/>
        <v>1.1226</v>
      </c>
      <c r="P180">
        <f t="shared" si="20"/>
        <v>1.0711200000000001</v>
      </c>
      <c r="Q180">
        <f t="shared" si="21"/>
        <v>1.07196</v>
      </c>
      <c r="R180">
        <f t="shared" si="22"/>
        <v>1.0904400000000001</v>
      </c>
      <c r="S180">
        <f t="shared" si="23"/>
        <v>1.1051599999999999</v>
      </c>
      <c r="T180">
        <f t="shared" si="24"/>
        <v>1.0471200000000001</v>
      </c>
    </row>
    <row r="181" spans="2:20" x14ac:dyDescent="0.35">
      <c r="B181" s="42">
        <v>579</v>
      </c>
      <c r="C181" s="42">
        <v>0.25995000000000001</v>
      </c>
      <c r="D181" s="42">
        <v>0.23286000000000001</v>
      </c>
      <c r="E181" s="42">
        <v>0.28084999999999999</v>
      </c>
      <c r="F181" s="42">
        <v>0.26804</v>
      </c>
      <c r="G181" s="42">
        <v>0.26801999999999998</v>
      </c>
      <c r="H181" s="42">
        <v>0.27262999999999998</v>
      </c>
      <c r="I181" s="42">
        <v>0.27628999999999998</v>
      </c>
      <c r="J181" s="42">
        <v>0.26178000000000001</v>
      </c>
      <c r="L181" s="20">
        <v>579</v>
      </c>
      <c r="M181">
        <f t="shared" si="17"/>
        <v>1.0398000000000001</v>
      </c>
      <c r="N181">
        <f t="shared" si="18"/>
        <v>0.93144000000000005</v>
      </c>
      <c r="O181">
        <f t="shared" si="19"/>
        <v>1.1234</v>
      </c>
      <c r="P181">
        <f t="shared" si="20"/>
        <v>1.07216</v>
      </c>
      <c r="Q181">
        <f t="shared" si="21"/>
        <v>1.0720799999999999</v>
      </c>
      <c r="R181">
        <f t="shared" si="22"/>
        <v>1.0905199999999999</v>
      </c>
      <c r="S181">
        <f t="shared" si="23"/>
        <v>1.1051599999999999</v>
      </c>
      <c r="T181">
        <f t="shared" si="24"/>
        <v>1.0471200000000001</v>
      </c>
    </row>
    <row r="182" spans="2:20" x14ac:dyDescent="0.35">
      <c r="B182" s="42">
        <v>580</v>
      </c>
      <c r="C182" s="42">
        <v>0.26012000000000002</v>
      </c>
      <c r="D182" s="42">
        <v>0.23308000000000001</v>
      </c>
      <c r="E182" s="42">
        <v>0.28101999999999999</v>
      </c>
      <c r="F182" s="42">
        <v>0.26823000000000002</v>
      </c>
      <c r="G182" s="42">
        <v>0.26801999999999998</v>
      </c>
      <c r="H182" s="42">
        <v>0.27271000000000001</v>
      </c>
      <c r="I182" s="42">
        <v>0.27637</v>
      </c>
      <c r="J182" s="42">
        <v>0.26179999999999998</v>
      </c>
      <c r="L182" s="20">
        <v>580</v>
      </c>
      <c r="M182">
        <f t="shared" si="17"/>
        <v>1.0404800000000001</v>
      </c>
      <c r="N182">
        <f t="shared" si="18"/>
        <v>0.93232000000000004</v>
      </c>
      <c r="O182">
        <f t="shared" si="19"/>
        <v>1.12408</v>
      </c>
      <c r="P182">
        <f t="shared" si="20"/>
        <v>1.0729200000000001</v>
      </c>
      <c r="Q182">
        <f t="shared" si="21"/>
        <v>1.0720799999999999</v>
      </c>
      <c r="R182">
        <f t="shared" si="22"/>
        <v>1.09084</v>
      </c>
      <c r="S182">
        <f t="shared" si="23"/>
        <v>1.10548</v>
      </c>
      <c r="T182">
        <f t="shared" si="24"/>
        <v>1.0471999999999999</v>
      </c>
    </row>
    <row r="183" spans="2:20" x14ac:dyDescent="0.35">
      <c r="B183" s="42">
        <v>581</v>
      </c>
      <c r="C183" s="42">
        <v>0.26027</v>
      </c>
      <c r="D183" s="42">
        <v>0.23319999999999999</v>
      </c>
      <c r="E183" s="42">
        <v>0.28119</v>
      </c>
      <c r="F183" s="42">
        <v>0.26834000000000002</v>
      </c>
      <c r="G183" s="42">
        <v>0.26801999999999998</v>
      </c>
      <c r="H183" s="42">
        <v>0.27267000000000002</v>
      </c>
      <c r="I183" s="42">
        <v>0.27625</v>
      </c>
      <c r="J183" s="42">
        <v>0.26178000000000001</v>
      </c>
      <c r="L183" s="20">
        <v>581</v>
      </c>
      <c r="M183">
        <f t="shared" si="17"/>
        <v>1.04108</v>
      </c>
      <c r="N183">
        <f t="shared" si="18"/>
        <v>0.93279999999999996</v>
      </c>
      <c r="O183">
        <f t="shared" si="19"/>
        <v>1.12476</v>
      </c>
      <c r="P183">
        <f t="shared" si="20"/>
        <v>1.0733600000000001</v>
      </c>
      <c r="Q183">
        <f t="shared" si="21"/>
        <v>1.0720799999999999</v>
      </c>
      <c r="R183">
        <f t="shared" si="22"/>
        <v>1.0906800000000001</v>
      </c>
      <c r="S183">
        <f t="shared" si="23"/>
        <v>1.105</v>
      </c>
      <c r="T183">
        <f t="shared" si="24"/>
        <v>1.0471200000000001</v>
      </c>
    </row>
    <row r="184" spans="2:20" x14ac:dyDescent="0.35">
      <c r="B184" s="42">
        <v>582</v>
      </c>
      <c r="C184" s="42">
        <v>0.26062000000000002</v>
      </c>
      <c r="D184" s="42">
        <v>0.23338</v>
      </c>
      <c r="E184" s="42">
        <v>0.28138999999999997</v>
      </c>
      <c r="F184" s="42">
        <v>0.26851000000000003</v>
      </c>
      <c r="G184" s="42">
        <v>0.26805000000000001</v>
      </c>
      <c r="H184" s="42">
        <v>0.27274999999999999</v>
      </c>
      <c r="I184" s="42">
        <v>0.27632000000000001</v>
      </c>
      <c r="J184" s="42">
        <v>0.26175999999999999</v>
      </c>
      <c r="L184" s="20">
        <v>582</v>
      </c>
      <c r="M184">
        <f t="shared" si="17"/>
        <v>1.0424800000000001</v>
      </c>
      <c r="N184">
        <f t="shared" si="18"/>
        <v>0.93352000000000002</v>
      </c>
      <c r="O184">
        <f t="shared" si="19"/>
        <v>1.1255599999999999</v>
      </c>
      <c r="P184">
        <f t="shared" si="20"/>
        <v>1.0740400000000001</v>
      </c>
      <c r="Q184">
        <f t="shared" si="21"/>
        <v>1.0722</v>
      </c>
      <c r="R184">
        <f t="shared" si="22"/>
        <v>1.091</v>
      </c>
      <c r="S184">
        <f t="shared" si="23"/>
        <v>1.10528</v>
      </c>
      <c r="T184">
        <f t="shared" si="24"/>
        <v>1.04704</v>
      </c>
    </row>
    <row r="185" spans="2:20" x14ac:dyDescent="0.35">
      <c r="B185" s="42">
        <v>583</v>
      </c>
      <c r="C185" s="42">
        <v>0.26077</v>
      </c>
      <c r="D185" s="42">
        <v>0.23357</v>
      </c>
      <c r="E185" s="42">
        <v>0.28156999999999999</v>
      </c>
      <c r="F185" s="42">
        <v>0.26871</v>
      </c>
      <c r="G185" s="42">
        <v>0.26811000000000001</v>
      </c>
      <c r="H185" s="42">
        <v>0.27279999999999999</v>
      </c>
      <c r="I185" s="42">
        <v>0.27634999999999998</v>
      </c>
      <c r="J185" s="42">
        <v>0.26184000000000002</v>
      </c>
      <c r="L185" s="20">
        <v>583</v>
      </c>
      <c r="M185">
        <f t="shared" si="17"/>
        <v>1.04308</v>
      </c>
      <c r="N185">
        <f t="shared" si="18"/>
        <v>0.93428</v>
      </c>
      <c r="O185">
        <f t="shared" si="19"/>
        <v>1.1262799999999999</v>
      </c>
      <c r="P185">
        <f t="shared" si="20"/>
        <v>1.07484</v>
      </c>
      <c r="Q185">
        <f t="shared" si="21"/>
        <v>1.0724400000000001</v>
      </c>
      <c r="R185">
        <f t="shared" si="22"/>
        <v>1.0911999999999999</v>
      </c>
      <c r="S185">
        <f t="shared" si="23"/>
        <v>1.1053999999999999</v>
      </c>
      <c r="T185">
        <f t="shared" si="24"/>
        <v>1.0473600000000001</v>
      </c>
    </row>
    <row r="186" spans="2:20" x14ac:dyDescent="0.35">
      <c r="B186" s="42">
        <v>584</v>
      </c>
      <c r="C186" s="42">
        <v>0.26085000000000003</v>
      </c>
      <c r="D186" s="42">
        <v>0.23366000000000001</v>
      </c>
      <c r="E186" s="42">
        <v>0.28173999999999999</v>
      </c>
      <c r="F186" s="42">
        <v>0.26885999999999999</v>
      </c>
      <c r="G186" s="42">
        <v>0.26806999999999997</v>
      </c>
      <c r="H186" s="42">
        <v>0.27279999999999999</v>
      </c>
      <c r="I186" s="42">
        <v>0.27622999999999998</v>
      </c>
      <c r="J186" s="42">
        <v>0.26178000000000001</v>
      </c>
      <c r="L186" s="20">
        <v>584</v>
      </c>
      <c r="M186">
        <f t="shared" si="17"/>
        <v>1.0434000000000001</v>
      </c>
      <c r="N186">
        <f t="shared" si="18"/>
        <v>0.93464000000000003</v>
      </c>
      <c r="O186">
        <f t="shared" si="19"/>
        <v>1.12696</v>
      </c>
      <c r="P186">
        <f t="shared" si="20"/>
        <v>1.07544</v>
      </c>
      <c r="Q186">
        <f t="shared" si="21"/>
        <v>1.0722799999999999</v>
      </c>
      <c r="R186">
        <f t="shared" si="22"/>
        <v>1.0911999999999999</v>
      </c>
      <c r="S186">
        <f t="shared" si="23"/>
        <v>1.1049199999999999</v>
      </c>
      <c r="T186">
        <f t="shared" si="24"/>
        <v>1.0471200000000001</v>
      </c>
    </row>
    <row r="187" spans="2:20" x14ac:dyDescent="0.35">
      <c r="B187" s="42">
        <v>585</v>
      </c>
      <c r="C187" s="42">
        <v>0.26102999999999998</v>
      </c>
      <c r="D187" s="42">
        <v>0.23372999999999999</v>
      </c>
      <c r="E187" s="42">
        <v>0.28179999999999999</v>
      </c>
      <c r="F187" s="42">
        <v>0.26894000000000001</v>
      </c>
      <c r="G187" s="42">
        <v>0.26801999999999998</v>
      </c>
      <c r="H187" s="42">
        <v>0.27273999999999998</v>
      </c>
      <c r="I187" s="42">
        <v>0.27617000000000003</v>
      </c>
      <c r="J187" s="42">
        <v>0.26173000000000002</v>
      </c>
      <c r="L187" s="20">
        <v>585</v>
      </c>
      <c r="M187">
        <f t="shared" si="17"/>
        <v>1.0441199999999999</v>
      </c>
      <c r="N187">
        <f t="shared" si="18"/>
        <v>0.93491999999999997</v>
      </c>
      <c r="O187">
        <f t="shared" si="19"/>
        <v>1.1272</v>
      </c>
      <c r="P187">
        <f t="shared" si="20"/>
        <v>1.07576</v>
      </c>
      <c r="Q187">
        <f t="shared" si="21"/>
        <v>1.0720799999999999</v>
      </c>
      <c r="R187">
        <f t="shared" si="22"/>
        <v>1.0909599999999999</v>
      </c>
      <c r="S187">
        <f t="shared" si="23"/>
        <v>1.1046800000000001</v>
      </c>
      <c r="T187">
        <f t="shared" si="24"/>
        <v>1.0469200000000001</v>
      </c>
    </row>
    <row r="188" spans="2:20" x14ac:dyDescent="0.35">
      <c r="B188" s="42">
        <v>586</v>
      </c>
      <c r="C188" s="42">
        <v>0.26122000000000001</v>
      </c>
      <c r="D188" s="42">
        <v>0.23388999999999999</v>
      </c>
      <c r="E188" s="42">
        <v>0.28192</v>
      </c>
      <c r="F188" s="42">
        <v>0.26912999999999998</v>
      </c>
      <c r="G188" s="42">
        <v>0.26806999999999997</v>
      </c>
      <c r="H188" s="42">
        <v>0.27273999999999998</v>
      </c>
      <c r="I188" s="42">
        <v>0.27611999999999998</v>
      </c>
      <c r="J188" s="42">
        <v>0.26168999999999998</v>
      </c>
      <c r="L188" s="20">
        <v>586</v>
      </c>
      <c r="M188">
        <f t="shared" si="17"/>
        <v>1.04488</v>
      </c>
      <c r="N188">
        <f t="shared" si="18"/>
        <v>0.93555999999999995</v>
      </c>
      <c r="O188">
        <f t="shared" si="19"/>
        <v>1.12768</v>
      </c>
      <c r="P188">
        <f t="shared" si="20"/>
        <v>1.0765199999999999</v>
      </c>
      <c r="Q188">
        <f t="shared" si="21"/>
        <v>1.0722799999999999</v>
      </c>
      <c r="R188">
        <f t="shared" si="22"/>
        <v>1.0909599999999999</v>
      </c>
      <c r="S188">
        <f t="shared" si="23"/>
        <v>1.1044799999999999</v>
      </c>
      <c r="T188">
        <f t="shared" si="24"/>
        <v>1.0467599999999999</v>
      </c>
    </row>
    <row r="189" spans="2:20" x14ac:dyDescent="0.35">
      <c r="B189" s="42">
        <v>587</v>
      </c>
      <c r="C189" s="42">
        <v>0.26129000000000002</v>
      </c>
      <c r="D189" s="42">
        <v>0.23401</v>
      </c>
      <c r="E189" s="42">
        <v>0.28206999999999999</v>
      </c>
      <c r="F189" s="42">
        <v>0.26928999999999997</v>
      </c>
      <c r="G189" s="42">
        <v>0.26807999999999998</v>
      </c>
      <c r="H189" s="42">
        <v>0.27273999999999998</v>
      </c>
      <c r="I189" s="42">
        <v>0.27611999999999998</v>
      </c>
      <c r="J189" s="42">
        <v>0.26166</v>
      </c>
      <c r="L189" s="20">
        <v>587</v>
      </c>
      <c r="M189">
        <f t="shared" si="17"/>
        <v>1.0451600000000001</v>
      </c>
      <c r="N189">
        <f t="shared" si="18"/>
        <v>0.93603999999999998</v>
      </c>
      <c r="O189">
        <f t="shared" si="19"/>
        <v>1.1282799999999999</v>
      </c>
      <c r="P189">
        <f t="shared" si="20"/>
        <v>1.0771599999999999</v>
      </c>
      <c r="Q189">
        <f t="shared" si="21"/>
        <v>1.0723199999999999</v>
      </c>
      <c r="R189">
        <f t="shared" si="22"/>
        <v>1.0909599999999999</v>
      </c>
      <c r="S189">
        <f t="shared" si="23"/>
        <v>1.1044799999999999</v>
      </c>
      <c r="T189">
        <f t="shared" si="24"/>
        <v>1.04664</v>
      </c>
    </row>
    <row r="190" spans="2:20" x14ac:dyDescent="0.35">
      <c r="B190" s="42">
        <v>588</v>
      </c>
      <c r="C190" s="42">
        <v>0.26140999999999998</v>
      </c>
      <c r="D190" s="42">
        <v>0.23405000000000001</v>
      </c>
      <c r="E190" s="42">
        <v>0.28216999999999998</v>
      </c>
      <c r="F190" s="42">
        <v>0.26932</v>
      </c>
      <c r="G190" s="42">
        <v>0.26801000000000003</v>
      </c>
      <c r="H190" s="42">
        <v>0.27271000000000001</v>
      </c>
      <c r="I190" s="42">
        <v>0.27605000000000002</v>
      </c>
      <c r="J190" s="42">
        <v>0.26163999999999998</v>
      </c>
      <c r="L190" s="20">
        <v>588</v>
      </c>
      <c r="M190">
        <f t="shared" si="17"/>
        <v>1.0456399999999999</v>
      </c>
      <c r="N190">
        <f t="shared" si="18"/>
        <v>0.93620000000000003</v>
      </c>
      <c r="O190">
        <f t="shared" si="19"/>
        <v>1.1286799999999999</v>
      </c>
      <c r="P190">
        <f t="shared" si="20"/>
        <v>1.07728</v>
      </c>
      <c r="Q190">
        <f t="shared" si="21"/>
        <v>1.0720400000000001</v>
      </c>
      <c r="R190">
        <f t="shared" si="22"/>
        <v>1.09084</v>
      </c>
      <c r="S190">
        <f t="shared" si="23"/>
        <v>1.1042000000000001</v>
      </c>
      <c r="T190">
        <f t="shared" si="24"/>
        <v>1.0465599999999999</v>
      </c>
    </row>
    <row r="191" spans="2:20" x14ac:dyDescent="0.35">
      <c r="B191" s="42">
        <v>589</v>
      </c>
      <c r="C191" s="42">
        <v>0.26151999999999997</v>
      </c>
      <c r="D191" s="42">
        <v>0.23411999999999999</v>
      </c>
      <c r="E191" s="42">
        <v>0.28228999999999999</v>
      </c>
      <c r="F191" s="42">
        <v>0.26945000000000002</v>
      </c>
      <c r="G191" s="42">
        <v>0.26801000000000003</v>
      </c>
      <c r="H191" s="42">
        <v>0.27271000000000001</v>
      </c>
      <c r="I191" s="42">
        <v>0.27600000000000002</v>
      </c>
      <c r="J191" s="42">
        <v>0.2616</v>
      </c>
      <c r="L191" s="20">
        <v>589</v>
      </c>
      <c r="M191">
        <f t="shared" si="17"/>
        <v>1.0460799999999999</v>
      </c>
      <c r="N191">
        <f t="shared" si="18"/>
        <v>0.93647999999999998</v>
      </c>
      <c r="O191">
        <f t="shared" si="19"/>
        <v>1.1291599999999999</v>
      </c>
      <c r="P191">
        <f t="shared" si="20"/>
        <v>1.0778000000000001</v>
      </c>
      <c r="Q191">
        <f t="shared" si="21"/>
        <v>1.0720400000000001</v>
      </c>
      <c r="R191">
        <f t="shared" si="22"/>
        <v>1.09084</v>
      </c>
      <c r="S191">
        <f t="shared" si="23"/>
        <v>1.1040000000000001</v>
      </c>
      <c r="T191">
        <f t="shared" si="24"/>
        <v>1.0464</v>
      </c>
    </row>
    <row r="192" spans="2:20" x14ac:dyDescent="0.35">
      <c r="B192" s="42">
        <v>590</v>
      </c>
      <c r="C192" s="42">
        <v>0.26161000000000001</v>
      </c>
      <c r="D192" s="42">
        <v>0.23425000000000001</v>
      </c>
      <c r="E192" s="42">
        <v>0.28233000000000003</v>
      </c>
      <c r="F192" s="42">
        <v>0.26961000000000002</v>
      </c>
      <c r="G192" s="42">
        <v>0.26793</v>
      </c>
      <c r="H192" s="42">
        <v>0.27262999999999998</v>
      </c>
      <c r="I192" s="42">
        <v>0.27599000000000001</v>
      </c>
      <c r="J192" s="42">
        <v>0.26155</v>
      </c>
      <c r="L192" s="20">
        <v>590</v>
      </c>
      <c r="M192">
        <f t="shared" si="17"/>
        <v>1.04644</v>
      </c>
      <c r="N192">
        <f t="shared" si="18"/>
        <v>0.93700000000000006</v>
      </c>
      <c r="O192">
        <f t="shared" si="19"/>
        <v>1.1293200000000001</v>
      </c>
      <c r="P192">
        <f t="shared" si="20"/>
        <v>1.0784400000000001</v>
      </c>
      <c r="Q192">
        <f t="shared" si="21"/>
        <v>1.07172</v>
      </c>
      <c r="R192">
        <f t="shared" si="22"/>
        <v>1.0905199999999999</v>
      </c>
      <c r="S192">
        <f t="shared" si="23"/>
        <v>1.1039600000000001</v>
      </c>
      <c r="T192">
        <f t="shared" si="24"/>
        <v>1.0462</v>
      </c>
    </row>
    <row r="193" spans="2:20" x14ac:dyDescent="0.35">
      <c r="B193" s="42">
        <v>591</v>
      </c>
      <c r="C193" s="42">
        <v>0.26166</v>
      </c>
      <c r="D193" s="42">
        <v>0.23430999999999999</v>
      </c>
      <c r="E193" s="42">
        <v>0.28245999999999999</v>
      </c>
      <c r="F193" s="42">
        <v>0.26967000000000002</v>
      </c>
      <c r="G193" s="42">
        <v>0.26784000000000002</v>
      </c>
      <c r="H193" s="42">
        <v>0.27255000000000001</v>
      </c>
      <c r="I193" s="42">
        <v>0.27585999999999999</v>
      </c>
      <c r="J193" s="42">
        <v>0.26146999999999998</v>
      </c>
      <c r="L193" s="20">
        <v>591</v>
      </c>
      <c r="M193">
        <f t="shared" si="17"/>
        <v>1.04664</v>
      </c>
      <c r="N193">
        <f t="shared" si="18"/>
        <v>0.93723999999999996</v>
      </c>
      <c r="O193">
        <f t="shared" si="19"/>
        <v>1.12984</v>
      </c>
      <c r="P193">
        <f t="shared" si="20"/>
        <v>1.0786800000000001</v>
      </c>
      <c r="Q193">
        <f t="shared" si="21"/>
        <v>1.0713600000000001</v>
      </c>
      <c r="R193">
        <f t="shared" si="22"/>
        <v>1.0902000000000001</v>
      </c>
      <c r="S193">
        <f t="shared" si="23"/>
        <v>1.10344</v>
      </c>
      <c r="T193">
        <f t="shared" si="24"/>
        <v>1.0458799999999999</v>
      </c>
    </row>
    <row r="194" spans="2:20" x14ac:dyDescent="0.35">
      <c r="B194" s="42">
        <v>592</v>
      </c>
      <c r="C194" s="42">
        <v>0.26186999999999999</v>
      </c>
      <c r="D194" s="42">
        <v>0.23447000000000001</v>
      </c>
      <c r="E194" s="42">
        <v>0.28260999999999997</v>
      </c>
      <c r="F194" s="42">
        <v>0.26984999999999998</v>
      </c>
      <c r="G194" s="42">
        <v>0.26790000000000003</v>
      </c>
      <c r="H194" s="42">
        <v>0.27261000000000002</v>
      </c>
      <c r="I194" s="42">
        <v>0.27588000000000001</v>
      </c>
      <c r="J194" s="42">
        <v>0.26149</v>
      </c>
      <c r="L194" s="20">
        <v>592</v>
      </c>
      <c r="M194">
        <f t="shared" si="17"/>
        <v>1.04748</v>
      </c>
      <c r="N194">
        <f t="shared" si="18"/>
        <v>0.93788000000000005</v>
      </c>
      <c r="O194">
        <f t="shared" si="19"/>
        <v>1.1304399999999999</v>
      </c>
      <c r="P194">
        <f t="shared" si="20"/>
        <v>1.0793999999999999</v>
      </c>
      <c r="Q194">
        <f t="shared" si="21"/>
        <v>1.0716000000000001</v>
      </c>
      <c r="R194">
        <f t="shared" si="22"/>
        <v>1.0904400000000001</v>
      </c>
      <c r="S194">
        <f t="shared" si="23"/>
        <v>1.1035200000000001</v>
      </c>
      <c r="T194">
        <f t="shared" si="24"/>
        <v>1.04596</v>
      </c>
    </row>
    <row r="195" spans="2:20" x14ac:dyDescent="0.35">
      <c r="B195" s="42">
        <v>593</v>
      </c>
      <c r="C195" s="42">
        <v>0.26199</v>
      </c>
      <c r="D195" s="42">
        <v>0.23465</v>
      </c>
      <c r="E195" s="42">
        <v>0.28276000000000001</v>
      </c>
      <c r="F195" s="42">
        <v>0.26995999999999998</v>
      </c>
      <c r="G195" s="42">
        <v>0.26790999999999998</v>
      </c>
      <c r="H195" s="42">
        <v>0.27260000000000001</v>
      </c>
      <c r="I195" s="42">
        <v>0.27585999999999999</v>
      </c>
      <c r="J195" s="42">
        <v>0.26144000000000001</v>
      </c>
      <c r="L195" s="20">
        <v>593</v>
      </c>
      <c r="M195">
        <f t="shared" ref="M195:M258" si="25">C195*4</f>
        <v>1.04796</v>
      </c>
      <c r="N195">
        <f t="shared" ref="N195:N258" si="26">D195*4</f>
        <v>0.93859999999999999</v>
      </c>
      <c r="O195">
        <f t="shared" ref="O195:O258" si="27">E195*4</f>
        <v>1.13104</v>
      </c>
      <c r="P195">
        <f t="shared" ref="P195:P258" si="28">F195*4</f>
        <v>1.0798399999999999</v>
      </c>
      <c r="Q195">
        <f t="shared" ref="Q195:Q258" si="29">G195*4</f>
        <v>1.0716399999999999</v>
      </c>
      <c r="R195">
        <f t="shared" ref="R195:R258" si="30">H195*4</f>
        <v>1.0904</v>
      </c>
      <c r="S195">
        <f t="shared" ref="S195:S258" si="31">I195*4</f>
        <v>1.10344</v>
      </c>
      <c r="T195">
        <f t="shared" ref="T195:T258" si="32">J195*4</f>
        <v>1.04576</v>
      </c>
    </row>
    <row r="196" spans="2:20" x14ac:dyDescent="0.35">
      <c r="B196" s="42">
        <v>594</v>
      </c>
      <c r="C196" s="42">
        <v>0.26201999999999998</v>
      </c>
      <c r="D196" s="42">
        <v>0.23469999999999999</v>
      </c>
      <c r="E196" s="42">
        <v>0.28283999999999998</v>
      </c>
      <c r="F196" s="42">
        <v>0.27</v>
      </c>
      <c r="G196" s="42">
        <v>0.26787</v>
      </c>
      <c r="H196" s="42">
        <v>0.27250999999999997</v>
      </c>
      <c r="I196" s="42">
        <v>0.27576000000000001</v>
      </c>
      <c r="J196" s="42">
        <v>0.26136999999999999</v>
      </c>
      <c r="L196" s="20">
        <v>594</v>
      </c>
      <c r="M196">
        <f t="shared" si="25"/>
        <v>1.0480799999999999</v>
      </c>
      <c r="N196">
        <f t="shared" si="26"/>
        <v>0.93879999999999997</v>
      </c>
      <c r="O196">
        <f t="shared" si="27"/>
        <v>1.1313599999999999</v>
      </c>
      <c r="P196">
        <f t="shared" si="28"/>
        <v>1.08</v>
      </c>
      <c r="Q196">
        <f t="shared" si="29"/>
        <v>1.07148</v>
      </c>
      <c r="R196">
        <f t="shared" si="30"/>
        <v>1.0900399999999999</v>
      </c>
      <c r="S196">
        <f t="shared" si="31"/>
        <v>1.10304</v>
      </c>
      <c r="T196">
        <f t="shared" si="32"/>
        <v>1.04548</v>
      </c>
    </row>
    <row r="197" spans="2:20" x14ac:dyDescent="0.35">
      <c r="B197" s="42">
        <v>595</v>
      </c>
      <c r="C197" s="42">
        <v>0.26212000000000002</v>
      </c>
      <c r="D197" s="42">
        <v>0.23471</v>
      </c>
      <c r="E197" s="42">
        <v>0.28284999999999999</v>
      </c>
      <c r="F197" s="42">
        <v>0.27007999999999999</v>
      </c>
      <c r="G197" s="42">
        <v>0.26778000000000002</v>
      </c>
      <c r="H197" s="42">
        <v>0.27243000000000001</v>
      </c>
      <c r="I197" s="42">
        <v>0.2757</v>
      </c>
      <c r="J197" s="42">
        <v>0.26130999999999999</v>
      </c>
      <c r="L197" s="20">
        <v>595</v>
      </c>
      <c r="M197">
        <f t="shared" si="25"/>
        <v>1.0484800000000001</v>
      </c>
      <c r="N197">
        <f t="shared" si="26"/>
        <v>0.93884000000000001</v>
      </c>
      <c r="O197">
        <f t="shared" si="27"/>
        <v>1.1314</v>
      </c>
      <c r="P197">
        <f t="shared" si="28"/>
        <v>1.0803199999999999</v>
      </c>
      <c r="Q197">
        <f t="shared" si="29"/>
        <v>1.0711200000000001</v>
      </c>
      <c r="R197">
        <f t="shared" si="30"/>
        <v>1.08972</v>
      </c>
      <c r="S197">
        <f t="shared" si="31"/>
        <v>1.1028</v>
      </c>
      <c r="T197">
        <f t="shared" si="32"/>
        <v>1.0452399999999999</v>
      </c>
    </row>
    <row r="198" spans="2:20" x14ac:dyDescent="0.35">
      <c r="B198" s="42">
        <v>596</v>
      </c>
      <c r="C198" s="42">
        <v>0.26221</v>
      </c>
      <c r="D198" s="42">
        <v>0.23480000000000001</v>
      </c>
      <c r="E198" s="42">
        <v>0.28297</v>
      </c>
      <c r="F198" s="42">
        <v>0.27016000000000001</v>
      </c>
      <c r="G198" s="42">
        <v>0.26767000000000002</v>
      </c>
      <c r="H198" s="42">
        <v>0.27242</v>
      </c>
      <c r="I198" s="42">
        <v>0.27562999999999999</v>
      </c>
      <c r="J198" s="42">
        <v>0.26119999999999999</v>
      </c>
      <c r="L198" s="20">
        <v>596</v>
      </c>
      <c r="M198">
        <f t="shared" si="25"/>
        <v>1.04884</v>
      </c>
      <c r="N198">
        <f t="shared" si="26"/>
        <v>0.93920000000000003</v>
      </c>
      <c r="O198">
        <f t="shared" si="27"/>
        <v>1.13188</v>
      </c>
      <c r="P198">
        <f t="shared" si="28"/>
        <v>1.08064</v>
      </c>
      <c r="Q198">
        <f t="shared" si="29"/>
        <v>1.0706800000000001</v>
      </c>
      <c r="R198">
        <f t="shared" si="30"/>
        <v>1.08968</v>
      </c>
      <c r="S198">
        <f t="shared" si="31"/>
        <v>1.1025199999999999</v>
      </c>
      <c r="T198">
        <f t="shared" si="32"/>
        <v>1.0448</v>
      </c>
    </row>
    <row r="199" spans="2:20" x14ac:dyDescent="0.35">
      <c r="B199" s="42">
        <v>597</v>
      </c>
      <c r="C199" s="42">
        <v>0.26228000000000001</v>
      </c>
      <c r="D199" s="42">
        <v>0.23486000000000001</v>
      </c>
      <c r="E199" s="42">
        <v>0.28305000000000002</v>
      </c>
      <c r="F199" s="42">
        <v>0.27023000000000003</v>
      </c>
      <c r="G199" s="42">
        <v>0.26763999999999999</v>
      </c>
      <c r="H199" s="42">
        <v>0.27232000000000001</v>
      </c>
      <c r="I199" s="42">
        <v>0.27548</v>
      </c>
      <c r="J199" s="42">
        <v>0.26112000000000002</v>
      </c>
      <c r="L199" s="20">
        <v>597</v>
      </c>
      <c r="M199">
        <f t="shared" si="25"/>
        <v>1.0491200000000001</v>
      </c>
      <c r="N199">
        <f t="shared" si="26"/>
        <v>0.93944000000000005</v>
      </c>
      <c r="O199">
        <f t="shared" si="27"/>
        <v>1.1322000000000001</v>
      </c>
      <c r="P199">
        <f t="shared" si="28"/>
        <v>1.0809200000000001</v>
      </c>
      <c r="Q199">
        <f t="shared" si="29"/>
        <v>1.07056</v>
      </c>
      <c r="R199">
        <f t="shared" si="30"/>
        <v>1.08928</v>
      </c>
      <c r="S199">
        <f t="shared" si="31"/>
        <v>1.10192</v>
      </c>
      <c r="T199">
        <f t="shared" si="32"/>
        <v>1.0444800000000001</v>
      </c>
    </row>
    <row r="200" spans="2:20" x14ac:dyDescent="0.35">
      <c r="B200" s="42">
        <v>598</v>
      </c>
      <c r="C200" s="42">
        <v>0.26234000000000002</v>
      </c>
      <c r="D200" s="42">
        <v>0.23491999999999999</v>
      </c>
      <c r="E200" s="42">
        <v>0.28314</v>
      </c>
      <c r="F200" s="42">
        <v>0.27034000000000002</v>
      </c>
      <c r="G200" s="42">
        <v>0.26758999999999999</v>
      </c>
      <c r="H200" s="42">
        <v>0.27231</v>
      </c>
      <c r="I200" s="42">
        <v>0.27544000000000002</v>
      </c>
      <c r="J200" s="42">
        <v>0.26107999999999998</v>
      </c>
      <c r="L200" s="20">
        <v>598</v>
      </c>
      <c r="M200">
        <f t="shared" si="25"/>
        <v>1.0493600000000001</v>
      </c>
      <c r="N200">
        <f t="shared" si="26"/>
        <v>0.93967999999999996</v>
      </c>
      <c r="O200">
        <f t="shared" si="27"/>
        <v>1.13256</v>
      </c>
      <c r="P200">
        <f t="shared" si="28"/>
        <v>1.0813600000000001</v>
      </c>
      <c r="Q200">
        <f t="shared" si="29"/>
        <v>1.07036</v>
      </c>
      <c r="R200">
        <f t="shared" si="30"/>
        <v>1.08924</v>
      </c>
      <c r="S200">
        <f t="shared" si="31"/>
        <v>1.1017600000000001</v>
      </c>
      <c r="T200">
        <f t="shared" si="32"/>
        <v>1.0443199999999999</v>
      </c>
    </row>
    <row r="201" spans="2:20" x14ac:dyDescent="0.35">
      <c r="B201" s="42">
        <v>599</v>
      </c>
      <c r="C201" s="42">
        <v>0.26246999999999998</v>
      </c>
      <c r="D201" s="42">
        <v>0.23497000000000001</v>
      </c>
      <c r="E201" s="42">
        <v>0.28328999999999999</v>
      </c>
      <c r="F201" s="42">
        <v>0.27045000000000002</v>
      </c>
      <c r="G201" s="42">
        <v>0.26750000000000002</v>
      </c>
      <c r="H201" s="42">
        <v>0.2722</v>
      </c>
      <c r="I201" s="42">
        <v>0.27535999999999999</v>
      </c>
      <c r="J201" s="42">
        <v>0.26096000000000003</v>
      </c>
      <c r="L201" s="20">
        <v>599</v>
      </c>
      <c r="M201">
        <f t="shared" si="25"/>
        <v>1.0498799999999999</v>
      </c>
      <c r="N201">
        <f t="shared" si="26"/>
        <v>0.93988000000000005</v>
      </c>
      <c r="O201">
        <f t="shared" si="27"/>
        <v>1.1331599999999999</v>
      </c>
      <c r="P201">
        <f t="shared" si="28"/>
        <v>1.0818000000000001</v>
      </c>
      <c r="Q201">
        <f t="shared" si="29"/>
        <v>1.07</v>
      </c>
      <c r="R201">
        <f t="shared" si="30"/>
        <v>1.0888</v>
      </c>
      <c r="S201">
        <f t="shared" si="31"/>
        <v>1.10144</v>
      </c>
      <c r="T201">
        <f t="shared" si="32"/>
        <v>1.0438400000000001</v>
      </c>
    </row>
    <row r="202" spans="2:20" x14ac:dyDescent="0.35">
      <c r="B202" s="42">
        <v>600</v>
      </c>
      <c r="C202" s="42">
        <v>0.2626</v>
      </c>
      <c r="D202" s="42">
        <v>0.23508999999999999</v>
      </c>
      <c r="E202" s="42">
        <v>0.28322999999999998</v>
      </c>
      <c r="F202" s="42">
        <v>0.27055000000000001</v>
      </c>
      <c r="G202" s="42">
        <v>0.26746999999999999</v>
      </c>
      <c r="H202" s="42">
        <v>0.27213999999999999</v>
      </c>
      <c r="I202" s="42">
        <v>0.27523999999999998</v>
      </c>
      <c r="J202" s="42">
        <v>0.26089000000000001</v>
      </c>
      <c r="L202" s="20">
        <v>600</v>
      </c>
      <c r="M202">
        <f t="shared" si="25"/>
        <v>1.0504</v>
      </c>
      <c r="N202">
        <f t="shared" si="26"/>
        <v>0.94035999999999997</v>
      </c>
      <c r="O202">
        <f t="shared" si="27"/>
        <v>1.1329199999999999</v>
      </c>
      <c r="P202">
        <f t="shared" si="28"/>
        <v>1.0822000000000001</v>
      </c>
      <c r="Q202">
        <f t="shared" si="29"/>
        <v>1.0698799999999999</v>
      </c>
      <c r="R202">
        <f t="shared" si="30"/>
        <v>1.08856</v>
      </c>
      <c r="S202">
        <f t="shared" si="31"/>
        <v>1.1009599999999999</v>
      </c>
      <c r="T202">
        <f t="shared" si="32"/>
        <v>1.04356</v>
      </c>
    </row>
    <row r="203" spans="2:20" x14ac:dyDescent="0.35">
      <c r="B203" s="42">
        <v>601</v>
      </c>
      <c r="C203" s="42">
        <v>0.26273999999999997</v>
      </c>
      <c r="D203" s="42">
        <v>0.23526</v>
      </c>
      <c r="E203" s="42">
        <v>0.28348000000000001</v>
      </c>
      <c r="F203" s="42">
        <v>0.27068999999999999</v>
      </c>
      <c r="G203" s="42">
        <v>0.26746999999999999</v>
      </c>
      <c r="H203" s="42">
        <v>0.27209</v>
      </c>
      <c r="I203" s="42">
        <v>0.27528000000000002</v>
      </c>
      <c r="J203" s="42">
        <v>0.26085999999999998</v>
      </c>
      <c r="L203" s="20">
        <v>601</v>
      </c>
      <c r="M203">
        <f t="shared" si="25"/>
        <v>1.0509599999999999</v>
      </c>
      <c r="N203">
        <f t="shared" si="26"/>
        <v>0.94103999999999999</v>
      </c>
      <c r="O203">
        <f t="shared" si="27"/>
        <v>1.13392</v>
      </c>
      <c r="P203">
        <f t="shared" si="28"/>
        <v>1.0827599999999999</v>
      </c>
      <c r="Q203">
        <f t="shared" si="29"/>
        <v>1.0698799999999999</v>
      </c>
      <c r="R203">
        <f t="shared" si="30"/>
        <v>1.08836</v>
      </c>
      <c r="S203">
        <f t="shared" si="31"/>
        <v>1.1011200000000001</v>
      </c>
      <c r="T203">
        <f t="shared" si="32"/>
        <v>1.0434399999999999</v>
      </c>
    </row>
    <row r="204" spans="2:20" x14ac:dyDescent="0.35">
      <c r="B204" s="42">
        <v>602</v>
      </c>
      <c r="C204" s="42">
        <v>0.26291999999999999</v>
      </c>
      <c r="D204" s="42">
        <v>0.23541000000000001</v>
      </c>
      <c r="E204" s="42">
        <v>0.28360000000000002</v>
      </c>
      <c r="F204" s="42">
        <v>0.27089000000000002</v>
      </c>
      <c r="G204" s="42">
        <v>0.26745999999999998</v>
      </c>
      <c r="H204" s="42">
        <v>0.27216000000000001</v>
      </c>
      <c r="I204" s="42">
        <v>0.27521000000000001</v>
      </c>
      <c r="J204" s="42">
        <v>0.26079999999999998</v>
      </c>
      <c r="L204" s="20">
        <v>602</v>
      </c>
      <c r="M204">
        <f t="shared" si="25"/>
        <v>1.0516799999999999</v>
      </c>
      <c r="N204">
        <f t="shared" si="26"/>
        <v>0.94164000000000003</v>
      </c>
      <c r="O204">
        <f t="shared" si="27"/>
        <v>1.1344000000000001</v>
      </c>
      <c r="P204">
        <f t="shared" si="28"/>
        <v>1.0835600000000001</v>
      </c>
      <c r="Q204">
        <f t="shared" si="29"/>
        <v>1.0698399999999999</v>
      </c>
      <c r="R204">
        <f t="shared" si="30"/>
        <v>1.0886400000000001</v>
      </c>
      <c r="S204">
        <f t="shared" si="31"/>
        <v>1.10084</v>
      </c>
      <c r="T204">
        <f t="shared" si="32"/>
        <v>1.0431999999999999</v>
      </c>
    </row>
    <row r="205" spans="2:20" x14ac:dyDescent="0.35">
      <c r="B205" s="42">
        <v>603</v>
      </c>
      <c r="C205" s="42">
        <v>0.26323999999999997</v>
      </c>
      <c r="D205" s="42">
        <v>0.23566999999999999</v>
      </c>
      <c r="E205" s="42">
        <v>0.28383000000000003</v>
      </c>
      <c r="F205" s="42">
        <v>0.27112000000000003</v>
      </c>
      <c r="G205" s="42">
        <v>0.26750000000000002</v>
      </c>
      <c r="H205" s="42">
        <v>0.2722</v>
      </c>
      <c r="I205" s="42">
        <v>0.27527000000000001</v>
      </c>
      <c r="J205" s="42">
        <v>0.26088</v>
      </c>
      <c r="L205" s="20">
        <v>603</v>
      </c>
      <c r="M205">
        <f t="shared" si="25"/>
        <v>1.0529599999999999</v>
      </c>
      <c r="N205">
        <f t="shared" si="26"/>
        <v>0.94267999999999996</v>
      </c>
      <c r="O205">
        <f t="shared" si="27"/>
        <v>1.1353200000000001</v>
      </c>
      <c r="P205">
        <f t="shared" si="28"/>
        <v>1.0844800000000001</v>
      </c>
      <c r="Q205">
        <f t="shared" si="29"/>
        <v>1.07</v>
      </c>
      <c r="R205">
        <f t="shared" si="30"/>
        <v>1.0888</v>
      </c>
      <c r="S205">
        <f t="shared" si="31"/>
        <v>1.1010800000000001</v>
      </c>
      <c r="T205">
        <f t="shared" si="32"/>
        <v>1.04352</v>
      </c>
    </row>
    <row r="206" spans="2:20" x14ac:dyDescent="0.35">
      <c r="B206" s="42">
        <v>604</v>
      </c>
      <c r="C206" s="42">
        <v>0.26336999999999999</v>
      </c>
      <c r="D206" s="42">
        <v>0.23579</v>
      </c>
      <c r="E206" s="42">
        <v>0.28403</v>
      </c>
      <c r="F206" s="42">
        <v>0.27127000000000001</v>
      </c>
      <c r="G206" s="42">
        <v>0.26746999999999999</v>
      </c>
      <c r="H206" s="42">
        <v>0.2722</v>
      </c>
      <c r="I206" s="42">
        <v>0.27524999999999999</v>
      </c>
      <c r="J206" s="42">
        <v>0.26079999999999998</v>
      </c>
      <c r="L206" s="20">
        <v>604</v>
      </c>
      <c r="M206">
        <f t="shared" si="25"/>
        <v>1.05348</v>
      </c>
      <c r="N206">
        <f t="shared" si="26"/>
        <v>0.94316</v>
      </c>
      <c r="O206">
        <f t="shared" si="27"/>
        <v>1.13612</v>
      </c>
      <c r="P206">
        <f t="shared" si="28"/>
        <v>1.08508</v>
      </c>
      <c r="Q206">
        <f t="shared" si="29"/>
        <v>1.0698799999999999</v>
      </c>
      <c r="R206">
        <f t="shared" si="30"/>
        <v>1.0888</v>
      </c>
      <c r="S206">
        <f t="shared" si="31"/>
        <v>1.101</v>
      </c>
      <c r="T206">
        <f t="shared" si="32"/>
        <v>1.0431999999999999</v>
      </c>
    </row>
    <row r="207" spans="2:20" x14ac:dyDescent="0.35">
      <c r="B207" s="42">
        <v>605</v>
      </c>
      <c r="C207" s="42">
        <v>0.2636</v>
      </c>
      <c r="D207" s="42">
        <v>0.23594999999999999</v>
      </c>
      <c r="E207" s="42">
        <v>0.28419</v>
      </c>
      <c r="F207" s="42">
        <v>0.27152999999999999</v>
      </c>
      <c r="G207" s="42">
        <v>0.26746999999999999</v>
      </c>
      <c r="H207" s="42">
        <v>0.2722</v>
      </c>
      <c r="I207" s="42">
        <v>0.27523999999999998</v>
      </c>
      <c r="J207" s="42">
        <v>0.26077</v>
      </c>
      <c r="L207" s="20">
        <v>605</v>
      </c>
      <c r="M207">
        <f t="shared" si="25"/>
        <v>1.0544</v>
      </c>
      <c r="N207">
        <f t="shared" si="26"/>
        <v>0.94379999999999997</v>
      </c>
      <c r="O207">
        <f t="shared" si="27"/>
        <v>1.13676</v>
      </c>
      <c r="P207">
        <f t="shared" si="28"/>
        <v>1.08612</v>
      </c>
      <c r="Q207">
        <f t="shared" si="29"/>
        <v>1.0698799999999999</v>
      </c>
      <c r="R207">
        <f t="shared" si="30"/>
        <v>1.0888</v>
      </c>
      <c r="S207">
        <f t="shared" si="31"/>
        <v>1.1009599999999999</v>
      </c>
      <c r="T207">
        <f t="shared" si="32"/>
        <v>1.04308</v>
      </c>
    </row>
    <row r="208" spans="2:20" x14ac:dyDescent="0.35">
      <c r="B208" s="42">
        <v>606</v>
      </c>
      <c r="C208" s="42">
        <v>0.26404</v>
      </c>
      <c r="D208" s="42">
        <v>0.23630999999999999</v>
      </c>
      <c r="E208" s="42">
        <v>0.28448000000000001</v>
      </c>
      <c r="F208" s="42">
        <v>0.27184999999999998</v>
      </c>
      <c r="G208" s="42">
        <v>0.26757999999999998</v>
      </c>
      <c r="H208" s="42">
        <v>0.27239999999999998</v>
      </c>
      <c r="I208" s="42">
        <v>0.27533000000000002</v>
      </c>
      <c r="J208" s="42">
        <v>0.26088</v>
      </c>
      <c r="L208" s="20">
        <v>606</v>
      </c>
      <c r="M208">
        <f t="shared" si="25"/>
        <v>1.05616</v>
      </c>
      <c r="N208">
        <f t="shared" si="26"/>
        <v>0.94523999999999997</v>
      </c>
      <c r="O208">
        <f t="shared" si="27"/>
        <v>1.13792</v>
      </c>
      <c r="P208">
        <f t="shared" si="28"/>
        <v>1.0873999999999999</v>
      </c>
      <c r="Q208">
        <f t="shared" si="29"/>
        <v>1.0703199999999999</v>
      </c>
      <c r="R208">
        <f t="shared" si="30"/>
        <v>1.0895999999999999</v>
      </c>
      <c r="S208">
        <f t="shared" si="31"/>
        <v>1.1013200000000001</v>
      </c>
      <c r="T208">
        <f t="shared" si="32"/>
        <v>1.04352</v>
      </c>
    </row>
    <row r="209" spans="2:20" x14ac:dyDescent="0.35">
      <c r="B209" s="42">
        <v>607</v>
      </c>
      <c r="C209" s="42">
        <v>0.26443</v>
      </c>
      <c r="D209" s="42">
        <v>0.23665</v>
      </c>
      <c r="E209" s="42">
        <v>0.28491</v>
      </c>
      <c r="F209" s="42">
        <v>0.27228999999999998</v>
      </c>
      <c r="G209" s="42">
        <v>0.26778000000000002</v>
      </c>
      <c r="H209" s="42">
        <v>0.27255000000000001</v>
      </c>
      <c r="I209" s="42">
        <v>0.27544000000000002</v>
      </c>
      <c r="J209" s="42">
        <v>0.26105</v>
      </c>
      <c r="L209" s="20">
        <v>607</v>
      </c>
      <c r="M209">
        <f t="shared" si="25"/>
        <v>1.05772</v>
      </c>
      <c r="N209">
        <f t="shared" si="26"/>
        <v>0.9466</v>
      </c>
      <c r="O209">
        <f t="shared" si="27"/>
        <v>1.13964</v>
      </c>
      <c r="P209">
        <f t="shared" si="28"/>
        <v>1.0891599999999999</v>
      </c>
      <c r="Q209">
        <f t="shared" si="29"/>
        <v>1.0711200000000001</v>
      </c>
      <c r="R209">
        <f t="shared" si="30"/>
        <v>1.0902000000000001</v>
      </c>
      <c r="S209">
        <f t="shared" si="31"/>
        <v>1.1017600000000001</v>
      </c>
      <c r="T209">
        <f t="shared" si="32"/>
        <v>1.0442</v>
      </c>
    </row>
    <row r="210" spans="2:20" x14ac:dyDescent="0.35">
      <c r="B210" s="42">
        <v>608</v>
      </c>
      <c r="C210" s="42">
        <v>0.26489000000000001</v>
      </c>
      <c r="D210" s="42">
        <v>0.23701</v>
      </c>
      <c r="E210" s="42">
        <v>0.28532000000000002</v>
      </c>
      <c r="F210" s="42">
        <v>0.27267000000000002</v>
      </c>
      <c r="G210" s="42">
        <v>0.26790000000000003</v>
      </c>
      <c r="H210" s="42">
        <v>0.27273999999999998</v>
      </c>
      <c r="I210" s="42">
        <v>0.27556999999999998</v>
      </c>
      <c r="J210" s="42">
        <v>0.26113999999999998</v>
      </c>
      <c r="L210" s="20">
        <v>608</v>
      </c>
      <c r="M210">
        <f t="shared" si="25"/>
        <v>1.0595600000000001</v>
      </c>
      <c r="N210">
        <f t="shared" si="26"/>
        <v>0.94803999999999999</v>
      </c>
      <c r="O210">
        <f t="shared" si="27"/>
        <v>1.1412800000000001</v>
      </c>
      <c r="P210">
        <f t="shared" si="28"/>
        <v>1.0906800000000001</v>
      </c>
      <c r="Q210">
        <f t="shared" si="29"/>
        <v>1.0716000000000001</v>
      </c>
      <c r="R210">
        <f t="shared" si="30"/>
        <v>1.0909599999999999</v>
      </c>
      <c r="S210">
        <f t="shared" si="31"/>
        <v>1.1022799999999999</v>
      </c>
      <c r="T210">
        <f t="shared" si="32"/>
        <v>1.0445599999999999</v>
      </c>
    </row>
    <row r="211" spans="2:20" x14ac:dyDescent="0.35">
      <c r="B211" s="42">
        <v>609</v>
      </c>
      <c r="C211" s="42">
        <v>0.26546999999999998</v>
      </c>
      <c r="D211" s="42">
        <v>0.23758000000000001</v>
      </c>
      <c r="E211" s="42">
        <v>0.28577000000000002</v>
      </c>
      <c r="F211" s="42">
        <v>0.27329999999999999</v>
      </c>
      <c r="G211" s="42">
        <v>0.26812999999999998</v>
      </c>
      <c r="H211" s="42">
        <v>0.27298</v>
      </c>
      <c r="I211" s="42">
        <v>0.27576000000000001</v>
      </c>
      <c r="J211" s="42">
        <v>0.26136999999999999</v>
      </c>
      <c r="L211" s="20">
        <v>609</v>
      </c>
      <c r="M211">
        <f t="shared" si="25"/>
        <v>1.0618799999999999</v>
      </c>
      <c r="N211">
        <f t="shared" si="26"/>
        <v>0.95032000000000005</v>
      </c>
      <c r="O211">
        <f t="shared" si="27"/>
        <v>1.1430800000000001</v>
      </c>
      <c r="P211">
        <f t="shared" si="28"/>
        <v>1.0931999999999999</v>
      </c>
      <c r="Q211">
        <f t="shared" si="29"/>
        <v>1.0725199999999999</v>
      </c>
      <c r="R211">
        <f t="shared" si="30"/>
        <v>1.09192</v>
      </c>
      <c r="S211">
        <f t="shared" si="31"/>
        <v>1.10304</v>
      </c>
      <c r="T211">
        <f t="shared" si="32"/>
        <v>1.04548</v>
      </c>
    </row>
    <row r="212" spans="2:20" x14ac:dyDescent="0.35">
      <c r="B212" s="42">
        <v>610</v>
      </c>
      <c r="C212" s="42">
        <v>0.26595000000000002</v>
      </c>
      <c r="D212" s="42">
        <v>0.23798</v>
      </c>
      <c r="E212" s="42">
        <v>0.28617999999999999</v>
      </c>
      <c r="F212" s="42">
        <v>0.27372999999999997</v>
      </c>
      <c r="G212" s="42">
        <v>0.26828000000000002</v>
      </c>
      <c r="H212" s="42">
        <v>0.27316000000000001</v>
      </c>
      <c r="I212" s="42">
        <v>0.27590999999999999</v>
      </c>
      <c r="J212" s="42">
        <v>0.26146000000000003</v>
      </c>
      <c r="L212" s="20">
        <v>610</v>
      </c>
      <c r="M212">
        <f t="shared" si="25"/>
        <v>1.0638000000000001</v>
      </c>
      <c r="N212">
        <f t="shared" si="26"/>
        <v>0.95191999999999999</v>
      </c>
      <c r="O212">
        <f t="shared" si="27"/>
        <v>1.14472</v>
      </c>
      <c r="P212">
        <f t="shared" si="28"/>
        <v>1.0949199999999999</v>
      </c>
      <c r="Q212">
        <f t="shared" si="29"/>
        <v>1.0731200000000001</v>
      </c>
      <c r="R212">
        <f t="shared" si="30"/>
        <v>1.0926400000000001</v>
      </c>
      <c r="S212">
        <f t="shared" si="31"/>
        <v>1.10364</v>
      </c>
      <c r="T212">
        <f t="shared" si="32"/>
        <v>1.0458400000000001</v>
      </c>
    </row>
    <row r="213" spans="2:20" x14ac:dyDescent="0.35">
      <c r="B213" s="42">
        <v>611</v>
      </c>
      <c r="C213" s="42">
        <v>0.26668999999999998</v>
      </c>
      <c r="D213" s="42">
        <v>0.23860000000000001</v>
      </c>
      <c r="E213" s="42">
        <v>0.28682999999999997</v>
      </c>
      <c r="F213" s="42">
        <v>0.27444000000000002</v>
      </c>
      <c r="G213" s="42">
        <v>0.26862999999999998</v>
      </c>
      <c r="H213" s="42">
        <v>0.27359</v>
      </c>
      <c r="I213" s="42">
        <v>0.27626000000000001</v>
      </c>
      <c r="J213" s="42">
        <v>0.26184000000000002</v>
      </c>
      <c r="L213" s="20">
        <v>611</v>
      </c>
      <c r="M213">
        <f t="shared" si="25"/>
        <v>1.0667599999999999</v>
      </c>
      <c r="N213">
        <f t="shared" si="26"/>
        <v>0.95440000000000003</v>
      </c>
      <c r="O213">
        <f t="shared" si="27"/>
        <v>1.1473199999999999</v>
      </c>
      <c r="P213">
        <f t="shared" si="28"/>
        <v>1.0977600000000001</v>
      </c>
      <c r="Q213">
        <f t="shared" si="29"/>
        <v>1.0745199999999999</v>
      </c>
      <c r="R213">
        <f t="shared" si="30"/>
        <v>1.09436</v>
      </c>
      <c r="S213">
        <f t="shared" si="31"/>
        <v>1.10504</v>
      </c>
      <c r="T213">
        <f t="shared" si="32"/>
        <v>1.0473600000000001</v>
      </c>
    </row>
    <row r="214" spans="2:20" x14ac:dyDescent="0.35">
      <c r="B214" s="42">
        <v>612</v>
      </c>
      <c r="C214" s="42">
        <v>0.26746999999999999</v>
      </c>
      <c r="D214" s="42">
        <v>0.23923</v>
      </c>
      <c r="E214" s="42">
        <v>0.28749000000000002</v>
      </c>
      <c r="F214" s="42">
        <v>0.27510000000000001</v>
      </c>
      <c r="G214" s="42">
        <v>0.26891999999999999</v>
      </c>
      <c r="H214" s="42">
        <v>0.27390999999999999</v>
      </c>
      <c r="I214" s="42">
        <v>0.27645999999999998</v>
      </c>
      <c r="J214" s="42">
        <v>0.2621</v>
      </c>
      <c r="L214" s="20">
        <v>612</v>
      </c>
      <c r="M214">
        <f t="shared" si="25"/>
        <v>1.0698799999999999</v>
      </c>
      <c r="N214">
        <f t="shared" si="26"/>
        <v>0.95691999999999999</v>
      </c>
      <c r="O214">
        <f t="shared" si="27"/>
        <v>1.1499600000000001</v>
      </c>
      <c r="P214">
        <f t="shared" si="28"/>
        <v>1.1004</v>
      </c>
      <c r="Q214">
        <f t="shared" si="29"/>
        <v>1.07568</v>
      </c>
      <c r="R214">
        <f t="shared" si="30"/>
        <v>1.0956399999999999</v>
      </c>
      <c r="S214">
        <f t="shared" si="31"/>
        <v>1.1058399999999999</v>
      </c>
      <c r="T214">
        <f t="shared" si="32"/>
        <v>1.0484</v>
      </c>
    </row>
    <row r="215" spans="2:20" x14ac:dyDescent="0.35">
      <c r="B215" s="42">
        <v>613</v>
      </c>
      <c r="C215" s="42">
        <v>0.26828000000000002</v>
      </c>
      <c r="D215" s="42">
        <v>0.23999000000000001</v>
      </c>
      <c r="E215" s="42">
        <v>0.28825000000000001</v>
      </c>
      <c r="F215" s="42">
        <v>0.27590999999999999</v>
      </c>
      <c r="G215" s="42">
        <v>0.26938000000000001</v>
      </c>
      <c r="H215" s="42">
        <v>0.27434999999999998</v>
      </c>
      <c r="I215" s="42">
        <v>0.27685999999999999</v>
      </c>
      <c r="J215" s="42">
        <v>0.26251000000000002</v>
      </c>
      <c r="L215" s="20">
        <v>613</v>
      </c>
      <c r="M215">
        <f t="shared" si="25"/>
        <v>1.0731200000000001</v>
      </c>
      <c r="N215">
        <f t="shared" si="26"/>
        <v>0.95996000000000004</v>
      </c>
      <c r="O215">
        <f t="shared" si="27"/>
        <v>1.153</v>
      </c>
      <c r="P215">
        <f t="shared" si="28"/>
        <v>1.10364</v>
      </c>
      <c r="Q215">
        <f t="shared" si="29"/>
        <v>1.07752</v>
      </c>
      <c r="R215">
        <f t="shared" si="30"/>
        <v>1.0973999999999999</v>
      </c>
      <c r="S215">
        <f t="shared" si="31"/>
        <v>1.10744</v>
      </c>
      <c r="T215">
        <f t="shared" si="32"/>
        <v>1.0500400000000001</v>
      </c>
    </row>
    <row r="216" spans="2:20" x14ac:dyDescent="0.35">
      <c r="B216" s="42">
        <v>614</v>
      </c>
      <c r="C216" s="42">
        <v>0.26915</v>
      </c>
      <c r="D216" s="42">
        <v>0.24074000000000001</v>
      </c>
      <c r="E216" s="42">
        <v>0.28903000000000001</v>
      </c>
      <c r="F216" s="42">
        <v>0.27683999999999997</v>
      </c>
      <c r="G216" s="42">
        <v>0.26980999999999999</v>
      </c>
      <c r="H216" s="42">
        <v>0.27483000000000002</v>
      </c>
      <c r="I216" s="42">
        <v>0.27728000000000003</v>
      </c>
      <c r="J216" s="42">
        <v>0.26291999999999999</v>
      </c>
      <c r="L216" s="20">
        <v>614</v>
      </c>
      <c r="M216">
        <f t="shared" si="25"/>
        <v>1.0766</v>
      </c>
      <c r="N216">
        <f t="shared" si="26"/>
        <v>0.96296000000000004</v>
      </c>
      <c r="O216">
        <f t="shared" si="27"/>
        <v>1.15612</v>
      </c>
      <c r="P216">
        <f t="shared" si="28"/>
        <v>1.1073599999999999</v>
      </c>
      <c r="Q216">
        <f t="shared" si="29"/>
        <v>1.07924</v>
      </c>
      <c r="R216">
        <f t="shared" si="30"/>
        <v>1.0993200000000001</v>
      </c>
      <c r="S216">
        <f t="shared" si="31"/>
        <v>1.1091200000000001</v>
      </c>
      <c r="T216">
        <f t="shared" si="32"/>
        <v>1.0516799999999999</v>
      </c>
    </row>
    <row r="217" spans="2:20" x14ac:dyDescent="0.35">
      <c r="B217" s="42">
        <v>615</v>
      </c>
      <c r="C217" s="42">
        <v>0.27016000000000001</v>
      </c>
      <c r="D217" s="42">
        <v>0.24162</v>
      </c>
      <c r="E217" s="42">
        <v>0.28998000000000002</v>
      </c>
      <c r="F217" s="42">
        <v>0.27773999999999999</v>
      </c>
      <c r="G217" s="42">
        <v>0.27032</v>
      </c>
      <c r="H217" s="42">
        <v>0.27542</v>
      </c>
      <c r="I217" s="42">
        <v>0.27776000000000001</v>
      </c>
      <c r="J217" s="42">
        <v>0.26340999999999998</v>
      </c>
      <c r="L217" s="20">
        <v>615</v>
      </c>
      <c r="M217">
        <f t="shared" si="25"/>
        <v>1.08064</v>
      </c>
      <c r="N217">
        <f t="shared" si="26"/>
        <v>0.96648000000000001</v>
      </c>
      <c r="O217">
        <f t="shared" si="27"/>
        <v>1.1599200000000001</v>
      </c>
      <c r="P217">
        <f t="shared" si="28"/>
        <v>1.1109599999999999</v>
      </c>
      <c r="Q217">
        <f t="shared" si="29"/>
        <v>1.08128</v>
      </c>
      <c r="R217">
        <f t="shared" si="30"/>
        <v>1.10168</v>
      </c>
      <c r="S217">
        <f t="shared" si="31"/>
        <v>1.11104</v>
      </c>
      <c r="T217">
        <f t="shared" si="32"/>
        <v>1.0536399999999999</v>
      </c>
    </row>
    <row r="218" spans="2:20" x14ac:dyDescent="0.35">
      <c r="B218" s="42">
        <v>616</v>
      </c>
      <c r="C218" s="42">
        <v>0.27112000000000003</v>
      </c>
      <c r="D218" s="42">
        <v>0.24251</v>
      </c>
      <c r="E218" s="42">
        <v>0.29088000000000003</v>
      </c>
      <c r="F218" s="42">
        <v>0.27862999999999999</v>
      </c>
      <c r="G218" s="42">
        <v>0.27077000000000001</v>
      </c>
      <c r="H218" s="42">
        <v>0.27595999999999998</v>
      </c>
      <c r="I218" s="42">
        <v>0.27817999999999998</v>
      </c>
      <c r="J218" s="42">
        <v>0.26386999999999999</v>
      </c>
      <c r="L218" s="20">
        <v>616</v>
      </c>
      <c r="M218">
        <f t="shared" si="25"/>
        <v>1.0844800000000001</v>
      </c>
      <c r="N218">
        <f t="shared" si="26"/>
        <v>0.97004000000000001</v>
      </c>
      <c r="O218">
        <f t="shared" si="27"/>
        <v>1.1635200000000001</v>
      </c>
      <c r="P218">
        <f t="shared" si="28"/>
        <v>1.11452</v>
      </c>
      <c r="Q218">
        <f t="shared" si="29"/>
        <v>1.08308</v>
      </c>
      <c r="R218">
        <f t="shared" si="30"/>
        <v>1.1038399999999999</v>
      </c>
      <c r="S218">
        <f t="shared" si="31"/>
        <v>1.1127199999999999</v>
      </c>
      <c r="T218">
        <f t="shared" si="32"/>
        <v>1.05548</v>
      </c>
    </row>
    <row r="219" spans="2:20" x14ac:dyDescent="0.35">
      <c r="B219" s="42">
        <v>617</v>
      </c>
      <c r="C219" s="42">
        <v>0.27218999999999999</v>
      </c>
      <c r="D219" s="42">
        <v>0.24346999999999999</v>
      </c>
      <c r="E219" s="42">
        <v>0.29176000000000002</v>
      </c>
      <c r="F219" s="42">
        <v>0.27965000000000001</v>
      </c>
      <c r="G219" s="42">
        <v>0.27132000000000001</v>
      </c>
      <c r="H219" s="42">
        <v>0.27660000000000001</v>
      </c>
      <c r="I219" s="42">
        <v>0.27868999999999999</v>
      </c>
      <c r="J219" s="42">
        <v>0.26435999999999998</v>
      </c>
      <c r="L219" s="20">
        <v>617</v>
      </c>
      <c r="M219">
        <f t="shared" si="25"/>
        <v>1.08876</v>
      </c>
      <c r="N219">
        <f t="shared" si="26"/>
        <v>0.97387999999999997</v>
      </c>
      <c r="O219">
        <f t="shared" si="27"/>
        <v>1.1670400000000001</v>
      </c>
      <c r="P219">
        <f t="shared" si="28"/>
        <v>1.1186</v>
      </c>
      <c r="Q219">
        <f t="shared" si="29"/>
        <v>1.08528</v>
      </c>
      <c r="R219">
        <f t="shared" si="30"/>
        <v>1.1064000000000001</v>
      </c>
      <c r="S219">
        <f t="shared" si="31"/>
        <v>1.11476</v>
      </c>
      <c r="T219">
        <f t="shared" si="32"/>
        <v>1.0574399999999999</v>
      </c>
    </row>
    <row r="220" spans="2:20" x14ac:dyDescent="0.35">
      <c r="B220" s="42">
        <v>618</v>
      </c>
      <c r="C220" s="42">
        <v>0.27328000000000002</v>
      </c>
      <c r="D220" s="42">
        <v>0.24437999999999999</v>
      </c>
      <c r="E220" s="42">
        <v>0.29276000000000002</v>
      </c>
      <c r="F220" s="42">
        <v>0.28066999999999998</v>
      </c>
      <c r="G220" s="42">
        <v>0.27184999999999998</v>
      </c>
      <c r="H220" s="42">
        <v>0.27721000000000001</v>
      </c>
      <c r="I220" s="42">
        <v>0.27922000000000002</v>
      </c>
      <c r="J220" s="42">
        <v>0.26490999999999998</v>
      </c>
      <c r="L220" s="20">
        <v>618</v>
      </c>
      <c r="M220">
        <f t="shared" si="25"/>
        <v>1.0931200000000001</v>
      </c>
      <c r="N220">
        <f t="shared" si="26"/>
        <v>0.97751999999999994</v>
      </c>
      <c r="O220">
        <f t="shared" si="27"/>
        <v>1.1710400000000001</v>
      </c>
      <c r="P220">
        <f t="shared" si="28"/>
        <v>1.1226799999999999</v>
      </c>
      <c r="Q220">
        <f t="shared" si="29"/>
        <v>1.0873999999999999</v>
      </c>
      <c r="R220">
        <f t="shared" si="30"/>
        <v>1.10884</v>
      </c>
      <c r="S220">
        <f t="shared" si="31"/>
        <v>1.1168800000000001</v>
      </c>
      <c r="T220">
        <f t="shared" si="32"/>
        <v>1.0596399999999999</v>
      </c>
    </row>
    <row r="221" spans="2:20" x14ac:dyDescent="0.35">
      <c r="B221" s="42">
        <v>619</v>
      </c>
      <c r="C221" s="42">
        <v>0.27448</v>
      </c>
      <c r="D221" s="42">
        <v>0.24540999999999999</v>
      </c>
      <c r="E221" s="42">
        <v>0.29376000000000002</v>
      </c>
      <c r="F221" s="42">
        <v>0.28179999999999999</v>
      </c>
      <c r="G221" s="42">
        <v>0.27245000000000003</v>
      </c>
      <c r="H221" s="42">
        <v>0.27786</v>
      </c>
      <c r="I221" s="42">
        <v>0.27982000000000001</v>
      </c>
      <c r="J221" s="42">
        <v>0.26546999999999998</v>
      </c>
      <c r="L221" s="20">
        <v>619</v>
      </c>
      <c r="M221">
        <f t="shared" si="25"/>
        <v>1.09792</v>
      </c>
      <c r="N221">
        <f t="shared" si="26"/>
        <v>0.98163999999999996</v>
      </c>
      <c r="O221">
        <f t="shared" si="27"/>
        <v>1.1750400000000001</v>
      </c>
      <c r="P221">
        <f t="shared" si="28"/>
        <v>1.1272</v>
      </c>
      <c r="Q221">
        <f t="shared" si="29"/>
        <v>1.0898000000000001</v>
      </c>
      <c r="R221">
        <f t="shared" si="30"/>
        <v>1.11144</v>
      </c>
      <c r="S221">
        <f t="shared" si="31"/>
        <v>1.1192800000000001</v>
      </c>
      <c r="T221">
        <f t="shared" si="32"/>
        <v>1.0618799999999999</v>
      </c>
    </row>
    <row r="222" spans="2:20" x14ac:dyDescent="0.35">
      <c r="B222" s="42">
        <v>620</v>
      </c>
      <c r="C222" s="42">
        <v>0.27567999999999998</v>
      </c>
      <c r="D222" s="42">
        <v>0.24651000000000001</v>
      </c>
      <c r="E222" s="42">
        <v>0.29480000000000001</v>
      </c>
      <c r="F222" s="42">
        <v>0.28290999999999999</v>
      </c>
      <c r="G222" s="42">
        <v>0.27315</v>
      </c>
      <c r="H222" s="42">
        <v>0.27857999999999999</v>
      </c>
      <c r="I222" s="42">
        <v>0.28045999999999999</v>
      </c>
      <c r="J222" s="42">
        <v>0.26611000000000001</v>
      </c>
      <c r="L222" s="20">
        <v>620</v>
      </c>
      <c r="M222">
        <f t="shared" si="25"/>
        <v>1.1027199999999999</v>
      </c>
      <c r="N222">
        <f t="shared" si="26"/>
        <v>0.98604000000000003</v>
      </c>
      <c r="O222">
        <f t="shared" si="27"/>
        <v>1.1792</v>
      </c>
      <c r="P222">
        <f t="shared" si="28"/>
        <v>1.13164</v>
      </c>
      <c r="Q222">
        <f t="shared" si="29"/>
        <v>1.0926</v>
      </c>
      <c r="R222">
        <f t="shared" si="30"/>
        <v>1.11432</v>
      </c>
      <c r="S222">
        <f t="shared" si="31"/>
        <v>1.1218399999999999</v>
      </c>
      <c r="T222">
        <f t="shared" si="32"/>
        <v>1.0644400000000001</v>
      </c>
    </row>
    <row r="223" spans="2:20" x14ac:dyDescent="0.35">
      <c r="B223" s="42">
        <v>621</v>
      </c>
      <c r="C223" s="42">
        <v>0.27685999999999999</v>
      </c>
      <c r="D223" s="42">
        <v>0.24757000000000001</v>
      </c>
      <c r="E223" s="42">
        <v>0.29585</v>
      </c>
      <c r="F223" s="42">
        <v>0.28404000000000001</v>
      </c>
      <c r="G223" s="42">
        <v>0.27371000000000001</v>
      </c>
      <c r="H223" s="42">
        <v>0.27921000000000001</v>
      </c>
      <c r="I223" s="42">
        <v>0.28101999999999999</v>
      </c>
      <c r="J223" s="42">
        <v>0.26667999999999997</v>
      </c>
      <c r="L223" s="20">
        <v>621</v>
      </c>
      <c r="M223">
        <f t="shared" si="25"/>
        <v>1.10744</v>
      </c>
      <c r="N223">
        <f t="shared" si="26"/>
        <v>0.99028000000000005</v>
      </c>
      <c r="O223">
        <f t="shared" si="27"/>
        <v>1.1834</v>
      </c>
      <c r="P223">
        <f t="shared" si="28"/>
        <v>1.1361600000000001</v>
      </c>
      <c r="Q223">
        <f t="shared" si="29"/>
        <v>1.09484</v>
      </c>
      <c r="R223">
        <f t="shared" si="30"/>
        <v>1.1168400000000001</v>
      </c>
      <c r="S223">
        <f t="shared" si="31"/>
        <v>1.12408</v>
      </c>
      <c r="T223">
        <f t="shared" si="32"/>
        <v>1.0667199999999999</v>
      </c>
    </row>
    <row r="224" spans="2:20" x14ac:dyDescent="0.35">
      <c r="B224" s="42">
        <v>622</v>
      </c>
      <c r="C224" s="42">
        <v>0.27807999999999999</v>
      </c>
      <c r="D224" s="42">
        <v>0.24859999999999999</v>
      </c>
      <c r="E224" s="42">
        <v>0.29691000000000001</v>
      </c>
      <c r="F224" s="42">
        <v>0.28516999999999998</v>
      </c>
      <c r="G224" s="42">
        <v>0.27437</v>
      </c>
      <c r="H224" s="42">
        <v>0.27989000000000003</v>
      </c>
      <c r="I224" s="42">
        <v>0.28165000000000001</v>
      </c>
      <c r="J224" s="42">
        <v>0.26723000000000002</v>
      </c>
      <c r="L224" s="20">
        <v>622</v>
      </c>
      <c r="M224">
        <f t="shared" si="25"/>
        <v>1.11232</v>
      </c>
      <c r="N224">
        <f t="shared" si="26"/>
        <v>0.99439999999999995</v>
      </c>
      <c r="O224">
        <f t="shared" si="27"/>
        <v>1.18764</v>
      </c>
      <c r="P224">
        <f t="shared" si="28"/>
        <v>1.1406799999999999</v>
      </c>
      <c r="Q224">
        <f t="shared" si="29"/>
        <v>1.09748</v>
      </c>
      <c r="R224">
        <f t="shared" si="30"/>
        <v>1.1195600000000001</v>
      </c>
      <c r="S224">
        <f t="shared" si="31"/>
        <v>1.1266</v>
      </c>
      <c r="T224">
        <f t="shared" si="32"/>
        <v>1.0689200000000001</v>
      </c>
    </row>
    <row r="225" spans="2:20" x14ac:dyDescent="0.35">
      <c r="B225" s="42">
        <v>623</v>
      </c>
      <c r="C225" s="42">
        <v>0.27942</v>
      </c>
      <c r="D225" s="42">
        <v>0.24976999999999999</v>
      </c>
      <c r="E225" s="42">
        <v>0.29814000000000002</v>
      </c>
      <c r="F225" s="42">
        <v>0.28642000000000001</v>
      </c>
      <c r="G225" s="42">
        <v>0.27506999999999998</v>
      </c>
      <c r="H225" s="42">
        <v>0.28070000000000001</v>
      </c>
      <c r="I225" s="42">
        <v>0.28226000000000001</v>
      </c>
      <c r="J225" s="42">
        <v>0.26790999999999998</v>
      </c>
      <c r="L225" s="20">
        <v>623</v>
      </c>
      <c r="M225">
        <f t="shared" si="25"/>
        <v>1.11768</v>
      </c>
      <c r="N225">
        <f t="shared" si="26"/>
        <v>0.99907999999999997</v>
      </c>
      <c r="O225">
        <f t="shared" si="27"/>
        <v>1.1925600000000001</v>
      </c>
      <c r="P225">
        <f t="shared" si="28"/>
        <v>1.14568</v>
      </c>
      <c r="Q225">
        <f t="shared" si="29"/>
        <v>1.1002799999999999</v>
      </c>
      <c r="R225">
        <f t="shared" si="30"/>
        <v>1.1228</v>
      </c>
      <c r="S225">
        <f t="shared" si="31"/>
        <v>1.12904</v>
      </c>
      <c r="T225">
        <f t="shared" si="32"/>
        <v>1.0716399999999999</v>
      </c>
    </row>
    <row r="226" spans="2:20" x14ac:dyDescent="0.35">
      <c r="B226" s="42">
        <v>624</v>
      </c>
      <c r="C226" s="42">
        <v>0.28072000000000003</v>
      </c>
      <c r="D226" s="42">
        <v>0.25092999999999999</v>
      </c>
      <c r="E226" s="42">
        <v>0.29926000000000003</v>
      </c>
      <c r="F226" s="42">
        <v>0.28764000000000001</v>
      </c>
      <c r="G226" s="42">
        <v>0.2757</v>
      </c>
      <c r="H226" s="42">
        <v>0.28149000000000002</v>
      </c>
      <c r="I226" s="42">
        <v>0.28294000000000002</v>
      </c>
      <c r="J226" s="42">
        <v>0.26856999999999998</v>
      </c>
      <c r="L226" s="20">
        <v>624</v>
      </c>
      <c r="M226">
        <f t="shared" si="25"/>
        <v>1.1228800000000001</v>
      </c>
      <c r="N226">
        <f t="shared" si="26"/>
        <v>1.0037199999999999</v>
      </c>
      <c r="O226">
        <f t="shared" si="27"/>
        <v>1.1970400000000001</v>
      </c>
      <c r="P226">
        <f t="shared" si="28"/>
        <v>1.15056</v>
      </c>
      <c r="Q226">
        <f t="shared" si="29"/>
        <v>1.1028</v>
      </c>
      <c r="R226">
        <f t="shared" si="30"/>
        <v>1.1259600000000001</v>
      </c>
      <c r="S226">
        <f t="shared" si="31"/>
        <v>1.1317600000000001</v>
      </c>
      <c r="T226">
        <f t="shared" si="32"/>
        <v>1.0742799999999999</v>
      </c>
    </row>
    <row r="227" spans="2:20" x14ac:dyDescent="0.35">
      <c r="B227" s="42">
        <v>625</v>
      </c>
      <c r="C227" s="42">
        <v>0.28194999999999998</v>
      </c>
      <c r="D227" s="42">
        <v>0.25211</v>
      </c>
      <c r="E227" s="42">
        <v>0.30042000000000002</v>
      </c>
      <c r="F227" s="42">
        <v>0.28893000000000002</v>
      </c>
      <c r="G227" s="42">
        <v>0.27644000000000002</v>
      </c>
      <c r="H227" s="42">
        <v>0.28223999999999999</v>
      </c>
      <c r="I227" s="42">
        <v>0.28366000000000002</v>
      </c>
      <c r="J227" s="42">
        <v>0.26923999999999998</v>
      </c>
      <c r="L227" s="20">
        <v>625</v>
      </c>
      <c r="M227">
        <f t="shared" si="25"/>
        <v>1.1277999999999999</v>
      </c>
      <c r="N227">
        <f t="shared" si="26"/>
        <v>1.00844</v>
      </c>
      <c r="O227">
        <f t="shared" si="27"/>
        <v>1.2016800000000001</v>
      </c>
      <c r="P227">
        <f t="shared" si="28"/>
        <v>1.1557200000000001</v>
      </c>
      <c r="Q227">
        <f t="shared" si="29"/>
        <v>1.1057600000000001</v>
      </c>
      <c r="R227">
        <f t="shared" si="30"/>
        <v>1.12896</v>
      </c>
      <c r="S227">
        <f t="shared" si="31"/>
        <v>1.1346400000000001</v>
      </c>
      <c r="T227">
        <f t="shared" si="32"/>
        <v>1.0769599999999999</v>
      </c>
    </row>
    <row r="228" spans="2:20" x14ac:dyDescent="0.35">
      <c r="B228" s="42">
        <v>626</v>
      </c>
      <c r="C228" s="42">
        <v>0.28331000000000001</v>
      </c>
      <c r="D228" s="42">
        <v>0.25322</v>
      </c>
      <c r="E228" s="42">
        <v>0.30153999999999997</v>
      </c>
      <c r="F228" s="42">
        <v>0.29013</v>
      </c>
      <c r="G228" s="42">
        <v>0.27707999999999999</v>
      </c>
      <c r="H228" s="42">
        <v>0.28299999999999997</v>
      </c>
      <c r="I228" s="42">
        <v>0.28426000000000001</v>
      </c>
      <c r="J228" s="42">
        <v>0.26988000000000001</v>
      </c>
      <c r="L228" s="20">
        <v>626</v>
      </c>
      <c r="M228">
        <f t="shared" si="25"/>
        <v>1.13324</v>
      </c>
      <c r="N228">
        <f t="shared" si="26"/>
        <v>1.01288</v>
      </c>
      <c r="O228">
        <f t="shared" si="27"/>
        <v>1.2061599999999999</v>
      </c>
      <c r="P228">
        <f t="shared" si="28"/>
        <v>1.16052</v>
      </c>
      <c r="Q228">
        <f t="shared" si="29"/>
        <v>1.10832</v>
      </c>
      <c r="R228">
        <f t="shared" si="30"/>
        <v>1.1319999999999999</v>
      </c>
      <c r="S228">
        <f t="shared" si="31"/>
        <v>1.1370400000000001</v>
      </c>
      <c r="T228">
        <f t="shared" si="32"/>
        <v>1.07952</v>
      </c>
    </row>
    <row r="229" spans="2:20" x14ac:dyDescent="0.35">
      <c r="B229" s="42">
        <v>627</v>
      </c>
      <c r="C229" s="42">
        <v>0.28452</v>
      </c>
      <c r="D229" s="42">
        <v>0.25433</v>
      </c>
      <c r="E229" s="42">
        <v>0.30265999999999998</v>
      </c>
      <c r="F229" s="42">
        <v>0.29126000000000002</v>
      </c>
      <c r="G229" s="42">
        <v>0.27772999999999998</v>
      </c>
      <c r="H229" s="42">
        <v>0.28371000000000002</v>
      </c>
      <c r="I229" s="42">
        <v>0.28487000000000001</v>
      </c>
      <c r="J229" s="42">
        <v>0.27045999999999998</v>
      </c>
      <c r="L229" s="20">
        <v>627</v>
      </c>
      <c r="M229">
        <f t="shared" si="25"/>
        <v>1.13808</v>
      </c>
      <c r="N229">
        <f t="shared" si="26"/>
        <v>1.01732</v>
      </c>
      <c r="O229">
        <f t="shared" si="27"/>
        <v>1.2106399999999999</v>
      </c>
      <c r="P229">
        <f t="shared" si="28"/>
        <v>1.1650400000000001</v>
      </c>
      <c r="Q229">
        <f t="shared" si="29"/>
        <v>1.1109199999999999</v>
      </c>
      <c r="R229">
        <f t="shared" si="30"/>
        <v>1.1348400000000001</v>
      </c>
      <c r="S229">
        <f t="shared" si="31"/>
        <v>1.13948</v>
      </c>
      <c r="T229">
        <f t="shared" si="32"/>
        <v>1.0818399999999999</v>
      </c>
    </row>
    <row r="230" spans="2:20" x14ac:dyDescent="0.35">
      <c r="B230" s="42">
        <v>628</v>
      </c>
      <c r="C230" s="42">
        <v>0.28567999999999999</v>
      </c>
      <c r="D230" s="42">
        <v>0.25534000000000001</v>
      </c>
      <c r="E230" s="42">
        <v>0.30364999999999998</v>
      </c>
      <c r="F230" s="42">
        <v>0.29238999999999998</v>
      </c>
      <c r="G230" s="42">
        <v>0.27837000000000001</v>
      </c>
      <c r="H230" s="42">
        <v>0.28434999999999999</v>
      </c>
      <c r="I230" s="42">
        <v>0.28543000000000002</v>
      </c>
      <c r="J230" s="42">
        <v>0.27106000000000002</v>
      </c>
      <c r="L230" s="20">
        <v>628</v>
      </c>
      <c r="M230">
        <f t="shared" si="25"/>
        <v>1.14272</v>
      </c>
      <c r="N230">
        <f t="shared" si="26"/>
        <v>1.02136</v>
      </c>
      <c r="O230">
        <f t="shared" si="27"/>
        <v>1.2145999999999999</v>
      </c>
      <c r="P230">
        <f t="shared" si="28"/>
        <v>1.1695599999999999</v>
      </c>
      <c r="Q230">
        <f t="shared" si="29"/>
        <v>1.11348</v>
      </c>
      <c r="R230">
        <f t="shared" si="30"/>
        <v>1.1374</v>
      </c>
      <c r="S230">
        <f t="shared" si="31"/>
        <v>1.1417200000000001</v>
      </c>
      <c r="T230">
        <f t="shared" si="32"/>
        <v>1.0842400000000001</v>
      </c>
    </row>
    <row r="231" spans="2:20" x14ac:dyDescent="0.35">
      <c r="B231" s="42">
        <v>629</v>
      </c>
      <c r="C231" s="42">
        <v>0.28677000000000002</v>
      </c>
      <c r="D231" s="42">
        <v>0.25629000000000002</v>
      </c>
      <c r="E231" s="42">
        <v>0.30464000000000002</v>
      </c>
      <c r="F231" s="42">
        <v>0.29332999999999998</v>
      </c>
      <c r="G231" s="42">
        <v>0.27887000000000001</v>
      </c>
      <c r="H231" s="42">
        <v>0.28494000000000003</v>
      </c>
      <c r="I231" s="42">
        <v>0.28589999999999999</v>
      </c>
      <c r="J231" s="42">
        <v>0.27152999999999999</v>
      </c>
      <c r="L231" s="20">
        <v>629</v>
      </c>
      <c r="M231">
        <f t="shared" si="25"/>
        <v>1.1470800000000001</v>
      </c>
      <c r="N231">
        <f t="shared" si="26"/>
        <v>1.0251600000000001</v>
      </c>
      <c r="O231">
        <f t="shared" si="27"/>
        <v>1.2185600000000001</v>
      </c>
      <c r="P231">
        <f t="shared" si="28"/>
        <v>1.1733199999999999</v>
      </c>
      <c r="Q231">
        <f t="shared" si="29"/>
        <v>1.11548</v>
      </c>
      <c r="R231">
        <f t="shared" si="30"/>
        <v>1.1397600000000001</v>
      </c>
      <c r="S231">
        <f t="shared" si="31"/>
        <v>1.1435999999999999</v>
      </c>
      <c r="T231">
        <f t="shared" si="32"/>
        <v>1.08612</v>
      </c>
    </row>
    <row r="232" spans="2:20" x14ac:dyDescent="0.35">
      <c r="B232" s="42">
        <v>630</v>
      </c>
      <c r="C232" s="42">
        <v>0.28781000000000001</v>
      </c>
      <c r="D232" s="42">
        <v>0.25722</v>
      </c>
      <c r="E232" s="42">
        <v>0.30551</v>
      </c>
      <c r="F232" s="42">
        <v>0.29438999999999999</v>
      </c>
      <c r="G232" s="42">
        <v>0.27943000000000001</v>
      </c>
      <c r="H232" s="42">
        <v>0.28560999999999998</v>
      </c>
      <c r="I232" s="42">
        <v>0.28641</v>
      </c>
      <c r="J232" s="42">
        <v>0.27202999999999999</v>
      </c>
      <c r="L232" s="20">
        <v>630</v>
      </c>
      <c r="M232">
        <f t="shared" si="25"/>
        <v>1.15124</v>
      </c>
      <c r="N232">
        <f t="shared" si="26"/>
        <v>1.02888</v>
      </c>
      <c r="O232">
        <f t="shared" si="27"/>
        <v>1.22204</v>
      </c>
      <c r="P232">
        <f t="shared" si="28"/>
        <v>1.1775599999999999</v>
      </c>
      <c r="Q232">
        <f t="shared" si="29"/>
        <v>1.11772</v>
      </c>
      <c r="R232">
        <f t="shared" si="30"/>
        <v>1.1424399999999999</v>
      </c>
      <c r="S232">
        <f t="shared" si="31"/>
        <v>1.14564</v>
      </c>
      <c r="T232">
        <f t="shared" si="32"/>
        <v>1.08812</v>
      </c>
    </row>
    <row r="233" spans="2:20" x14ac:dyDescent="0.35">
      <c r="B233" s="42">
        <v>631</v>
      </c>
      <c r="C233" s="42">
        <v>0.28878999999999999</v>
      </c>
      <c r="D233" s="42">
        <v>0.25808999999999999</v>
      </c>
      <c r="E233" s="42">
        <v>0.30642999999999998</v>
      </c>
      <c r="F233" s="42">
        <v>0.29529</v>
      </c>
      <c r="G233" s="42">
        <v>0.27984999999999999</v>
      </c>
      <c r="H233" s="42">
        <v>0.28609000000000001</v>
      </c>
      <c r="I233" s="42">
        <v>0.28682999999999997</v>
      </c>
      <c r="J233" s="42">
        <v>0.27248</v>
      </c>
      <c r="L233" s="20">
        <v>631</v>
      </c>
      <c r="M233">
        <f t="shared" si="25"/>
        <v>1.15516</v>
      </c>
      <c r="N233">
        <f t="shared" si="26"/>
        <v>1.0323599999999999</v>
      </c>
      <c r="O233">
        <f t="shared" si="27"/>
        <v>1.2257199999999999</v>
      </c>
      <c r="P233">
        <f t="shared" si="28"/>
        <v>1.18116</v>
      </c>
      <c r="Q233">
        <f t="shared" si="29"/>
        <v>1.1194</v>
      </c>
      <c r="R233">
        <f t="shared" si="30"/>
        <v>1.14436</v>
      </c>
      <c r="S233">
        <f t="shared" si="31"/>
        <v>1.1473199999999999</v>
      </c>
      <c r="T233">
        <f t="shared" si="32"/>
        <v>1.08992</v>
      </c>
    </row>
    <row r="234" spans="2:20" x14ac:dyDescent="0.35">
      <c r="B234" s="42">
        <v>632</v>
      </c>
      <c r="C234" s="42">
        <v>0.28965999999999997</v>
      </c>
      <c r="D234" s="42">
        <v>0.25881999999999999</v>
      </c>
      <c r="E234" s="42">
        <v>0.30709999999999998</v>
      </c>
      <c r="F234" s="42">
        <v>0.29602000000000001</v>
      </c>
      <c r="G234" s="42">
        <v>0.28023999999999999</v>
      </c>
      <c r="H234" s="42">
        <v>0.28654000000000002</v>
      </c>
      <c r="I234" s="42">
        <v>0.28719</v>
      </c>
      <c r="J234" s="42">
        <v>0.27278000000000002</v>
      </c>
      <c r="L234" s="20">
        <v>632</v>
      </c>
      <c r="M234">
        <f t="shared" si="25"/>
        <v>1.1586399999999999</v>
      </c>
      <c r="N234">
        <f t="shared" si="26"/>
        <v>1.03528</v>
      </c>
      <c r="O234">
        <f t="shared" si="27"/>
        <v>1.2283999999999999</v>
      </c>
      <c r="P234">
        <f t="shared" si="28"/>
        <v>1.18408</v>
      </c>
      <c r="Q234">
        <f t="shared" si="29"/>
        <v>1.12096</v>
      </c>
      <c r="R234">
        <f t="shared" si="30"/>
        <v>1.1461600000000001</v>
      </c>
      <c r="S234">
        <f t="shared" si="31"/>
        <v>1.14876</v>
      </c>
      <c r="T234">
        <f t="shared" si="32"/>
        <v>1.0911200000000001</v>
      </c>
    </row>
    <row r="235" spans="2:20" x14ac:dyDescent="0.35">
      <c r="B235" s="42">
        <v>633</v>
      </c>
      <c r="C235" s="42">
        <v>0.29042000000000001</v>
      </c>
      <c r="D235" s="42">
        <v>0.25945000000000001</v>
      </c>
      <c r="E235" s="42">
        <v>0.30781999999999998</v>
      </c>
      <c r="F235" s="42">
        <v>0.29665000000000002</v>
      </c>
      <c r="G235" s="42">
        <v>0.28061000000000003</v>
      </c>
      <c r="H235" s="42">
        <v>0.28693000000000002</v>
      </c>
      <c r="I235" s="42">
        <v>0.28745999999999999</v>
      </c>
      <c r="J235" s="42">
        <v>0.27306000000000002</v>
      </c>
      <c r="L235" s="20">
        <v>633</v>
      </c>
      <c r="M235">
        <f t="shared" si="25"/>
        <v>1.16168</v>
      </c>
      <c r="N235">
        <f t="shared" si="26"/>
        <v>1.0378000000000001</v>
      </c>
      <c r="O235">
        <f t="shared" si="27"/>
        <v>1.2312799999999999</v>
      </c>
      <c r="P235">
        <f t="shared" si="28"/>
        <v>1.1866000000000001</v>
      </c>
      <c r="Q235">
        <f t="shared" si="29"/>
        <v>1.1224400000000001</v>
      </c>
      <c r="R235">
        <f t="shared" si="30"/>
        <v>1.1477200000000001</v>
      </c>
      <c r="S235">
        <f t="shared" si="31"/>
        <v>1.14984</v>
      </c>
      <c r="T235">
        <f t="shared" si="32"/>
        <v>1.0922400000000001</v>
      </c>
    </row>
    <row r="236" spans="2:20" x14ac:dyDescent="0.35">
      <c r="B236" s="42">
        <v>634</v>
      </c>
      <c r="C236" s="42">
        <v>0.29110999999999998</v>
      </c>
      <c r="D236" s="42">
        <v>0.26006000000000001</v>
      </c>
      <c r="E236" s="42">
        <v>0.30836000000000002</v>
      </c>
      <c r="F236" s="42">
        <v>0.29732999999999998</v>
      </c>
      <c r="G236" s="42">
        <v>0.28089999999999998</v>
      </c>
      <c r="H236" s="42">
        <v>0.28728999999999999</v>
      </c>
      <c r="I236" s="42">
        <v>0.28777000000000003</v>
      </c>
      <c r="J236" s="42">
        <v>0.27335999999999999</v>
      </c>
      <c r="L236" s="20">
        <v>634</v>
      </c>
      <c r="M236">
        <f t="shared" si="25"/>
        <v>1.1644399999999999</v>
      </c>
      <c r="N236">
        <f t="shared" si="26"/>
        <v>1.0402400000000001</v>
      </c>
      <c r="O236">
        <f t="shared" si="27"/>
        <v>1.2334400000000001</v>
      </c>
      <c r="P236">
        <f t="shared" si="28"/>
        <v>1.1893199999999999</v>
      </c>
      <c r="Q236">
        <f t="shared" si="29"/>
        <v>1.1235999999999999</v>
      </c>
      <c r="R236">
        <f t="shared" si="30"/>
        <v>1.14916</v>
      </c>
      <c r="S236">
        <f t="shared" si="31"/>
        <v>1.1510800000000001</v>
      </c>
      <c r="T236">
        <f t="shared" si="32"/>
        <v>1.09344</v>
      </c>
    </row>
    <row r="237" spans="2:20" x14ac:dyDescent="0.35">
      <c r="B237" s="42">
        <v>635</v>
      </c>
      <c r="C237" s="42">
        <v>0.29160999999999998</v>
      </c>
      <c r="D237" s="42">
        <v>0.26052999999999998</v>
      </c>
      <c r="E237" s="42">
        <v>0.30878</v>
      </c>
      <c r="F237" s="42">
        <v>0.29766999999999999</v>
      </c>
      <c r="G237" s="42">
        <v>0.28108</v>
      </c>
      <c r="H237" s="42">
        <v>0.28744999999999998</v>
      </c>
      <c r="I237" s="42">
        <v>0.28788999999999998</v>
      </c>
      <c r="J237" s="42">
        <v>0.27353</v>
      </c>
      <c r="L237" s="20">
        <v>635</v>
      </c>
      <c r="M237">
        <f t="shared" si="25"/>
        <v>1.1664399999999999</v>
      </c>
      <c r="N237">
        <f t="shared" si="26"/>
        <v>1.0421199999999999</v>
      </c>
      <c r="O237">
        <f t="shared" si="27"/>
        <v>1.23512</v>
      </c>
      <c r="P237">
        <f t="shared" si="28"/>
        <v>1.19068</v>
      </c>
      <c r="Q237">
        <f t="shared" si="29"/>
        <v>1.12432</v>
      </c>
      <c r="R237">
        <f t="shared" si="30"/>
        <v>1.1497999999999999</v>
      </c>
      <c r="S237">
        <f t="shared" si="31"/>
        <v>1.1515599999999999</v>
      </c>
      <c r="T237">
        <f t="shared" si="32"/>
        <v>1.09412</v>
      </c>
    </row>
    <row r="238" spans="2:20" x14ac:dyDescent="0.35">
      <c r="B238" s="42">
        <v>636</v>
      </c>
      <c r="C238" s="42">
        <v>0.29192000000000001</v>
      </c>
      <c r="D238" s="42">
        <v>0.26075999999999999</v>
      </c>
      <c r="E238" s="42">
        <v>0.30908000000000002</v>
      </c>
      <c r="F238" s="42">
        <v>0.29796</v>
      </c>
      <c r="G238" s="42">
        <v>0.28116999999999998</v>
      </c>
      <c r="H238" s="42">
        <v>0.28754999999999997</v>
      </c>
      <c r="I238" s="42">
        <v>0.28792000000000001</v>
      </c>
      <c r="J238" s="42">
        <v>0.27356999999999998</v>
      </c>
      <c r="L238" s="20">
        <v>636</v>
      </c>
      <c r="M238">
        <f t="shared" si="25"/>
        <v>1.1676800000000001</v>
      </c>
      <c r="N238">
        <f t="shared" si="26"/>
        <v>1.04304</v>
      </c>
      <c r="O238">
        <f t="shared" si="27"/>
        <v>1.2363200000000001</v>
      </c>
      <c r="P238">
        <f t="shared" si="28"/>
        <v>1.19184</v>
      </c>
      <c r="Q238">
        <f t="shared" si="29"/>
        <v>1.1246799999999999</v>
      </c>
      <c r="R238">
        <f t="shared" si="30"/>
        <v>1.1501999999999999</v>
      </c>
      <c r="S238">
        <f t="shared" si="31"/>
        <v>1.15168</v>
      </c>
      <c r="T238">
        <f t="shared" si="32"/>
        <v>1.0942799999999999</v>
      </c>
    </row>
    <row r="239" spans="2:20" x14ac:dyDescent="0.35">
      <c r="B239" s="42">
        <v>637</v>
      </c>
      <c r="C239" s="42">
        <v>0.29215999999999998</v>
      </c>
      <c r="D239" s="42">
        <v>0.26100000000000001</v>
      </c>
      <c r="E239" s="42">
        <v>0.30926999999999999</v>
      </c>
      <c r="F239" s="42">
        <v>0.29810999999999999</v>
      </c>
      <c r="G239" s="42">
        <v>0.28122000000000003</v>
      </c>
      <c r="H239" s="42">
        <v>0.28760000000000002</v>
      </c>
      <c r="I239" s="42">
        <v>0.28793000000000002</v>
      </c>
      <c r="J239" s="42">
        <v>0.27350999999999998</v>
      </c>
      <c r="L239" s="20">
        <v>637</v>
      </c>
      <c r="M239">
        <f t="shared" si="25"/>
        <v>1.1686399999999999</v>
      </c>
      <c r="N239">
        <f t="shared" si="26"/>
        <v>1.044</v>
      </c>
      <c r="O239">
        <f t="shared" si="27"/>
        <v>1.23708</v>
      </c>
      <c r="P239">
        <f t="shared" si="28"/>
        <v>1.1924399999999999</v>
      </c>
      <c r="Q239">
        <f t="shared" si="29"/>
        <v>1.1248800000000001</v>
      </c>
      <c r="R239">
        <f t="shared" si="30"/>
        <v>1.1504000000000001</v>
      </c>
      <c r="S239">
        <f t="shared" si="31"/>
        <v>1.1517200000000001</v>
      </c>
      <c r="T239">
        <f t="shared" si="32"/>
        <v>1.0940399999999999</v>
      </c>
    </row>
    <row r="240" spans="2:20" x14ac:dyDescent="0.35">
      <c r="B240" s="42">
        <v>638</v>
      </c>
      <c r="C240" s="42">
        <v>0.29226999999999997</v>
      </c>
      <c r="D240" s="42">
        <v>0.26102999999999998</v>
      </c>
      <c r="E240" s="42">
        <v>0.30928</v>
      </c>
      <c r="F240" s="42">
        <v>0.29819000000000001</v>
      </c>
      <c r="G240" s="42">
        <v>0.28110000000000002</v>
      </c>
      <c r="H240" s="42">
        <v>0.28749000000000002</v>
      </c>
      <c r="I240" s="42">
        <v>0.2878</v>
      </c>
      <c r="J240" s="42">
        <v>0.27340999999999999</v>
      </c>
      <c r="L240" s="20">
        <v>638</v>
      </c>
      <c r="M240">
        <f t="shared" si="25"/>
        <v>1.1690799999999999</v>
      </c>
      <c r="N240">
        <f t="shared" si="26"/>
        <v>1.0441199999999999</v>
      </c>
      <c r="O240">
        <f t="shared" si="27"/>
        <v>1.23712</v>
      </c>
      <c r="P240">
        <f t="shared" si="28"/>
        <v>1.19276</v>
      </c>
      <c r="Q240">
        <f t="shared" si="29"/>
        <v>1.1244000000000001</v>
      </c>
      <c r="R240">
        <f t="shared" si="30"/>
        <v>1.1499600000000001</v>
      </c>
      <c r="S240">
        <f t="shared" si="31"/>
        <v>1.1512</v>
      </c>
      <c r="T240">
        <f t="shared" si="32"/>
        <v>1.0936399999999999</v>
      </c>
    </row>
    <row r="241" spans="2:20" x14ac:dyDescent="0.35">
      <c r="B241" s="42">
        <v>639</v>
      </c>
      <c r="C241" s="42">
        <v>0.29215999999999998</v>
      </c>
      <c r="D241" s="42">
        <v>0.26100000000000001</v>
      </c>
      <c r="E241" s="42">
        <v>0.30917</v>
      </c>
      <c r="F241" s="42">
        <v>0.29804999999999998</v>
      </c>
      <c r="G241" s="42">
        <v>0.28093000000000001</v>
      </c>
      <c r="H241" s="42">
        <v>0.28728999999999999</v>
      </c>
      <c r="I241" s="42">
        <v>0.28760999999999998</v>
      </c>
      <c r="J241" s="42">
        <v>0.27327000000000001</v>
      </c>
      <c r="L241" s="20">
        <v>639</v>
      </c>
      <c r="M241">
        <f t="shared" si="25"/>
        <v>1.1686399999999999</v>
      </c>
      <c r="N241">
        <f t="shared" si="26"/>
        <v>1.044</v>
      </c>
      <c r="O241">
        <f t="shared" si="27"/>
        <v>1.23668</v>
      </c>
      <c r="P241">
        <f t="shared" si="28"/>
        <v>1.1921999999999999</v>
      </c>
      <c r="Q241">
        <f t="shared" si="29"/>
        <v>1.1237200000000001</v>
      </c>
      <c r="R241">
        <f t="shared" si="30"/>
        <v>1.14916</v>
      </c>
      <c r="S241">
        <f t="shared" si="31"/>
        <v>1.1504399999999999</v>
      </c>
      <c r="T241">
        <f t="shared" si="32"/>
        <v>1.0930800000000001</v>
      </c>
    </row>
    <row r="242" spans="2:20" x14ac:dyDescent="0.35">
      <c r="B242" s="42">
        <v>640</v>
      </c>
      <c r="C242" s="42">
        <v>0.29199000000000003</v>
      </c>
      <c r="D242" s="42">
        <v>0.26079999999999998</v>
      </c>
      <c r="E242" s="42">
        <v>0.30902000000000002</v>
      </c>
      <c r="F242" s="42">
        <v>0.29781000000000002</v>
      </c>
      <c r="G242" s="42">
        <v>0.28065000000000001</v>
      </c>
      <c r="H242" s="42">
        <v>0.28705999999999998</v>
      </c>
      <c r="I242" s="42">
        <v>0.28733999999999998</v>
      </c>
      <c r="J242" s="42">
        <v>0.27298</v>
      </c>
      <c r="L242" s="20">
        <v>640</v>
      </c>
      <c r="M242">
        <f t="shared" si="25"/>
        <v>1.1679600000000001</v>
      </c>
      <c r="N242">
        <f t="shared" si="26"/>
        <v>1.0431999999999999</v>
      </c>
      <c r="O242">
        <f t="shared" si="27"/>
        <v>1.2360800000000001</v>
      </c>
      <c r="P242">
        <f t="shared" si="28"/>
        <v>1.1912400000000001</v>
      </c>
      <c r="Q242">
        <f t="shared" si="29"/>
        <v>1.1226</v>
      </c>
      <c r="R242">
        <f t="shared" si="30"/>
        <v>1.1482399999999999</v>
      </c>
      <c r="S242">
        <f t="shared" si="31"/>
        <v>1.1493599999999999</v>
      </c>
      <c r="T242">
        <f t="shared" si="32"/>
        <v>1.09192</v>
      </c>
    </row>
    <row r="243" spans="2:20" x14ac:dyDescent="0.35">
      <c r="B243" s="42">
        <v>641</v>
      </c>
      <c r="C243" s="42">
        <v>0.29163</v>
      </c>
      <c r="D243" s="42">
        <v>0.26052999999999998</v>
      </c>
      <c r="E243" s="42">
        <v>0.30867</v>
      </c>
      <c r="F243" s="42">
        <v>0.29741000000000001</v>
      </c>
      <c r="G243" s="42">
        <v>0.28039999999999998</v>
      </c>
      <c r="H243" s="42">
        <v>0.28670000000000001</v>
      </c>
      <c r="I243" s="42">
        <v>0.28699000000000002</v>
      </c>
      <c r="J243" s="42">
        <v>0.27263999999999999</v>
      </c>
      <c r="L243" s="20">
        <v>641</v>
      </c>
      <c r="M243">
        <f t="shared" si="25"/>
        <v>1.16652</v>
      </c>
      <c r="N243">
        <f t="shared" si="26"/>
        <v>1.0421199999999999</v>
      </c>
      <c r="O243">
        <f t="shared" si="27"/>
        <v>1.23468</v>
      </c>
      <c r="P243">
        <f t="shared" si="28"/>
        <v>1.18964</v>
      </c>
      <c r="Q243">
        <f t="shared" si="29"/>
        <v>1.1215999999999999</v>
      </c>
      <c r="R243">
        <f t="shared" si="30"/>
        <v>1.1468</v>
      </c>
      <c r="S243">
        <f t="shared" si="31"/>
        <v>1.1479600000000001</v>
      </c>
      <c r="T243">
        <f t="shared" si="32"/>
        <v>1.09056</v>
      </c>
    </row>
    <row r="244" spans="2:20" x14ac:dyDescent="0.35">
      <c r="B244" s="42">
        <v>642</v>
      </c>
      <c r="C244" s="42">
        <v>0.29111999999999999</v>
      </c>
      <c r="D244" s="42">
        <v>0.26003999999999999</v>
      </c>
      <c r="E244" s="42">
        <v>0.30819999999999997</v>
      </c>
      <c r="F244" s="42">
        <v>0.29687999999999998</v>
      </c>
      <c r="G244" s="42">
        <v>0.27998000000000001</v>
      </c>
      <c r="H244" s="42">
        <v>0.28625</v>
      </c>
      <c r="I244" s="42">
        <v>0.28654000000000002</v>
      </c>
      <c r="J244" s="42">
        <v>0.27223000000000003</v>
      </c>
      <c r="L244" s="20">
        <v>642</v>
      </c>
      <c r="M244">
        <f t="shared" si="25"/>
        <v>1.16448</v>
      </c>
      <c r="N244">
        <f t="shared" si="26"/>
        <v>1.04016</v>
      </c>
      <c r="O244">
        <f t="shared" si="27"/>
        <v>1.2327999999999999</v>
      </c>
      <c r="P244">
        <f t="shared" si="28"/>
        <v>1.1875199999999999</v>
      </c>
      <c r="Q244">
        <f t="shared" si="29"/>
        <v>1.11992</v>
      </c>
      <c r="R244">
        <f t="shared" si="30"/>
        <v>1.145</v>
      </c>
      <c r="S244">
        <f t="shared" si="31"/>
        <v>1.1461600000000001</v>
      </c>
      <c r="T244">
        <f t="shared" si="32"/>
        <v>1.0889200000000001</v>
      </c>
    </row>
    <row r="245" spans="2:20" x14ac:dyDescent="0.35">
      <c r="B245" s="42">
        <v>643</v>
      </c>
      <c r="C245" s="42">
        <v>0.29056999999999999</v>
      </c>
      <c r="D245" s="42">
        <v>0.25951000000000002</v>
      </c>
      <c r="E245" s="42">
        <v>0.30770999999999998</v>
      </c>
      <c r="F245" s="42">
        <v>0.29636000000000001</v>
      </c>
      <c r="G245" s="42">
        <v>0.27956999999999999</v>
      </c>
      <c r="H245" s="42">
        <v>0.28577000000000002</v>
      </c>
      <c r="I245" s="42">
        <v>0.28613</v>
      </c>
      <c r="J245" s="42">
        <v>0.27178999999999998</v>
      </c>
      <c r="L245" s="20">
        <v>643</v>
      </c>
      <c r="M245">
        <f t="shared" si="25"/>
        <v>1.16228</v>
      </c>
      <c r="N245">
        <f t="shared" si="26"/>
        <v>1.0380400000000001</v>
      </c>
      <c r="O245">
        <f t="shared" si="27"/>
        <v>1.2308399999999999</v>
      </c>
      <c r="P245">
        <f t="shared" si="28"/>
        <v>1.18544</v>
      </c>
      <c r="Q245">
        <f t="shared" si="29"/>
        <v>1.1182799999999999</v>
      </c>
      <c r="R245">
        <f t="shared" si="30"/>
        <v>1.1430800000000001</v>
      </c>
      <c r="S245">
        <f t="shared" si="31"/>
        <v>1.14452</v>
      </c>
      <c r="T245">
        <f t="shared" si="32"/>
        <v>1.0871599999999999</v>
      </c>
    </row>
    <row r="246" spans="2:20" x14ac:dyDescent="0.35">
      <c r="B246" s="42">
        <v>644</v>
      </c>
      <c r="C246" s="42">
        <v>0.28994999999999999</v>
      </c>
      <c r="D246" s="42">
        <v>0.25890000000000002</v>
      </c>
      <c r="E246" s="42">
        <v>0.30710999999999999</v>
      </c>
      <c r="F246" s="42">
        <v>0.29571999999999998</v>
      </c>
      <c r="G246" s="42">
        <v>0.27911000000000002</v>
      </c>
      <c r="H246" s="42">
        <v>0.28532000000000002</v>
      </c>
      <c r="I246" s="42">
        <v>0.28566000000000003</v>
      </c>
      <c r="J246" s="42">
        <v>0.27133000000000002</v>
      </c>
      <c r="L246" s="20">
        <v>644</v>
      </c>
      <c r="M246">
        <f t="shared" si="25"/>
        <v>1.1597999999999999</v>
      </c>
      <c r="N246">
        <f t="shared" si="26"/>
        <v>1.0356000000000001</v>
      </c>
      <c r="O246">
        <f t="shared" si="27"/>
        <v>1.22844</v>
      </c>
      <c r="P246">
        <f t="shared" si="28"/>
        <v>1.1828799999999999</v>
      </c>
      <c r="Q246">
        <f t="shared" si="29"/>
        <v>1.1164400000000001</v>
      </c>
      <c r="R246">
        <f t="shared" si="30"/>
        <v>1.1412800000000001</v>
      </c>
      <c r="S246">
        <f t="shared" si="31"/>
        <v>1.1426400000000001</v>
      </c>
      <c r="T246">
        <f t="shared" si="32"/>
        <v>1.0853200000000001</v>
      </c>
    </row>
    <row r="247" spans="2:20" x14ac:dyDescent="0.35">
      <c r="B247" s="42">
        <v>645</v>
      </c>
      <c r="C247" s="42">
        <v>0.28920000000000001</v>
      </c>
      <c r="D247" s="42">
        <v>0.25825999999999999</v>
      </c>
      <c r="E247" s="42">
        <v>0.30647000000000002</v>
      </c>
      <c r="F247" s="42">
        <v>0.29504000000000002</v>
      </c>
      <c r="G247" s="42">
        <v>0.27862999999999999</v>
      </c>
      <c r="H247" s="42">
        <v>0.28476000000000001</v>
      </c>
      <c r="I247" s="42">
        <v>0.28516000000000002</v>
      </c>
      <c r="J247" s="42">
        <v>0.27083000000000002</v>
      </c>
      <c r="L247" s="20">
        <v>645</v>
      </c>
      <c r="M247">
        <f t="shared" si="25"/>
        <v>1.1568000000000001</v>
      </c>
      <c r="N247">
        <f t="shared" si="26"/>
        <v>1.03304</v>
      </c>
      <c r="O247">
        <f t="shared" si="27"/>
        <v>1.2258800000000001</v>
      </c>
      <c r="P247">
        <f t="shared" si="28"/>
        <v>1.1801600000000001</v>
      </c>
      <c r="Q247">
        <f t="shared" si="29"/>
        <v>1.11452</v>
      </c>
      <c r="R247">
        <f t="shared" si="30"/>
        <v>1.1390400000000001</v>
      </c>
      <c r="S247">
        <f t="shared" si="31"/>
        <v>1.1406400000000001</v>
      </c>
      <c r="T247">
        <f t="shared" si="32"/>
        <v>1.0833200000000001</v>
      </c>
    </row>
    <row r="248" spans="2:20" x14ac:dyDescent="0.35">
      <c r="B248" s="42">
        <v>646</v>
      </c>
      <c r="C248" s="42">
        <v>0.28842000000000001</v>
      </c>
      <c r="D248" s="42">
        <v>0.25757999999999998</v>
      </c>
      <c r="E248" s="42">
        <v>0.30581999999999998</v>
      </c>
      <c r="F248" s="42">
        <v>0.29425000000000001</v>
      </c>
      <c r="G248" s="42">
        <v>0.27811000000000002</v>
      </c>
      <c r="H248" s="42">
        <v>0.28419</v>
      </c>
      <c r="I248" s="42">
        <v>0.28465000000000001</v>
      </c>
      <c r="J248" s="42">
        <v>0.27028999999999997</v>
      </c>
      <c r="L248" s="20">
        <v>646</v>
      </c>
      <c r="M248">
        <f t="shared" si="25"/>
        <v>1.15368</v>
      </c>
      <c r="N248">
        <f t="shared" si="26"/>
        <v>1.0303199999999999</v>
      </c>
      <c r="O248">
        <f t="shared" si="27"/>
        <v>1.2232799999999999</v>
      </c>
      <c r="P248">
        <f t="shared" si="28"/>
        <v>1.177</v>
      </c>
      <c r="Q248">
        <f t="shared" si="29"/>
        <v>1.1124400000000001</v>
      </c>
      <c r="R248">
        <f t="shared" si="30"/>
        <v>1.13676</v>
      </c>
      <c r="S248">
        <f t="shared" si="31"/>
        <v>1.1386000000000001</v>
      </c>
      <c r="T248">
        <f t="shared" si="32"/>
        <v>1.0811599999999999</v>
      </c>
    </row>
    <row r="249" spans="2:20" x14ac:dyDescent="0.35">
      <c r="B249" s="42">
        <v>647</v>
      </c>
      <c r="C249" s="42">
        <v>0.28758</v>
      </c>
      <c r="D249" s="42">
        <v>0.25681999999999999</v>
      </c>
      <c r="E249" s="42">
        <v>0.30507000000000001</v>
      </c>
      <c r="F249" s="42">
        <v>0.29339999999999999</v>
      </c>
      <c r="G249" s="42">
        <v>0.27755999999999997</v>
      </c>
      <c r="H249" s="42">
        <v>0.28358</v>
      </c>
      <c r="I249" s="42">
        <v>0.28400999999999998</v>
      </c>
      <c r="J249" s="42">
        <v>0.26973000000000003</v>
      </c>
      <c r="L249" s="20">
        <v>647</v>
      </c>
      <c r="M249">
        <f t="shared" si="25"/>
        <v>1.15032</v>
      </c>
      <c r="N249">
        <f t="shared" si="26"/>
        <v>1.02728</v>
      </c>
      <c r="O249">
        <f t="shared" si="27"/>
        <v>1.22028</v>
      </c>
      <c r="P249">
        <f t="shared" si="28"/>
        <v>1.1736</v>
      </c>
      <c r="Q249">
        <f t="shared" si="29"/>
        <v>1.1102399999999999</v>
      </c>
      <c r="R249">
        <f t="shared" si="30"/>
        <v>1.13432</v>
      </c>
      <c r="S249">
        <f t="shared" si="31"/>
        <v>1.1360399999999999</v>
      </c>
      <c r="T249">
        <f t="shared" si="32"/>
        <v>1.0789200000000001</v>
      </c>
    </row>
    <row r="250" spans="2:20" x14ac:dyDescent="0.35">
      <c r="B250" s="42">
        <v>648</v>
      </c>
      <c r="C250" s="42">
        <v>0.28676000000000001</v>
      </c>
      <c r="D250" s="42">
        <v>0.25601000000000002</v>
      </c>
      <c r="E250" s="42">
        <v>0.30431999999999998</v>
      </c>
      <c r="F250" s="42">
        <v>0.29265999999999998</v>
      </c>
      <c r="G250" s="42">
        <v>0.27704000000000001</v>
      </c>
      <c r="H250" s="42">
        <v>0.28304000000000001</v>
      </c>
      <c r="I250" s="42">
        <v>0.28349000000000002</v>
      </c>
      <c r="J250" s="42">
        <v>0.26919999999999999</v>
      </c>
      <c r="L250" s="20">
        <v>648</v>
      </c>
      <c r="M250">
        <f t="shared" si="25"/>
        <v>1.1470400000000001</v>
      </c>
      <c r="N250">
        <f t="shared" si="26"/>
        <v>1.0240400000000001</v>
      </c>
      <c r="O250">
        <f t="shared" si="27"/>
        <v>1.2172799999999999</v>
      </c>
      <c r="P250">
        <f t="shared" si="28"/>
        <v>1.1706399999999999</v>
      </c>
      <c r="Q250">
        <f t="shared" si="29"/>
        <v>1.10816</v>
      </c>
      <c r="R250">
        <f t="shared" si="30"/>
        <v>1.1321600000000001</v>
      </c>
      <c r="S250">
        <f t="shared" si="31"/>
        <v>1.1339600000000001</v>
      </c>
      <c r="T250">
        <f t="shared" si="32"/>
        <v>1.0768</v>
      </c>
    </row>
    <row r="251" spans="2:20" x14ac:dyDescent="0.35">
      <c r="B251" s="42">
        <v>649</v>
      </c>
      <c r="C251" s="42">
        <v>0.28587000000000001</v>
      </c>
      <c r="D251" s="42">
        <v>0.25529000000000002</v>
      </c>
      <c r="E251" s="42">
        <v>0.30359999999999998</v>
      </c>
      <c r="F251" s="42">
        <v>0.29187000000000002</v>
      </c>
      <c r="G251" s="42">
        <v>0.27650000000000002</v>
      </c>
      <c r="H251" s="42">
        <v>0.28244000000000002</v>
      </c>
      <c r="I251" s="42">
        <v>0.28299999999999997</v>
      </c>
      <c r="J251" s="42">
        <v>0.26873999999999998</v>
      </c>
      <c r="L251" s="20">
        <v>649</v>
      </c>
      <c r="M251">
        <f t="shared" si="25"/>
        <v>1.1434800000000001</v>
      </c>
      <c r="N251">
        <f t="shared" si="26"/>
        <v>1.0211600000000001</v>
      </c>
      <c r="O251">
        <f t="shared" si="27"/>
        <v>1.2143999999999999</v>
      </c>
      <c r="P251">
        <f t="shared" si="28"/>
        <v>1.1674800000000001</v>
      </c>
      <c r="Q251">
        <f t="shared" si="29"/>
        <v>1.1060000000000001</v>
      </c>
      <c r="R251">
        <f t="shared" si="30"/>
        <v>1.1297600000000001</v>
      </c>
      <c r="S251">
        <f t="shared" si="31"/>
        <v>1.1319999999999999</v>
      </c>
      <c r="T251">
        <f t="shared" si="32"/>
        <v>1.0749599999999999</v>
      </c>
    </row>
    <row r="252" spans="2:20" x14ac:dyDescent="0.35">
      <c r="B252" s="42">
        <v>650</v>
      </c>
      <c r="C252" s="42">
        <v>0.28497</v>
      </c>
      <c r="D252" s="42">
        <v>0.2545</v>
      </c>
      <c r="E252" s="42">
        <v>0.30286000000000002</v>
      </c>
      <c r="F252" s="42">
        <v>0.29099000000000003</v>
      </c>
      <c r="G252" s="42">
        <v>0.27594000000000002</v>
      </c>
      <c r="H252" s="42">
        <v>0.28179999999999999</v>
      </c>
      <c r="I252" s="42">
        <v>0.28238999999999997</v>
      </c>
      <c r="J252" s="42">
        <v>0.2681</v>
      </c>
      <c r="L252" s="20">
        <v>650</v>
      </c>
      <c r="M252">
        <f t="shared" si="25"/>
        <v>1.13988</v>
      </c>
      <c r="N252">
        <f t="shared" si="26"/>
        <v>1.018</v>
      </c>
      <c r="O252">
        <f t="shared" si="27"/>
        <v>1.2114400000000001</v>
      </c>
      <c r="P252">
        <f t="shared" si="28"/>
        <v>1.1639600000000001</v>
      </c>
      <c r="Q252">
        <f t="shared" si="29"/>
        <v>1.1037600000000001</v>
      </c>
      <c r="R252">
        <f t="shared" si="30"/>
        <v>1.1272</v>
      </c>
      <c r="S252">
        <f t="shared" si="31"/>
        <v>1.1295599999999999</v>
      </c>
      <c r="T252">
        <f t="shared" si="32"/>
        <v>1.0724</v>
      </c>
    </row>
    <row r="253" spans="2:20" x14ac:dyDescent="0.35">
      <c r="B253" s="42">
        <v>651</v>
      </c>
      <c r="C253" s="42">
        <v>0.28405999999999998</v>
      </c>
      <c r="D253" s="42">
        <v>0.25363000000000002</v>
      </c>
      <c r="E253" s="42">
        <v>0.30204999999999999</v>
      </c>
      <c r="F253" s="42">
        <v>0.29015000000000002</v>
      </c>
      <c r="G253" s="42">
        <v>0.27538000000000001</v>
      </c>
      <c r="H253" s="42">
        <v>0.28119</v>
      </c>
      <c r="I253" s="42">
        <v>0.28181</v>
      </c>
      <c r="J253" s="42">
        <v>0.26751999999999998</v>
      </c>
      <c r="L253" s="20">
        <v>651</v>
      </c>
      <c r="M253">
        <f t="shared" si="25"/>
        <v>1.1362399999999999</v>
      </c>
      <c r="N253">
        <f t="shared" si="26"/>
        <v>1.0145200000000001</v>
      </c>
      <c r="O253">
        <f t="shared" si="27"/>
        <v>1.2081999999999999</v>
      </c>
      <c r="P253">
        <f t="shared" si="28"/>
        <v>1.1606000000000001</v>
      </c>
      <c r="Q253">
        <f t="shared" si="29"/>
        <v>1.1015200000000001</v>
      </c>
      <c r="R253">
        <f t="shared" si="30"/>
        <v>1.12476</v>
      </c>
      <c r="S253">
        <f t="shared" si="31"/>
        <v>1.12724</v>
      </c>
      <c r="T253">
        <f t="shared" si="32"/>
        <v>1.0700799999999999</v>
      </c>
    </row>
    <row r="254" spans="2:20" x14ac:dyDescent="0.35">
      <c r="B254" s="42">
        <v>652</v>
      </c>
      <c r="C254" s="42">
        <v>0.28319</v>
      </c>
      <c r="D254" s="42">
        <v>0.25285000000000002</v>
      </c>
      <c r="E254" s="42">
        <v>0.30121999999999999</v>
      </c>
      <c r="F254" s="42">
        <v>0.28933999999999999</v>
      </c>
      <c r="G254" s="42">
        <v>0.27472999999999997</v>
      </c>
      <c r="H254" s="42">
        <v>0.28055000000000002</v>
      </c>
      <c r="I254" s="42">
        <v>0.28122999999999998</v>
      </c>
      <c r="J254" s="42">
        <v>0.26698</v>
      </c>
      <c r="L254" s="20">
        <v>652</v>
      </c>
      <c r="M254">
        <f t="shared" si="25"/>
        <v>1.13276</v>
      </c>
      <c r="N254">
        <f t="shared" si="26"/>
        <v>1.0114000000000001</v>
      </c>
      <c r="O254">
        <f t="shared" si="27"/>
        <v>1.20488</v>
      </c>
      <c r="P254">
        <f t="shared" si="28"/>
        <v>1.1573599999999999</v>
      </c>
      <c r="Q254">
        <f t="shared" si="29"/>
        <v>1.0989199999999999</v>
      </c>
      <c r="R254">
        <f t="shared" si="30"/>
        <v>1.1222000000000001</v>
      </c>
      <c r="S254">
        <f t="shared" si="31"/>
        <v>1.1249199999999999</v>
      </c>
      <c r="T254">
        <f t="shared" si="32"/>
        <v>1.06792</v>
      </c>
    </row>
    <row r="255" spans="2:20" x14ac:dyDescent="0.35">
      <c r="B255" s="42">
        <v>653</v>
      </c>
      <c r="C255" s="42">
        <v>0.28233000000000003</v>
      </c>
      <c r="D255" s="42">
        <v>0.25201000000000001</v>
      </c>
      <c r="E255" s="42">
        <v>0.30042999999999997</v>
      </c>
      <c r="F255" s="42">
        <v>0.28844999999999998</v>
      </c>
      <c r="G255" s="42">
        <v>0.27417000000000002</v>
      </c>
      <c r="H255" s="42">
        <v>0.27986</v>
      </c>
      <c r="I255" s="42">
        <v>0.28061999999999998</v>
      </c>
      <c r="J255" s="42">
        <v>0.26637</v>
      </c>
      <c r="L255" s="20">
        <v>653</v>
      </c>
      <c r="M255">
        <f t="shared" si="25"/>
        <v>1.1293200000000001</v>
      </c>
      <c r="N255">
        <f t="shared" si="26"/>
        <v>1.00804</v>
      </c>
      <c r="O255">
        <f t="shared" si="27"/>
        <v>1.2017199999999999</v>
      </c>
      <c r="P255">
        <f t="shared" si="28"/>
        <v>1.1537999999999999</v>
      </c>
      <c r="Q255">
        <f t="shared" si="29"/>
        <v>1.0966800000000001</v>
      </c>
      <c r="R255">
        <f t="shared" si="30"/>
        <v>1.11944</v>
      </c>
      <c r="S255">
        <f t="shared" si="31"/>
        <v>1.1224799999999999</v>
      </c>
      <c r="T255">
        <f t="shared" si="32"/>
        <v>1.06548</v>
      </c>
    </row>
    <row r="256" spans="2:20" x14ac:dyDescent="0.35">
      <c r="B256" s="42">
        <v>654</v>
      </c>
      <c r="C256" s="42">
        <v>0.28137000000000001</v>
      </c>
      <c r="D256" s="42">
        <v>0.25119000000000002</v>
      </c>
      <c r="E256" s="42">
        <v>0.29966999999999999</v>
      </c>
      <c r="F256" s="42">
        <v>0.28760999999999998</v>
      </c>
      <c r="G256" s="42">
        <v>0.27356999999999998</v>
      </c>
      <c r="H256" s="42">
        <v>0.27916999999999997</v>
      </c>
      <c r="I256" s="42">
        <v>0.27998000000000001</v>
      </c>
      <c r="J256" s="42">
        <v>0.26569999999999999</v>
      </c>
      <c r="L256" s="20">
        <v>654</v>
      </c>
      <c r="M256">
        <f t="shared" si="25"/>
        <v>1.12548</v>
      </c>
      <c r="N256">
        <f t="shared" si="26"/>
        <v>1.0047600000000001</v>
      </c>
      <c r="O256">
        <f t="shared" si="27"/>
        <v>1.19868</v>
      </c>
      <c r="P256">
        <f t="shared" si="28"/>
        <v>1.1504399999999999</v>
      </c>
      <c r="Q256">
        <f t="shared" si="29"/>
        <v>1.0942799999999999</v>
      </c>
      <c r="R256">
        <f t="shared" si="30"/>
        <v>1.1166799999999999</v>
      </c>
      <c r="S256">
        <f t="shared" si="31"/>
        <v>1.11992</v>
      </c>
      <c r="T256">
        <f t="shared" si="32"/>
        <v>1.0628</v>
      </c>
    </row>
    <row r="257" spans="2:20" x14ac:dyDescent="0.35">
      <c r="B257" s="42">
        <v>655</v>
      </c>
      <c r="C257" s="42">
        <v>0.28053</v>
      </c>
      <c r="D257" s="42">
        <v>0.25047000000000003</v>
      </c>
      <c r="E257" s="42">
        <v>0.29894999999999999</v>
      </c>
      <c r="F257" s="42">
        <v>0.28682999999999997</v>
      </c>
      <c r="G257" s="42">
        <v>0.27302999999999999</v>
      </c>
      <c r="H257" s="42">
        <v>0.27857999999999999</v>
      </c>
      <c r="I257" s="42">
        <v>0.27944999999999998</v>
      </c>
      <c r="J257" s="42">
        <v>0.26519999999999999</v>
      </c>
      <c r="L257" s="20">
        <v>655</v>
      </c>
      <c r="M257">
        <f t="shared" si="25"/>
        <v>1.12212</v>
      </c>
      <c r="N257">
        <f t="shared" si="26"/>
        <v>1.0018800000000001</v>
      </c>
      <c r="O257">
        <f t="shared" si="27"/>
        <v>1.1958</v>
      </c>
      <c r="P257">
        <f t="shared" si="28"/>
        <v>1.1473199999999999</v>
      </c>
      <c r="Q257">
        <f t="shared" si="29"/>
        <v>1.09212</v>
      </c>
      <c r="R257">
        <f t="shared" si="30"/>
        <v>1.11432</v>
      </c>
      <c r="S257">
        <f t="shared" si="31"/>
        <v>1.1177999999999999</v>
      </c>
      <c r="T257">
        <f t="shared" si="32"/>
        <v>1.0608</v>
      </c>
    </row>
    <row r="258" spans="2:20" x14ac:dyDescent="0.35">
      <c r="B258" s="42">
        <v>656</v>
      </c>
      <c r="C258" s="42">
        <v>0.27972000000000002</v>
      </c>
      <c r="D258" s="42">
        <v>0.24979000000000001</v>
      </c>
      <c r="E258" s="42">
        <v>0.29825000000000002</v>
      </c>
      <c r="F258" s="42">
        <v>0.28615000000000002</v>
      </c>
      <c r="G258" s="42">
        <v>0.27255000000000001</v>
      </c>
      <c r="H258" s="42">
        <v>0.27805000000000002</v>
      </c>
      <c r="I258" s="42">
        <v>0.27894999999999998</v>
      </c>
      <c r="J258" s="42">
        <v>0.26468000000000003</v>
      </c>
      <c r="L258" s="20">
        <v>656</v>
      </c>
      <c r="M258">
        <f t="shared" si="25"/>
        <v>1.1188800000000001</v>
      </c>
      <c r="N258">
        <f t="shared" si="26"/>
        <v>0.99916000000000005</v>
      </c>
      <c r="O258">
        <f t="shared" si="27"/>
        <v>1.1930000000000001</v>
      </c>
      <c r="P258">
        <f t="shared" si="28"/>
        <v>1.1446000000000001</v>
      </c>
      <c r="Q258">
        <f t="shared" si="29"/>
        <v>1.0902000000000001</v>
      </c>
      <c r="R258">
        <f t="shared" si="30"/>
        <v>1.1122000000000001</v>
      </c>
      <c r="S258">
        <f t="shared" si="31"/>
        <v>1.1157999999999999</v>
      </c>
      <c r="T258">
        <f t="shared" si="32"/>
        <v>1.0587200000000001</v>
      </c>
    </row>
    <row r="259" spans="2:20" x14ac:dyDescent="0.35">
      <c r="B259" s="42">
        <v>657</v>
      </c>
      <c r="C259" s="42">
        <v>0.27899000000000002</v>
      </c>
      <c r="D259" s="42">
        <v>0.24909999999999999</v>
      </c>
      <c r="E259" s="42">
        <v>0.29759000000000002</v>
      </c>
      <c r="F259" s="42">
        <v>0.28543000000000002</v>
      </c>
      <c r="G259" s="42">
        <v>0.27202999999999999</v>
      </c>
      <c r="H259" s="42">
        <v>0.27746999999999999</v>
      </c>
      <c r="I259" s="42">
        <v>0.27838000000000002</v>
      </c>
      <c r="J259" s="42">
        <v>0.26412999999999998</v>
      </c>
      <c r="L259" s="20">
        <v>657</v>
      </c>
      <c r="M259">
        <f t="shared" ref="M259:M322" si="33">C259*4</f>
        <v>1.1159600000000001</v>
      </c>
      <c r="N259">
        <f t="shared" ref="N259:N322" si="34">D259*4</f>
        <v>0.99639999999999995</v>
      </c>
      <c r="O259">
        <f t="shared" ref="O259:O322" si="35">E259*4</f>
        <v>1.1903600000000001</v>
      </c>
      <c r="P259">
        <f t="shared" ref="P259:P322" si="36">F259*4</f>
        <v>1.1417200000000001</v>
      </c>
      <c r="Q259">
        <f t="shared" ref="Q259:Q322" si="37">G259*4</f>
        <v>1.08812</v>
      </c>
      <c r="R259">
        <f t="shared" ref="R259:R322" si="38">H259*4</f>
        <v>1.10988</v>
      </c>
      <c r="S259">
        <f t="shared" ref="S259:S322" si="39">I259*4</f>
        <v>1.1135200000000001</v>
      </c>
      <c r="T259">
        <f t="shared" ref="T259:T322" si="40">J259*4</f>
        <v>1.0565199999999999</v>
      </c>
    </row>
    <row r="260" spans="2:20" x14ac:dyDescent="0.35">
      <c r="B260" s="42">
        <v>658</v>
      </c>
      <c r="C260" s="42">
        <v>0.27832000000000001</v>
      </c>
      <c r="D260" s="42">
        <v>0.24843999999999999</v>
      </c>
      <c r="E260" s="42">
        <v>0.29697000000000001</v>
      </c>
      <c r="F260" s="42">
        <v>0.28477000000000002</v>
      </c>
      <c r="G260" s="42">
        <v>0.27155000000000001</v>
      </c>
      <c r="H260" s="42">
        <v>0.27692</v>
      </c>
      <c r="I260" s="42">
        <v>0.27789000000000003</v>
      </c>
      <c r="J260" s="42">
        <v>0.26367000000000002</v>
      </c>
      <c r="L260" s="20">
        <v>658</v>
      </c>
      <c r="M260">
        <f t="shared" si="33"/>
        <v>1.11328</v>
      </c>
      <c r="N260">
        <f t="shared" si="34"/>
        <v>0.99375999999999998</v>
      </c>
      <c r="O260">
        <f t="shared" si="35"/>
        <v>1.18788</v>
      </c>
      <c r="P260">
        <f t="shared" si="36"/>
        <v>1.1390800000000001</v>
      </c>
      <c r="Q260">
        <f t="shared" si="37"/>
        <v>1.0862000000000001</v>
      </c>
      <c r="R260">
        <f t="shared" si="38"/>
        <v>1.10768</v>
      </c>
      <c r="S260">
        <f t="shared" si="39"/>
        <v>1.1115600000000001</v>
      </c>
      <c r="T260">
        <f t="shared" si="40"/>
        <v>1.0546800000000001</v>
      </c>
    </row>
    <row r="261" spans="2:20" x14ac:dyDescent="0.35">
      <c r="B261" s="42">
        <v>659</v>
      </c>
      <c r="C261" s="42">
        <v>0.27777000000000002</v>
      </c>
      <c r="D261" s="42">
        <v>0.24796000000000001</v>
      </c>
      <c r="E261" s="42">
        <v>0.29652000000000001</v>
      </c>
      <c r="F261" s="42">
        <v>0.28427000000000002</v>
      </c>
      <c r="G261" s="42">
        <v>0.27118999999999999</v>
      </c>
      <c r="H261" s="42">
        <v>0.27651999999999999</v>
      </c>
      <c r="I261" s="42">
        <v>0.27750999999999998</v>
      </c>
      <c r="J261" s="42">
        <v>0.26323999999999997</v>
      </c>
      <c r="L261" s="20">
        <v>659</v>
      </c>
      <c r="M261">
        <f t="shared" si="33"/>
        <v>1.1110800000000001</v>
      </c>
      <c r="N261">
        <f t="shared" si="34"/>
        <v>0.99184000000000005</v>
      </c>
      <c r="O261">
        <f t="shared" si="35"/>
        <v>1.18608</v>
      </c>
      <c r="P261">
        <f t="shared" si="36"/>
        <v>1.1370800000000001</v>
      </c>
      <c r="Q261">
        <f t="shared" si="37"/>
        <v>1.0847599999999999</v>
      </c>
      <c r="R261">
        <f t="shared" si="38"/>
        <v>1.10608</v>
      </c>
      <c r="S261">
        <f t="shared" si="39"/>
        <v>1.1100399999999999</v>
      </c>
      <c r="T261">
        <f t="shared" si="40"/>
        <v>1.0529599999999999</v>
      </c>
    </row>
    <row r="262" spans="2:20" x14ac:dyDescent="0.35">
      <c r="B262" s="42">
        <v>660</v>
      </c>
      <c r="C262" s="42">
        <v>0.27729999999999999</v>
      </c>
      <c r="D262" s="42">
        <v>0.24748000000000001</v>
      </c>
      <c r="E262" s="42">
        <v>0.29610999999999998</v>
      </c>
      <c r="F262" s="42">
        <v>0.28387000000000001</v>
      </c>
      <c r="G262" s="42">
        <v>0.27085999999999999</v>
      </c>
      <c r="H262" s="42">
        <v>0.27617999999999998</v>
      </c>
      <c r="I262" s="42">
        <v>0.27717999999999998</v>
      </c>
      <c r="J262" s="42">
        <v>0.26291999999999999</v>
      </c>
      <c r="L262" s="20">
        <v>660</v>
      </c>
      <c r="M262">
        <f t="shared" si="33"/>
        <v>1.1092</v>
      </c>
      <c r="N262">
        <f t="shared" si="34"/>
        <v>0.98992000000000002</v>
      </c>
      <c r="O262">
        <f t="shared" si="35"/>
        <v>1.1844399999999999</v>
      </c>
      <c r="P262">
        <f t="shared" si="36"/>
        <v>1.13548</v>
      </c>
      <c r="Q262">
        <f t="shared" si="37"/>
        <v>1.08344</v>
      </c>
      <c r="R262">
        <f t="shared" si="38"/>
        <v>1.1047199999999999</v>
      </c>
      <c r="S262">
        <f t="shared" si="39"/>
        <v>1.1087199999999999</v>
      </c>
      <c r="T262">
        <f t="shared" si="40"/>
        <v>1.0516799999999999</v>
      </c>
    </row>
    <row r="263" spans="2:20" x14ac:dyDescent="0.35">
      <c r="B263" s="42">
        <v>661</v>
      </c>
      <c r="C263" s="42">
        <v>0.27698</v>
      </c>
      <c r="D263" s="42">
        <v>0.24722</v>
      </c>
      <c r="E263" s="42">
        <v>0.29587999999999998</v>
      </c>
      <c r="F263" s="42">
        <v>0.28356999999999999</v>
      </c>
      <c r="G263" s="42">
        <v>0.27067999999999998</v>
      </c>
      <c r="H263" s="42">
        <v>0.27592</v>
      </c>
      <c r="I263" s="42">
        <v>0.27693000000000001</v>
      </c>
      <c r="J263" s="42">
        <v>0.26277</v>
      </c>
      <c r="L263" s="20">
        <v>661</v>
      </c>
      <c r="M263">
        <f t="shared" si="33"/>
        <v>1.10792</v>
      </c>
      <c r="N263">
        <f t="shared" si="34"/>
        <v>0.98887999999999998</v>
      </c>
      <c r="O263">
        <f t="shared" si="35"/>
        <v>1.1835199999999999</v>
      </c>
      <c r="P263">
        <f t="shared" si="36"/>
        <v>1.13428</v>
      </c>
      <c r="Q263">
        <f t="shared" si="37"/>
        <v>1.0827199999999999</v>
      </c>
      <c r="R263">
        <f t="shared" si="38"/>
        <v>1.10368</v>
      </c>
      <c r="S263">
        <f t="shared" si="39"/>
        <v>1.10772</v>
      </c>
      <c r="T263">
        <f t="shared" si="40"/>
        <v>1.05108</v>
      </c>
    </row>
    <row r="264" spans="2:20" x14ac:dyDescent="0.35">
      <c r="B264" s="42">
        <v>662</v>
      </c>
      <c r="C264" s="42">
        <v>0.27687</v>
      </c>
      <c r="D264" s="42">
        <v>0.24712000000000001</v>
      </c>
      <c r="E264" s="42">
        <v>0.29583999999999999</v>
      </c>
      <c r="F264" s="42">
        <v>0.28354000000000001</v>
      </c>
      <c r="G264" s="42">
        <v>0.27057999999999999</v>
      </c>
      <c r="H264" s="42">
        <v>0.27592</v>
      </c>
      <c r="I264" s="42">
        <v>0.27689999999999998</v>
      </c>
      <c r="J264" s="42">
        <v>0.26266</v>
      </c>
      <c r="L264" s="20">
        <v>662</v>
      </c>
      <c r="M264">
        <f t="shared" si="33"/>
        <v>1.10748</v>
      </c>
      <c r="N264">
        <f t="shared" si="34"/>
        <v>0.98848000000000003</v>
      </c>
      <c r="O264">
        <f t="shared" si="35"/>
        <v>1.18336</v>
      </c>
      <c r="P264">
        <f t="shared" si="36"/>
        <v>1.1341600000000001</v>
      </c>
      <c r="Q264">
        <f t="shared" si="37"/>
        <v>1.0823199999999999</v>
      </c>
      <c r="R264">
        <f t="shared" si="38"/>
        <v>1.10368</v>
      </c>
      <c r="S264">
        <f t="shared" si="39"/>
        <v>1.1075999999999999</v>
      </c>
      <c r="T264">
        <f t="shared" si="40"/>
        <v>1.05064</v>
      </c>
    </row>
    <row r="265" spans="2:20" x14ac:dyDescent="0.35">
      <c r="B265" s="42">
        <v>663</v>
      </c>
      <c r="C265" s="42">
        <v>0.27683999999999997</v>
      </c>
      <c r="D265" s="42">
        <v>0.24712000000000001</v>
      </c>
      <c r="E265" s="42">
        <v>0.29593000000000003</v>
      </c>
      <c r="F265" s="42">
        <v>0.28356999999999999</v>
      </c>
      <c r="G265" s="42">
        <v>0.27061000000000002</v>
      </c>
      <c r="H265" s="42">
        <v>0.27594000000000002</v>
      </c>
      <c r="I265" s="42">
        <v>0.27689999999999998</v>
      </c>
      <c r="J265" s="42">
        <v>0.26264999999999999</v>
      </c>
      <c r="L265" s="20">
        <v>663</v>
      </c>
      <c r="M265">
        <f t="shared" si="33"/>
        <v>1.1073599999999999</v>
      </c>
      <c r="N265">
        <f t="shared" si="34"/>
        <v>0.98848000000000003</v>
      </c>
      <c r="O265">
        <f t="shared" si="35"/>
        <v>1.1837200000000001</v>
      </c>
      <c r="P265">
        <f t="shared" si="36"/>
        <v>1.13428</v>
      </c>
      <c r="Q265">
        <f t="shared" si="37"/>
        <v>1.0824400000000001</v>
      </c>
      <c r="R265">
        <f t="shared" si="38"/>
        <v>1.1037600000000001</v>
      </c>
      <c r="S265">
        <f t="shared" si="39"/>
        <v>1.1075999999999999</v>
      </c>
      <c r="T265">
        <f t="shared" si="40"/>
        <v>1.0506</v>
      </c>
    </row>
    <row r="266" spans="2:20" x14ac:dyDescent="0.35">
      <c r="B266" s="42">
        <v>664</v>
      </c>
      <c r="C266" s="42">
        <v>0.27707999999999999</v>
      </c>
      <c r="D266" s="42">
        <v>0.24726999999999999</v>
      </c>
      <c r="E266" s="42">
        <v>0.29616999999999999</v>
      </c>
      <c r="F266" s="42">
        <v>0.28381000000000001</v>
      </c>
      <c r="G266" s="42">
        <v>0.27083000000000002</v>
      </c>
      <c r="H266" s="42">
        <v>0.27614</v>
      </c>
      <c r="I266" s="42">
        <v>0.27710000000000001</v>
      </c>
      <c r="J266" s="42">
        <v>0.26289000000000001</v>
      </c>
      <c r="L266" s="20">
        <v>664</v>
      </c>
      <c r="M266">
        <f t="shared" si="33"/>
        <v>1.10832</v>
      </c>
      <c r="N266">
        <f t="shared" si="34"/>
        <v>0.98907999999999996</v>
      </c>
      <c r="O266">
        <f t="shared" si="35"/>
        <v>1.18468</v>
      </c>
      <c r="P266">
        <f t="shared" si="36"/>
        <v>1.13524</v>
      </c>
      <c r="Q266">
        <f t="shared" si="37"/>
        <v>1.0833200000000001</v>
      </c>
      <c r="R266">
        <f t="shared" si="38"/>
        <v>1.10456</v>
      </c>
      <c r="S266">
        <f t="shared" si="39"/>
        <v>1.1084000000000001</v>
      </c>
      <c r="T266">
        <f t="shared" si="40"/>
        <v>1.0515600000000001</v>
      </c>
    </row>
    <row r="267" spans="2:20" x14ac:dyDescent="0.35">
      <c r="B267" s="42">
        <v>665</v>
      </c>
      <c r="C267" s="42">
        <v>0.27746999999999999</v>
      </c>
      <c r="D267" s="42">
        <v>0.24759</v>
      </c>
      <c r="E267" s="42">
        <v>0.29663</v>
      </c>
      <c r="F267" s="42">
        <v>0.28421000000000002</v>
      </c>
      <c r="G267" s="42">
        <v>0.27106999999999998</v>
      </c>
      <c r="H267" s="42">
        <v>0.27644000000000002</v>
      </c>
      <c r="I267" s="42">
        <v>0.27742</v>
      </c>
      <c r="J267" s="42">
        <v>0.26318000000000003</v>
      </c>
      <c r="L267" s="20">
        <v>665</v>
      </c>
      <c r="M267">
        <f t="shared" si="33"/>
        <v>1.10988</v>
      </c>
      <c r="N267">
        <f t="shared" si="34"/>
        <v>0.99036000000000002</v>
      </c>
      <c r="O267">
        <f t="shared" si="35"/>
        <v>1.18652</v>
      </c>
      <c r="P267">
        <f t="shared" si="36"/>
        <v>1.1368400000000001</v>
      </c>
      <c r="Q267">
        <f t="shared" si="37"/>
        <v>1.0842799999999999</v>
      </c>
      <c r="R267">
        <f t="shared" si="38"/>
        <v>1.1057600000000001</v>
      </c>
      <c r="S267">
        <f t="shared" si="39"/>
        <v>1.10968</v>
      </c>
      <c r="T267">
        <f t="shared" si="40"/>
        <v>1.0527200000000001</v>
      </c>
    </row>
    <row r="268" spans="2:20" x14ac:dyDescent="0.35">
      <c r="B268" s="42">
        <v>666</v>
      </c>
      <c r="C268" s="42">
        <v>0.27807999999999999</v>
      </c>
      <c r="D268" s="42">
        <v>0.24809</v>
      </c>
      <c r="E268" s="42">
        <v>0.29720999999999997</v>
      </c>
      <c r="F268" s="42">
        <v>0.28478999999999999</v>
      </c>
      <c r="G268" s="42">
        <v>0.27150999999999997</v>
      </c>
      <c r="H268" s="42">
        <v>0.27687</v>
      </c>
      <c r="I268" s="42">
        <v>0.27784999999999999</v>
      </c>
      <c r="J268" s="42">
        <v>0.26361000000000001</v>
      </c>
      <c r="L268" s="20">
        <v>666</v>
      </c>
      <c r="M268">
        <f t="shared" si="33"/>
        <v>1.11232</v>
      </c>
      <c r="N268">
        <f t="shared" si="34"/>
        <v>0.99236000000000002</v>
      </c>
      <c r="O268">
        <f t="shared" si="35"/>
        <v>1.1888399999999999</v>
      </c>
      <c r="P268">
        <f t="shared" si="36"/>
        <v>1.13916</v>
      </c>
      <c r="Q268">
        <f t="shared" si="37"/>
        <v>1.0860399999999999</v>
      </c>
      <c r="R268">
        <f t="shared" si="38"/>
        <v>1.10748</v>
      </c>
      <c r="S268">
        <f t="shared" si="39"/>
        <v>1.1113999999999999</v>
      </c>
      <c r="T268">
        <f t="shared" si="40"/>
        <v>1.05444</v>
      </c>
    </row>
    <row r="269" spans="2:20" x14ac:dyDescent="0.35">
      <c r="B269" s="42">
        <v>667</v>
      </c>
      <c r="C269" s="42">
        <v>0.27875</v>
      </c>
      <c r="D269" s="42">
        <v>0.24875</v>
      </c>
      <c r="E269" s="42">
        <v>0.29792999999999997</v>
      </c>
      <c r="F269" s="42">
        <v>0.28549000000000002</v>
      </c>
      <c r="G269" s="42">
        <v>0.27205000000000001</v>
      </c>
      <c r="H269" s="42">
        <v>0.27742</v>
      </c>
      <c r="I269" s="42">
        <v>0.27833999999999998</v>
      </c>
      <c r="J269" s="42">
        <v>0.2641</v>
      </c>
      <c r="L269" s="20">
        <v>667</v>
      </c>
      <c r="M269">
        <f t="shared" si="33"/>
        <v>1.115</v>
      </c>
      <c r="N269">
        <f t="shared" si="34"/>
        <v>0.995</v>
      </c>
      <c r="O269">
        <f t="shared" si="35"/>
        <v>1.1917199999999999</v>
      </c>
      <c r="P269">
        <f t="shared" si="36"/>
        <v>1.1419600000000001</v>
      </c>
      <c r="Q269">
        <f t="shared" si="37"/>
        <v>1.0882000000000001</v>
      </c>
      <c r="R269">
        <f t="shared" si="38"/>
        <v>1.10968</v>
      </c>
      <c r="S269">
        <f t="shared" si="39"/>
        <v>1.1133599999999999</v>
      </c>
      <c r="T269">
        <f t="shared" si="40"/>
        <v>1.0564</v>
      </c>
    </row>
    <row r="270" spans="2:20" x14ac:dyDescent="0.35">
      <c r="B270" s="42">
        <v>668</v>
      </c>
      <c r="C270" s="42">
        <v>0.27960000000000002</v>
      </c>
      <c r="D270" s="42">
        <v>0.24948000000000001</v>
      </c>
      <c r="E270" s="42">
        <v>0.29880000000000001</v>
      </c>
      <c r="F270" s="42">
        <v>0.28632999999999997</v>
      </c>
      <c r="G270" s="42">
        <v>0.27262999999999998</v>
      </c>
      <c r="H270" s="42">
        <v>0.27816999999999997</v>
      </c>
      <c r="I270" s="42">
        <v>0.27895999999999999</v>
      </c>
      <c r="J270" s="42">
        <v>0.26468000000000003</v>
      </c>
      <c r="L270" s="20">
        <v>668</v>
      </c>
      <c r="M270">
        <f t="shared" si="33"/>
        <v>1.1184000000000001</v>
      </c>
      <c r="N270">
        <f t="shared" si="34"/>
        <v>0.99792000000000003</v>
      </c>
      <c r="O270">
        <f t="shared" si="35"/>
        <v>1.1952</v>
      </c>
      <c r="P270">
        <f t="shared" si="36"/>
        <v>1.1453199999999999</v>
      </c>
      <c r="Q270">
        <f t="shared" si="37"/>
        <v>1.0905199999999999</v>
      </c>
      <c r="R270">
        <f t="shared" si="38"/>
        <v>1.1126799999999999</v>
      </c>
      <c r="S270">
        <f t="shared" si="39"/>
        <v>1.1158399999999999</v>
      </c>
      <c r="T270">
        <f t="shared" si="40"/>
        <v>1.0587200000000001</v>
      </c>
    </row>
    <row r="271" spans="2:20" x14ac:dyDescent="0.35">
      <c r="B271" s="42">
        <v>669</v>
      </c>
      <c r="C271" s="42">
        <v>0.28053</v>
      </c>
      <c r="D271" s="42">
        <v>0.25026999999999999</v>
      </c>
      <c r="E271" s="42">
        <v>0.29960999999999999</v>
      </c>
      <c r="F271" s="42">
        <v>0.28720000000000001</v>
      </c>
      <c r="G271" s="42">
        <v>0.27332000000000001</v>
      </c>
      <c r="H271" s="42">
        <v>0.27878999999999998</v>
      </c>
      <c r="I271" s="42">
        <v>0.27955999999999998</v>
      </c>
      <c r="J271" s="42">
        <v>0.26534999999999997</v>
      </c>
      <c r="L271" s="20">
        <v>669</v>
      </c>
      <c r="M271">
        <f t="shared" si="33"/>
        <v>1.12212</v>
      </c>
      <c r="N271">
        <f t="shared" si="34"/>
        <v>1.00108</v>
      </c>
      <c r="O271">
        <f t="shared" si="35"/>
        <v>1.1984399999999999</v>
      </c>
      <c r="P271">
        <f t="shared" si="36"/>
        <v>1.1488</v>
      </c>
      <c r="Q271">
        <f t="shared" si="37"/>
        <v>1.09328</v>
      </c>
      <c r="R271">
        <f t="shared" si="38"/>
        <v>1.1151599999999999</v>
      </c>
      <c r="S271">
        <f t="shared" si="39"/>
        <v>1.1182399999999999</v>
      </c>
      <c r="T271">
        <f t="shared" si="40"/>
        <v>1.0613999999999999</v>
      </c>
    </row>
    <row r="272" spans="2:20" x14ac:dyDescent="0.35">
      <c r="B272" s="42">
        <v>670</v>
      </c>
      <c r="C272" s="42">
        <v>0.28159000000000001</v>
      </c>
      <c r="D272" s="42">
        <v>0.25117</v>
      </c>
      <c r="E272" s="42">
        <v>0.30060999999999999</v>
      </c>
      <c r="F272" s="42">
        <v>0.28821999999999998</v>
      </c>
      <c r="G272" s="42">
        <v>0.27405000000000002</v>
      </c>
      <c r="H272" s="42">
        <v>0.27962999999999999</v>
      </c>
      <c r="I272" s="42">
        <v>0.28032000000000001</v>
      </c>
      <c r="J272" s="42">
        <v>0.26606999999999997</v>
      </c>
      <c r="L272" s="20">
        <v>670</v>
      </c>
      <c r="M272">
        <f t="shared" si="33"/>
        <v>1.12636</v>
      </c>
      <c r="N272">
        <f t="shared" si="34"/>
        <v>1.00468</v>
      </c>
      <c r="O272">
        <f t="shared" si="35"/>
        <v>1.20244</v>
      </c>
      <c r="P272">
        <f t="shared" si="36"/>
        <v>1.1528799999999999</v>
      </c>
      <c r="Q272">
        <f t="shared" si="37"/>
        <v>1.0962000000000001</v>
      </c>
      <c r="R272">
        <f t="shared" si="38"/>
        <v>1.11852</v>
      </c>
      <c r="S272">
        <f t="shared" si="39"/>
        <v>1.1212800000000001</v>
      </c>
      <c r="T272">
        <f t="shared" si="40"/>
        <v>1.0642799999999999</v>
      </c>
    </row>
    <row r="273" spans="2:20" x14ac:dyDescent="0.35">
      <c r="B273" s="42">
        <v>671</v>
      </c>
      <c r="C273" s="42">
        <v>0.28251999999999999</v>
      </c>
      <c r="D273" s="42">
        <v>0.252</v>
      </c>
      <c r="E273" s="42">
        <v>0.30153999999999997</v>
      </c>
      <c r="F273" s="42">
        <v>0.28916999999999998</v>
      </c>
      <c r="G273" s="42">
        <v>0.27468999999999999</v>
      </c>
      <c r="H273" s="42">
        <v>0.28034999999999999</v>
      </c>
      <c r="I273" s="42">
        <v>0.28100999999999998</v>
      </c>
      <c r="J273" s="42">
        <v>0.26667999999999997</v>
      </c>
      <c r="L273" s="20">
        <v>671</v>
      </c>
      <c r="M273">
        <f t="shared" si="33"/>
        <v>1.13008</v>
      </c>
      <c r="N273">
        <f t="shared" si="34"/>
        <v>1.008</v>
      </c>
      <c r="O273">
        <f t="shared" si="35"/>
        <v>1.2061599999999999</v>
      </c>
      <c r="P273">
        <f t="shared" si="36"/>
        <v>1.1566799999999999</v>
      </c>
      <c r="Q273">
        <f t="shared" si="37"/>
        <v>1.09876</v>
      </c>
      <c r="R273">
        <f t="shared" si="38"/>
        <v>1.1214</v>
      </c>
      <c r="S273">
        <f t="shared" si="39"/>
        <v>1.1240399999999999</v>
      </c>
      <c r="T273">
        <f t="shared" si="40"/>
        <v>1.0667199999999999</v>
      </c>
    </row>
    <row r="274" spans="2:20" x14ac:dyDescent="0.35">
      <c r="B274" s="42">
        <v>672</v>
      </c>
      <c r="C274" s="42">
        <v>0.28351999999999999</v>
      </c>
      <c r="D274" s="42">
        <v>0.25287999999999999</v>
      </c>
      <c r="E274" s="42">
        <v>0.30253999999999998</v>
      </c>
      <c r="F274" s="42">
        <v>0.29013</v>
      </c>
      <c r="G274" s="42">
        <v>0.27544000000000002</v>
      </c>
      <c r="H274" s="42">
        <v>0.28114</v>
      </c>
      <c r="I274" s="42">
        <v>0.28166000000000002</v>
      </c>
      <c r="J274" s="42">
        <v>0.26740000000000003</v>
      </c>
      <c r="L274" s="20">
        <v>672</v>
      </c>
      <c r="M274">
        <f t="shared" si="33"/>
        <v>1.13408</v>
      </c>
      <c r="N274">
        <f t="shared" si="34"/>
        <v>1.01152</v>
      </c>
      <c r="O274">
        <f t="shared" si="35"/>
        <v>1.2101599999999999</v>
      </c>
      <c r="P274">
        <f t="shared" si="36"/>
        <v>1.16052</v>
      </c>
      <c r="Q274">
        <f t="shared" si="37"/>
        <v>1.1017600000000001</v>
      </c>
      <c r="R274">
        <f t="shared" si="38"/>
        <v>1.12456</v>
      </c>
      <c r="S274">
        <f t="shared" si="39"/>
        <v>1.1266400000000001</v>
      </c>
      <c r="T274">
        <f t="shared" si="40"/>
        <v>1.0696000000000001</v>
      </c>
    </row>
    <row r="275" spans="2:20" x14ac:dyDescent="0.35">
      <c r="B275" s="42">
        <v>673</v>
      </c>
      <c r="C275" s="42">
        <v>0.28452</v>
      </c>
      <c r="D275" s="42">
        <v>0.25378000000000001</v>
      </c>
      <c r="E275" s="42">
        <v>0.30347000000000002</v>
      </c>
      <c r="F275" s="42">
        <v>0.29109000000000002</v>
      </c>
      <c r="G275" s="42">
        <v>0.27611999999999998</v>
      </c>
      <c r="H275" s="42">
        <v>0.28186</v>
      </c>
      <c r="I275" s="42">
        <v>0.28234999999999999</v>
      </c>
      <c r="J275" s="42">
        <v>0.26805000000000001</v>
      </c>
      <c r="L275" s="20">
        <v>673</v>
      </c>
      <c r="M275">
        <f t="shared" si="33"/>
        <v>1.13808</v>
      </c>
      <c r="N275">
        <f t="shared" si="34"/>
        <v>1.01512</v>
      </c>
      <c r="O275">
        <f t="shared" si="35"/>
        <v>1.2138800000000001</v>
      </c>
      <c r="P275">
        <f t="shared" si="36"/>
        <v>1.1643600000000001</v>
      </c>
      <c r="Q275">
        <f t="shared" si="37"/>
        <v>1.1044799999999999</v>
      </c>
      <c r="R275">
        <f t="shared" si="38"/>
        <v>1.12744</v>
      </c>
      <c r="S275">
        <f t="shared" si="39"/>
        <v>1.1294</v>
      </c>
      <c r="T275">
        <f t="shared" si="40"/>
        <v>1.0722</v>
      </c>
    </row>
    <row r="276" spans="2:20" x14ac:dyDescent="0.35">
      <c r="B276" s="42">
        <v>674</v>
      </c>
      <c r="C276" s="42">
        <v>0.28558</v>
      </c>
      <c r="D276" s="42">
        <v>0.25464999999999999</v>
      </c>
      <c r="E276" s="42">
        <v>0.30442999999999998</v>
      </c>
      <c r="F276" s="42">
        <v>0.29210000000000003</v>
      </c>
      <c r="G276" s="42">
        <v>0.27685999999999999</v>
      </c>
      <c r="H276" s="42">
        <v>0.28264</v>
      </c>
      <c r="I276" s="42">
        <v>0.28301999999999999</v>
      </c>
      <c r="J276" s="42">
        <v>0.26872000000000001</v>
      </c>
      <c r="L276" s="20">
        <v>674</v>
      </c>
      <c r="M276">
        <f t="shared" si="33"/>
        <v>1.14232</v>
      </c>
      <c r="N276">
        <f t="shared" si="34"/>
        <v>1.0185999999999999</v>
      </c>
      <c r="O276">
        <f t="shared" si="35"/>
        <v>1.2177199999999999</v>
      </c>
      <c r="P276">
        <f t="shared" si="36"/>
        <v>1.1684000000000001</v>
      </c>
      <c r="Q276">
        <f t="shared" si="37"/>
        <v>1.10744</v>
      </c>
      <c r="R276">
        <f t="shared" si="38"/>
        <v>1.13056</v>
      </c>
      <c r="S276">
        <f t="shared" si="39"/>
        <v>1.13208</v>
      </c>
      <c r="T276">
        <f t="shared" si="40"/>
        <v>1.0748800000000001</v>
      </c>
    </row>
    <row r="277" spans="2:20" x14ac:dyDescent="0.35">
      <c r="B277" s="42">
        <v>675</v>
      </c>
      <c r="C277" s="42">
        <v>0.28661999999999999</v>
      </c>
      <c r="D277" s="42">
        <v>0.25563000000000002</v>
      </c>
      <c r="E277" s="42">
        <v>0.30545</v>
      </c>
      <c r="F277" s="42">
        <v>0.29311999999999999</v>
      </c>
      <c r="G277" s="42">
        <v>0.27754000000000001</v>
      </c>
      <c r="H277" s="42">
        <v>0.28343000000000002</v>
      </c>
      <c r="I277" s="42">
        <v>0.28373999999999999</v>
      </c>
      <c r="J277" s="42">
        <v>0.26940999999999998</v>
      </c>
      <c r="L277" s="20">
        <v>675</v>
      </c>
      <c r="M277">
        <f t="shared" si="33"/>
        <v>1.1464799999999999</v>
      </c>
      <c r="N277">
        <f t="shared" si="34"/>
        <v>1.0225200000000001</v>
      </c>
      <c r="O277">
        <f t="shared" si="35"/>
        <v>1.2218</v>
      </c>
      <c r="P277">
        <f t="shared" si="36"/>
        <v>1.17248</v>
      </c>
      <c r="Q277">
        <f t="shared" si="37"/>
        <v>1.11016</v>
      </c>
      <c r="R277">
        <f t="shared" si="38"/>
        <v>1.1337200000000001</v>
      </c>
      <c r="S277">
        <f t="shared" si="39"/>
        <v>1.13496</v>
      </c>
      <c r="T277">
        <f t="shared" si="40"/>
        <v>1.0776399999999999</v>
      </c>
    </row>
    <row r="278" spans="2:20" x14ac:dyDescent="0.35">
      <c r="B278" s="42">
        <v>676</v>
      </c>
      <c r="C278" s="42">
        <v>0.28772999999999999</v>
      </c>
      <c r="D278" s="42">
        <v>0.25656000000000001</v>
      </c>
      <c r="E278" s="42">
        <v>0.30649999999999999</v>
      </c>
      <c r="F278" s="42">
        <v>0.29416999999999999</v>
      </c>
      <c r="G278" s="42">
        <v>0.27828999999999998</v>
      </c>
      <c r="H278" s="42">
        <v>0.28427000000000002</v>
      </c>
      <c r="I278" s="42">
        <v>0.28448000000000001</v>
      </c>
      <c r="J278" s="42">
        <v>0.27011000000000002</v>
      </c>
      <c r="L278" s="20">
        <v>676</v>
      </c>
      <c r="M278">
        <f t="shared" si="33"/>
        <v>1.1509199999999999</v>
      </c>
      <c r="N278">
        <f t="shared" si="34"/>
        <v>1.02624</v>
      </c>
      <c r="O278">
        <f t="shared" si="35"/>
        <v>1.226</v>
      </c>
      <c r="P278">
        <f t="shared" si="36"/>
        <v>1.1766799999999999</v>
      </c>
      <c r="Q278">
        <f t="shared" si="37"/>
        <v>1.1131599999999999</v>
      </c>
      <c r="R278">
        <f t="shared" si="38"/>
        <v>1.1370800000000001</v>
      </c>
      <c r="S278">
        <f t="shared" si="39"/>
        <v>1.13792</v>
      </c>
      <c r="T278">
        <f t="shared" si="40"/>
        <v>1.0804400000000001</v>
      </c>
    </row>
    <row r="279" spans="2:20" x14ac:dyDescent="0.35">
      <c r="B279" s="42">
        <v>677</v>
      </c>
      <c r="C279" s="42">
        <v>0.28888000000000003</v>
      </c>
      <c r="D279" s="42">
        <v>0.25753999999999999</v>
      </c>
      <c r="E279" s="42">
        <v>0.30762</v>
      </c>
      <c r="F279" s="42">
        <v>0.29526999999999998</v>
      </c>
      <c r="G279" s="42">
        <v>0.27905000000000002</v>
      </c>
      <c r="H279" s="42">
        <v>0.28510000000000002</v>
      </c>
      <c r="I279" s="42">
        <v>0.28522999999999998</v>
      </c>
      <c r="J279" s="42">
        <v>0.27085999999999999</v>
      </c>
      <c r="L279" s="20">
        <v>677</v>
      </c>
      <c r="M279">
        <f t="shared" si="33"/>
        <v>1.1555200000000001</v>
      </c>
      <c r="N279">
        <f t="shared" si="34"/>
        <v>1.03016</v>
      </c>
      <c r="O279">
        <f t="shared" si="35"/>
        <v>1.23048</v>
      </c>
      <c r="P279">
        <f t="shared" si="36"/>
        <v>1.1810799999999999</v>
      </c>
      <c r="Q279">
        <f t="shared" si="37"/>
        <v>1.1162000000000001</v>
      </c>
      <c r="R279">
        <f t="shared" si="38"/>
        <v>1.1404000000000001</v>
      </c>
      <c r="S279">
        <f t="shared" si="39"/>
        <v>1.1409199999999999</v>
      </c>
      <c r="T279">
        <f t="shared" si="40"/>
        <v>1.08344</v>
      </c>
    </row>
    <row r="280" spans="2:20" x14ac:dyDescent="0.35">
      <c r="B280" s="42">
        <v>678</v>
      </c>
      <c r="C280" s="42">
        <v>0.29004999999999997</v>
      </c>
      <c r="D280" s="42">
        <v>0.25867000000000001</v>
      </c>
      <c r="E280" s="42">
        <v>0.30878</v>
      </c>
      <c r="F280" s="42">
        <v>0.29648999999999998</v>
      </c>
      <c r="G280" s="42">
        <v>0.27983000000000002</v>
      </c>
      <c r="H280" s="42">
        <v>0.28599999999999998</v>
      </c>
      <c r="I280" s="42">
        <v>0.28603000000000001</v>
      </c>
      <c r="J280" s="42">
        <v>0.27161000000000002</v>
      </c>
      <c r="L280" s="20">
        <v>678</v>
      </c>
      <c r="M280">
        <f t="shared" si="33"/>
        <v>1.1601999999999999</v>
      </c>
      <c r="N280">
        <f t="shared" si="34"/>
        <v>1.03468</v>
      </c>
      <c r="O280">
        <f t="shared" si="35"/>
        <v>1.23512</v>
      </c>
      <c r="P280">
        <f t="shared" si="36"/>
        <v>1.1859599999999999</v>
      </c>
      <c r="Q280">
        <f t="shared" si="37"/>
        <v>1.1193200000000001</v>
      </c>
      <c r="R280">
        <f t="shared" si="38"/>
        <v>1.1439999999999999</v>
      </c>
      <c r="S280">
        <f t="shared" si="39"/>
        <v>1.14412</v>
      </c>
      <c r="T280">
        <f t="shared" si="40"/>
        <v>1.0864400000000001</v>
      </c>
    </row>
    <row r="281" spans="2:20" x14ac:dyDescent="0.35">
      <c r="B281" s="42">
        <v>679</v>
      </c>
      <c r="C281" s="42">
        <v>0.29121000000000002</v>
      </c>
      <c r="D281" s="42">
        <v>0.25968999999999998</v>
      </c>
      <c r="E281" s="42">
        <v>0.30989</v>
      </c>
      <c r="F281" s="42">
        <v>0.29755999999999999</v>
      </c>
      <c r="G281" s="42">
        <v>0.28061999999999998</v>
      </c>
      <c r="H281" s="42">
        <v>0.28682999999999997</v>
      </c>
      <c r="I281" s="42">
        <v>0.2868</v>
      </c>
      <c r="J281" s="42">
        <v>0.27234999999999998</v>
      </c>
      <c r="L281" s="20">
        <v>679</v>
      </c>
      <c r="M281">
        <f t="shared" si="33"/>
        <v>1.1648400000000001</v>
      </c>
      <c r="N281">
        <f t="shared" si="34"/>
        <v>1.0387599999999999</v>
      </c>
      <c r="O281">
        <f t="shared" si="35"/>
        <v>1.23956</v>
      </c>
      <c r="P281">
        <f t="shared" si="36"/>
        <v>1.19024</v>
      </c>
      <c r="Q281">
        <f t="shared" si="37"/>
        <v>1.1224799999999999</v>
      </c>
      <c r="R281">
        <f t="shared" si="38"/>
        <v>1.1473199999999999</v>
      </c>
      <c r="S281">
        <f t="shared" si="39"/>
        <v>1.1472</v>
      </c>
      <c r="T281">
        <f t="shared" si="40"/>
        <v>1.0893999999999999</v>
      </c>
    </row>
    <row r="282" spans="2:20" x14ac:dyDescent="0.35">
      <c r="B282" s="42">
        <v>680</v>
      </c>
      <c r="C282" s="42">
        <v>0.29224</v>
      </c>
      <c r="D282" s="42">
        <v>0.26056000000000001</v>
      </c>
      <c r="E282" s="42">
        <v>0.31081999999999999</v>
      </c>
      <c r="F282" s="42">
        <v>0.29852000000000001</v>
      </c>
      <c r="G282" s="42">
        <v>0.28122000000000003</v>
      </c>
      <c r="H282" s="42">
        <v>0.28750999999999999</v>
      </c>
      <c r="I282" s="42">
        <v>0.28743000000000002</v>
      </c>
      <c r="J282" s="42">
        <v>0.27299000000000001</v>
      </c>
      <c r="L282" s="20">
        <v>680</v>
      </c>
      <c r="M282">
        <f t="shared" si="33"/>
        <v>1.16896</v>
      </c>
      <c r="N282">
        <f t="shared" si="34"/>
        <v>1.0422400000000001</v>
      </c>
      <c r="O282">
        <f t="shared" si="35"/>
        <v>1.2432799999999999</v>
      </c>
      <c r="P282">
        <f t="shared" si="36"/>
        <v>1.19408</v>
      </c>
      <c r="Q282">
        <f t="shared" si="37"/>
        <v>1.1248800000000001</v>
      </c>
      <c r="R282">
        <f t="shared" si="38"/>
        <v>1.15004</v>
      </c>
      <c r="S282">
        <f t="shared" si="39"/>
        <v>1.1497200000000001</v>
      </c>
      <c r="T282">
        <f t="shared" si="40"/>
        <v>1.09196</v>
      </c>
    </row>
    <row r="283" spans="2:20" x14ac:dyDescent="0.35">
      <c r="B283" s="42">
        <v>681</v>
      </c>
      <c r="C283" s="42">
        <v>0.29311999999999999</v>
      </c>
      <c r="D283" s="42">
        <v>0.26132</v>
      </c>
      <c r="E283" s="42">
        <v>0.31168000000000001</v>
      </c>
      <c r="F283" s="42">
        <v>0.29935</v>
      </c>
      <c r="G283" s="42">
        <v>0.28177000000000002</v>
      </c>
      <c r="H283" s="42">
        <v>0.28813</v>
      </c>
      <c r="I283" s="42">
        <v>0.28792000000000001</v>
      </c>
      <c r="J283" s="42">
        <v>0.27350000000000002</v>
      </c>
      <c r="L283" s="20">
        <v>681</v>
      </c>
      <c r="M283">
        <f t="shared" si="33"/>
        <v>1.17248</v>
      </c>
      <c r="N283">
        <f t="shared" si="34"/>
        <v>1.04528</v>
      </c>
      <c r="O283">
        <f t="shared" si="35"/>
        <v>1.2467200000000001</v>
      </c>
      <c r="P283">
        <f t="shared" si="36"/>
        <v>1.1974</v>
      </c>
      <c r="Q283">
        <f t="shared" si="37"/>
        <v>1.1270800000000001</v>
      </c>
      <c r="R283">
        <f t="shared" si="38"/>
        <v>1.15252</v>
      </c>
      <c r="S283">
        <f t="shared" si="39"/>
        <v>1.15168</v>
      </c>
      <c r="T283">
        <f t="shared" si="40"/>
        <v>1.0940000000000001</v>
      </c>
    </row>
    <row r="284" spans="2:20" x14ac:dyDescent="0.35">
      <c r="B284" s="42">
        <v>682</v>
      </c>
      <c r="C284" s="42">
        <v>0.29361999999999999</v>
      </c>
      <c r="D284" s="42">
        <v>0.26178000000000001</v>
      </c>
      <c r="E284" s="42">
        <v>0.31215999999999999</v>
      </c>
      <c r="F284" s="42">
        <v>0.29979</v>
      </c>
      <c r="G284" s="42">
        <v>0.28203</v>
      </c>
      <c r="H284" s="42">
        <v>0.28838999999999998</v>
      </c>
      <c r="I284" s="42">
        <v>0.28815000000000002</v>
      </c>
      <c r="J284" s="42">
        <v>0.27367000000000002</v>
      </c>
      <c r="L284" s="20">
        <v>682</v>
      </c>
      <c r="M284">
        <f t="shared" si="33"/>
        <v>1.17448</v>
      </c>
      <c r="N284">
        <f t="shared" si="34"/>
        <v>1.0471200000000001</v>
      </c>
      <c r="O284">
        <f t="shared" si="35"/>
        <v>1.24864</v>
      </c>
      <c r="P284">
        <f t="shared" si="36"/>
        <v>1.19916</v>
      </c>
      <c r="Q284">
        <f t="shared" si="37"/>
        <v>1.12812</v>
      </c>
      <c r="R284">
        <f t="shared" si="38"/>
        <v>1.1535599999999999</v>
      </c>
      <c r="S284">
        <f t="shared" si="39"/>
        <v>1.1526000000000001</v>
      </c>
      <c r="T284">
        <f t="shared" si="40"/>
        <v>1.0946800000000001</v>
      </c>
    </row>
    <row r="285" spans="2:20" x14ac:dyDescent="0.35">
      <c r="B285" s="42">
        <v>683</v>
      </c>
      <c r="C285" s="42">
        <v>0.29382000000000003</v>
      </c>
      <c r="D285" s="42">
        <v>0.26191999999999999</v>
      </c>
      <c r="E285" s="42">
        <v>0.31231999999999999</v>
      </c>
      <c r="F285" s="42">
        <v>0.29992999999999997</v>
      </c>
      <c r="G285" s="42">
        <v>0.28199999999999997</v>
      </c>
      <c r="H285" s="42">
        <v>0.28836000000000001</v>
      </c>
      <c r="I285" s="42">
        <v>0.28810000000000002</v>
      </c>
      <c r="J285" s="42">
        <v>0.27361999999999997</v>
      </c>
      <c r="L285" s="20">
        <v>683</v>
      </c>
      <c r="M285">
        <f t="shared" si="33"/>
        <v>1.1752800000000001</v>
      </c>
      <c r="N285">
        <f t="shared" si="34"/>
        <v>1.0476799999999999</v>
      </c>
      <c r="O285">
        <f t="shared" si="35"/>
        <v>1.2492799999999999</v>
      </c>
      <c r="P285">
        <f t="shared" si="36"/>
        <v>1.1997199999999999</v>
      </c>
      <c r="Q285">
        <f t="shared" si="37"/>
        <v>1.1279999999999999</v>
      </c>
      <c r="R285">
        <f t="shared" si="38"/>
        <v>1.15344</v>
      </c>
      <c r="S285">
        <f t="shared" si="39"/>
        <v>1.1524000000000001</v>
      </c>
      <c r="T285">
        <f t="shared" si="40"/>
        <v>1.0944799999999999</v>
      </c>
    </row>
    <row r="286" spans="2:20" x14ac:dyDescent="0.35">
      <c r="B286" s="42">
        <v>684</v>
      </c>
      <c r="C286" s="42">
        <v>0.29354999999999998</v>
      </c>
      <c r="D286" s="42">
        <v>0.26168999999999998</v>
      </c>
      <c r="E286" s="42">
        <v>0.31206</v>
      </c>
      <c r="F286" s="42">
        <v>0.29959000000000002</v>
      </c>
      <c r="G286" s="42">
        <v>0.28166000000000002</v>
      </c>
      <c r="H286" s="42">
        <v>0.28805999999999998</v>
      </c>
      <c r="I286" s="42">
        <v>0.28769</v>
      </c>
      <c r="J286" s="42">
        <v>0.27327000000000001</v>
      </c>
      <c r="L286" s="20">
        <v>684</v>
      </c>
      <c r="M286">
        <f t="shared" si="33"/>
        <v>1.1741999999999999</v>
      </c>
      <c r="N286">
        <f t="shared" si="34"/>
        <v>1.0467599999999999</v>
      </c>
      <c r="O286">
        <f t="shared" si="35"/>
        <v>1.24824</v>
      </c>
      <c r="P286">
        <f t="shared" si="36"/>
        <v>1.1983600000000001</v>
      </c>
      <c r="Q286">
        <f t="shared" si="37"/>
        <v>1.1266400000000001</v>
      </c>
      <c r="R286">
        <f t="shared" si="38"/>
        <v>1.1522399999999999</v>
      </c>
      <c r="S286">
        <f t="shared" si="39"/>
        <v>1.15076</v>
      </c>
      <c r="T286">
        <f t="shared" si="40"/>
        <v>1.0930800000000001</v>
      </c>
    </row>
    <row r="287" spans="2:20" x14ac:dyDescent="0.35">
      <c r="B287" s="42">
        <v>685</v>
      </c>
      <c r="C287" s="42">
        <v>0.29293999999999998</v>
      </c>
      <c r="D287" s="42">
        <v>0.26113999999999998</v>
      </c>
      <c r="E287" s="42">
        <v>0.31145</v>
      </c>
      <c r="F287" s="42">
        <v>0.29888999999999999</v>
      </c>
      <c r="G287" s="42">
        <v>0.28105000000000002</v>
      </c>
      <c r="H287" s="42">
        <v>0.28732000000000002</v>
      </c>
      <c r="I287" s="42">
        <v>0.28702</v>
      </c>
      <c r="J287" s="42">
        <v>0.27263999999999999</v>
      </c>
      <c r="L287" s="20">
        <v>685</v>
      </c>
      <c r="M287">
        <f t="shared" si="33"/>
        <v>1.1717599999999999</v>
      </c>
      <c r="N287">
        <f t="shared" si="34"/>
        <v>1.0445599999999999</v>
      </c>
      <c r="O287">
        <f t="shared" si="35"/>
        <v>1.2458</v>
      </c>
      <c r="P287">
        <f t="shared" si="36"/>
        <v>1.19556</v>
      </c>
      <c r="Q287">
        <f t="shared" si="37"/>
        <v>1.1242000000000001</v>
      </c>
      <c r="R287">
        <f t="shared" si="38"/>
        <v>1.1492800000000001</v>
      </c>
      <c r="S287">
        <f t="shared" si="39"/>
        <v>1.14808</v>
      </c>
      <c r="T287">
        <f t="shared" si="40"/>
        <v>1.09056</v>
      </c>
    </row>
    <row r="288" spans="2:20" x14ac:dyDescent="0.35">
      <c r="B288" s="42">
        <v>686</v>
      </c>
      <c r="C288" s="42">
        <v>0.29202</v>
      </c>
      <c r="D288" s="42">
        <v>0.26022000000000001</v>
      </c>
      <c r="E288" s="42">
        <v>0.31058000000000002</v>
      </c>
      <c r="F288" s="42">
        <v>0.2979</v>
      </c>
      <c r="G288" s="42">
        <v>0.28021000000000001</v>
      </c>
      <c r="H288" s="42">
        <v>0.28643999999999997</v>
      </c>
      <c r="I288" s="42">
        <v>0.28610000000000002</v>
      </c>
      <c r="J288" s="42">
        <v>0.27176</v>
      </c>
      <c r="L288" s="20">
        <v>686</v>
      </c>
      <c r="M288">
        <f t="shared" si="33"/>
        <v>1.16808</v>
      </c>
      <c r="N288">
        <f t="shared" si="34"/>
        <v>1.04088</v>
      </c>
      <c r="O288">
        <f t="shared" si="35"/>
        <v>1.2423200000000001</v>
      </c>
      <c r="P288">
        <f t="shared" si="36"/>
        <v>1.1916</v>
      </c>
      <c r="Q288">
        <f t="shared" si="37"/>
        <v>1.1208400000000001</v>
      </c>
      <c r="R288">
        <f t="shared" si="38"/>
        <v>1.1457599999999999</v>
      </c>
      <c r="S288">
        <f t="shared" si="39"/>
        <v>1.1444000000000001</v>
      </c>
      <c r="T288">
        <f t="shared" si="40"/>
        <v>1.08704</v>
      </c>
    </row>
    <row r="289" spans="2:20" x14ac:dyDescent="0.35">
      <c r="B289" s="42">
        <v>687</v>
      </c>
      <c r="C289" s="42">
        <v>0.29067999999999999</v>
      </c>
      <c r="D289" s="42">
        <v>0.25902999999999998</v>
      </c>
      <c r="E289" s="42">
        <v>0.30930000000000002</v>
      </c>
      <c r="F289" s="42">
        <v>0.29654000000000003</v>
      </c>
      <c r="G289" s="42">
        <v>0.27905000000000002</v>
      </c>
      <c r="H289" s="42">
        <v>0.28519</v>
      </c>
      <c r="I289" s="42">
        <v>0.28489999999999999</v>
      </c>
      <c r="J289" s="42">
        <v>0.27056999999999998</v>
      </c>
      <c r="L289" s="20">
        <v>687</v>
      </c>
      <c r="M289">
        <f t="shared" si="33"/>
        <v>1.16272</v>
      </c>
      <c r="N289">
        <f t="shared" si="34"/>
        <v>1.0361199999999999</v>
      </c>
      <c r="O289">
        <f t="shared" si="35"/>
        <v>1.2372000000000001</v>
      </c>
      <c r="P289">
        <f t="shared" si="36"/>
        <v>1.1861600000000001</v>
      </c>
      <c r="Q289">
        <f t="shared" si="37"/>
        <v>1.1162000000000001</v>
      </c>
      <c r="R289">
        <f t="shared" si="38"/>
        <v>1.14076</v>
      </c>
      <c r="S289">
        <f t="shared" si="39"/>
        <v>1.1395999999999999</v>
      </c>
      <c r="T289">
        <f t="shared" si="40"/>
        <v>1.0822799999999999</v>
      </c>
    </row>
    <row r="290" spans="2:20" x14ac:dyDescent="0.35">
      <c r="B290" s="42">
        <v>688</v>
      </c>
      <c r="C290" s="42">
        <v>0.28899999999999998</v>
      </c>
      <c r="D290" s="42">
        <v>0.25749</v>
      </c>
      <c r="E290" s="42">
        <v>0.30775000000000002</v>
      </c>
      <c r="F290" s="42">
        <v>0.29487999999999998</v>
      </c>
      <c r="G290" s="42">
        <v>0.27771000000000001</v>
      </c>
      <c r="H290" s="42">
        <v>0.28373999999999999</v>
      </c>
      <c r="I290" s="42">
        <v>0.28345999999999999</v>
      </c>
      <c r="J290" s="42">
        <v>0.26917000000000002</v>
      </c>
      <c r="L290" s="20">
        <v>688</v>
      </c>
      <c r="M290">
        <f t="shared" si="33"/>
        <v>1.1559999999999999</v>
      </c>
      <c r="N290">
        <f t="shared" si="34"/>
        <v>1.02996</v>
      </c>
      <c r="O290">
        <f t="shared" si="35"/>
        <v>1.2310000000000001</v>
      </c>
      <c r="P290">
        <f t="shared" si="36"/>
        <v>1.1795199999999999</v>
      </c>
      <c r="Q290">
        <f t="shared" si="37"/>
        <v>1.11084</v>
      </c>
      <c r="R290">
        <f t="shared" si="38"/>
        <v>1.13496</v>
      </c>
      <c r="S290">
        <f t="shared" si="39"/>
        <v>1.13384</v>
      </c>
      <c r="T290">
        <f t="shared" si="40"/>
        <v>1.0766800000000001</v>
      </c>
    </row>
    <row r="291" spans="2:20" x14ac:dyDescent="0.35">
      <c r="B291" s="42">
        <v>689</v>
      </c>
      <c r="C291" s="42">
        <v>0.28716000000000003</v>
      </c>
      <c r="D291" s="42">
        <v>0.25583</v>
      </c>
      <c r="E291" s="42">
        <v>0.30604999999999999</v>
      </c>
      <c r="F291" s="42">
        <v>0.29303000000000001</v>
      </c>
      <c r="G291" s="42">
        <v>0.27621000000000001</v>
      </c>
      <c r="H291" s="42">
        <v>0.28210000000000002</v>
      </c>
      <c r="I291" s="42">
        <v>0.28192</v>
      </c>
      <c r="J291" s="42">
        <v>0.26769999999999999</v>
      </c>
      <c r="L291" s="20">
        <v>689</v>
      </c>
      <c r="M291">
        <f t="shared" si="33"/>
        <v>1.1486400000000001</v>
      </c>
      <c r="N291">
        <f t="shared" si="34"/>
        <v>1.02332</v>
      </c>
      <c r="O291">
        <f t="shared" si="35"/>
        <v>1.2242</v>
      </c>
      <c r="P291">
        <f t="shared" si="36"/>
        <v>1.1721200000000001</v>
      </c>
      <c r="Q291">
        <f t="shared" si="37"/>
        <v>1.10484</v>
      </c>
      <c r="R291">
        <f t="shared" si="38"/>
        <v>1.1284000000000001</v>
      </c>
      <c r="S291">
        <f t="shared" si="39"/>
        <v>1.12768</v>
      </c>
      <c r="T291">
        <f t="shared" si="40"/>
        <v>1.0708</v>
      </c>
    </row>
    <row r="292" spans="2:20" x14ac:dyDescent="0.35">
      <c r="B292" s="42">
        <v>690</v>
      </c>
      <c r="C292" s="42">
        <v>0.28510000000000002</v>
      </c>
      <c r="D292" s="42">
        <v>0.25391000000000002</v>
      </c>
      <c r="E292" s="42">
        <v>0.30409000000000003</v>
      </c>
      <c r="F292" s="42">
        <v>0.29088999999999998</v>
      </c>
      <c r="G292" s="42">
        <v>0.27455000000000002</v>
      </c>
      <c r="H292" s="42">
        <v>0.28034999999999999</v>
      </c>
      <c r="I292" s="42">
        <v>0.28023999999999999</v>
      </c>
      <c r="J292" s="42">
        <v>0.26601999999999998</v>
      </c>
      <c r="L292" s="20">
        <v>690</v>
      </c>
      <c r="M292">
        <f t="shared" si="33"/>
        <v>1.1404000000000001</v>
      </c>
      <c r="N292">
        <f t="shared" si="34"/>
        <v>1.0156400000000001</v>
      </c>
      <c r="O292">
        <f t="shared" si="35"/>
        <v>1.2163600000000001</v>
      </c>
      <c r="P292">
        <f t="shared" si="36"/>
        <v>1.1635599999999999</v>
      </c>
      <c r="Q292">
        <f t="shared" si="37"/>
        <v>1.0982000000000001</v>
      </c>
      <c r="R292">
        <f t="shared" si="38"/>
        <v>1.1214</v>
      </c>
      <c r="S292">
        <f t="shared" si="39"/>
        <v>1.12096</v>
      </c>
      <c r="T292">
        <f t="shared" si="40"/>
        <v>1.0640799999999999</v>
      </c>
    </row>
    <row r="293" spans="2:20" x14ac:dyDescent="0.35">
      <c r="B293" s="42">
        <v>691</v>
      </c>
      <c r="C293" s="42">
        <v>0.28278999999999999</v>
      </c>
      <c r="D293" s="42">
        <v>0.25187999999999999</v>
      </c>
      <c r="E293" s="42">
        <v>0.30198999999999998</v>
      </c>
      <c r="F293" s="42">
        <v>0.28864000000000001</v>
      </c>
      <c r="G293" s="42">
        <v>0.27281</v>
      </c>
      <c r="H293" s="42">
        <v>0.27839999999999998</v>
      </c>
      <c r="I293" s="42">
        <v>0.27839999999999998</v>
      </c>
      <c r="J293" s="42">
        <v>0.26423999999999997</v>
      </c>
      <c r="L293" s="20">
        <v>691</v>
      </c>
      <c r="M293">
        <f t="shared" si="33"/>
        <v>1.1311599999999999</v>
      </c>
      <c r="N293">
        <f t="shared" si="34"/>
        <v>1.00752</v>
      </c>
      <c r="O293">
        <f t="shared" si="35"/>
        <v>1.2079599999999999</v>
      </c>
      <c r="P293">
        <f t="shared" si="36"/>
        <v>1.15456</v>
      </c>
      <c r="Q293">
        <f t="shared" si="37"/>
        <v>1.09124</v>
      </c>
      <c r="R293">
        <f t="shared" si="38"/>
        <v>1.1135999999999999</v>
      </c>
      <c r="S293">
        <f t="shared" si="39"/>
        <v>1.1135999999999999</v>
      </c>
      <c r="T293">
        <f t="shared" si="40"/>
        <v>1.0569599999999999</v>
      </c>
    </row>
    <row r="294" spans="2:20" x14ac:dyDescent="0.35">
      <c r="B294" s="42">
        <v>692</v>
      </c>
      <c r="C294" s="42">
        <v>0.28058</v>
      </c>
      <c r="D294" s="42">
        <v>0.24979000000000001</v>
      </c>
      <c r="E294" s="42">
        <v>0.29992999999999997</v>
      </c>
      <c r="F294" s="42">
        <v>0.28644999999999998</v>
      </c>
      <c r="G294" s="42">
        <v>0.27109</v>
      </c>
      <c r="H294" s="42">
        <v>0.27655000000000002</v>
      </c>
      <c r="I294" s="42">
        <v>0.27664</v>
      </c>
      <c r="J294" s="42">
        <v>0.26251000000000002</v>
      </c>
      <c r="L294" s="20">
        <v>692</v>
      </c>
      <c r="M294">
        <f t="shared" si="33"/>
        <v>1.12232</v>
      </c>
      <c r="N294">
        <f t="shared" si="34"/>
        <v>0.99916000000000005</v>
      </c>
      <c r="O294">
        <f t="shared" si="35"/>
        <v>1.1997199999999999</v>
      </c>
      <c r="P294">
        <f t="shared" si="36"/>
        <v>1.1457999999999999</v>
      </c>
      <c r="Q294">
        <f t="shared" si="37"/>
        <v>1.08436</v>
      </c>
      <c r="R294">
        <f t="shared" si="38"/>
        <v>1.1062000000000001</v>
      </c>
      <c r="S294">
        <f t="shared" si="39"/>
        <v>1.10656</v>
      </c>
      <c r="T294">
        <f t="shared" si="40"/>
        <v>1.0500400000000001</v>
      </c>
    </row>
    <row r="295" spans="2:20" x14ac:dyDescent="0.35">
      <c r="B295" s="42">
        <v>693</v>
      </c>
      <c r="C295" s="42">
        <v>0.27828999999999998</v>
      </c>
      <c r="D295" s="42">
        <v>0.24773999999999999</v>
      </c>
      <c r="E295" s="42">
        <v>0.29781999999999997</v>
      </c>
      <c r="F295" s="42">
        <v>0.28427000000000002</v>
      </c>
      <c r="G295" s="42">
        <v>0.26935999999999999</v>
      </c>
      <c r="H295" s="42">
        <v>0.2747</v>
      </c>
      <c r="I295" s="42">
        <v>0.27487</v>
      </c>
      <c r="J295" s="42">
        <v>0.26082</v>
      </c>
      <c r="L295" s="20">
        <v>693</v>
      </c>
      <c r="M295">
        <f t="shared" si="33"/>
        <v>1.1131599999999999</v>
      </c>
      <c r="N295">
        <f t="shared" si="34"/>
        <v>0.99095999999999995</v>
      </c>
      <c r="O295">
        <f t="shared" si="35"/>
        <v>1.1912799999999999</v>
      </c>
      <c r="P295">
        <f t="shared" si="36"/>
        <v>1.1370800000000001</v>
      </c>
      <c r="Q295">
        <f t="shared" si="37"/>
        <v>1.07744</v>
      </c>
      <c r="R295">
        <f t="shared" si="38"/>
        <v>1.0988</v>
      </c>
      <c r="S295">
        <f t="shared" si="39"/>
        <v>1.09948</v>
      </c>
      <c r="T295">
        <f t="shared" si="40"/>
        <v>1.04328</v>
      </c>
    </row>
    <row r="296" spans="2:20" x14ac:dyDescent="0.35">
      <c r="B296" s="42">
        <v>694</v>
      </c>
      <c r="C296" s="42">
        <v>0.27588000000000001</v>
      </c>
      <c r="D296" s="42">
        <v>0.24554000000000001</v>
      </c>
      <c r="E296" s="42">
        <v>0.29558000000000001</v>
      </c>
      <c r="F296" s="42">
        <v>0.28192</v>
      </c>
      <c r="G296" s="42">
        <v>0.26757999999999998</v>
      </c>
      <c r="H296" s="42">
        <v>0.27274999999999999</v>
      </c>
      <c r="I296" s="42">
        <v>0.27302999999999999</v>
      </c>
      <c r="J296" s="42">
        <v>0.25902999999999998</v>
      </c>
      <c r="L296" s="20">
        <v>694</v>
      </c>
      <c r="M296">
        <f t="shared" si="33"/>
        <v>1.1035200000000001</v>
      </c>
      <c r="N296">
        <f t="shared" si="34"/>
        <v>0.98216000000000003</v>
      </c>
      <c r="O296">
        <f t="shared" si="35"/>
        <v>1.18232</v>
      </c>
      <c r="P296">
        <f t="shared" si="36"/>
        <v>1.12768</v>
      </c>
      <c r="Q296">
        <f t="shared" si="37"/>
        <v>1.0703199999999999</v>
      </c>
      <c r="R296">
        <f t="shared" si="38"/>
        <v>1.091</v>
      </c>
      <c r="S296">
        <f t="shared" si="39"/>
        <v>1.09212</v>
      </c>
      <c r="T296">
        <f t="shared" si="40"/>
        <v>1.0361199999999999</v>
      </c>
    </row>
    <row r="297" spans="2:20" x14ac:dyDescent="0.35">
      <c r="B297" s="42">
        <v>695</v>
      </c>
      <c r="C297" s="42">
        <v>0.27367999999999998</v>
      </c>
      <c r="D297" s="42">
        <v>0.24353</v>
      </c>
      <c r="E297" s="42">
        <v>0.29349999999999998</v>
      </c>
      <c r="F297" s="42">
        <v>0.27973999999999999</v>
      </c>
      <c r="G297" s="42">
        <v>0.26595999999999997</v>
      </c>
      <c r="H297" s="42">
        <v>0.27098</v>
      </c>
      <c r="I297" s="42">
        <v>0.27133000000000002</v>
      </c>
      <c r="J297" s="42">
        <v>0.25740000000000002</v>
      </c>
      <c r="L297" s="20">
        <v>695</v>
      </c>
      <c r="M297">
        <f t="shared" si="33"/>
        <v>1.0947199999999999</v>
      </c>
      <c r="N297">
        <f t="shared" si="34"/>
        <v>0.97411999999999999</v>
      </c>
      <c r="O297">
        <f t="shared" si="35"/>
        <v>1.1739999999999999</v>
      </c>
      <c r="P297">
        <f t="shared" si="36"/>
        <v>1.11896</v>
      </c>
      <c r="Q297">
        <f t="shared" si="37"/>
        <v>1.0638399999999999</v>
      </c>
      <c r="R297">
        <f t="shared" si="38"/>
        <v>1.08392</v>
      </c>
      <c r="S297">
        <f t="shared" si="39"/>
        <v>1.0853200000000001</v>
      </c>
      <c r="T297">
        <f t="shared" si="40"/>
        <v>1.0296000000000001</v>
      </c>
    </row>
    <row r="298" spans="2:20" x14ac:dyDescent="0.35">
      <c r="B298" s="42">
        <v>696</v>
      </c>
      <c r="C298" s="42">
        <v>0.27150000000000002</v>
      </c>
      <c r="D298" s="42">
        <v>0.24159</v>
      </c>
      <c r="E298" s="42">
        <v>0.29143000000000002</v>
      </c>
      <c r="F298" s="42">
        <v>0.27756999999999998</v>
      </c>
      <c r="G298" s="42">
        <v>0.26433000000000001</v>
      </c>
      <c r="H298" s="42">
        <v>0.26919999999999999</v>
      </c>
      <c r="I298" s="42">
        <v>0.26971000000000001</v>
      </c>
      <c r="J298" s="42">
        <v>0.25572</v>
      </c>
      <c r="L298" s="20">
        <v>696</v>
      </c>
      <c r="M298">
        <f t="shared" si="33"/>
        <v>1.0860000000000001</v>
      </c>
      <c r="N298">
        <f t="shared" si="34"/>
        <v>0.96636</v>
      </c>
      <c r="O298">
        <f t="shared" si="35"/>
        <v>1.1657200000000001</v>
      </c>
      <c r="P298">
        <f t="shared" si="36"/>
        <v>1.1102799999999999</v>
      </c>
      <c r="Q298">
        <f t="shared" si="37"/>
        <v>1.05732</v>
      </c>
      <c r="R298">
        <f t="shared" si="38"/>
        <v>1.0768</v>
      </c>
      <c r="S298">
        <f t="shared" si="39"/>
        <v>1.07884</v>
      </c>
      <c r="T298">
        <f t="shared" si="40"/>
        <v>1.02288</v>
      </c>
    </row>
    <row r="299" spans="2:20" x14ac:dyDescent="0.35">
      <c r="B299" s="42">
        <v>697</v>
      </c>
      <c r="C299" s="42">
        <v>0.26940999999999998</v>
      </c>
      <c r="D299" s="42">
        <v>0.23973</v>
      </c>
      <c r="E299" s="42">
        <v>0.28950999999999999</v>
      </c>
      <c r="F299" s="42">
        <v>0.27550000000000002</v>
      </c>
      <c r="G299" s="42">
        <v>0.26277</v>
      </c>
      <c r="H299" s="42">
        <v>0.26746999999999999</v>
      </c>
      <c r="I299" s="42">
        <v>0.26813999999999999</v>
      </c>
      <c r="J299" s="42">
        <v>0.25419999999999998</v>
      </c>
      <c r="L299" s="20">
        <v>697</v>
      </c>
      <c r="M299">
        <f t="shared" si="33"/>
        <v>1.0776399999999999</v>
      </c>
      <c r="N299">
        <f t="shared" si="34"/>
        <v>0.95891999999999999</v>
      </c>
      <c r="O299">
        <f t="shared" si="35"/>
        <v>1.15804</v>
      </c>
      <c r="P299">
        <f t="shared" si="36"/>
        <v>1.1020000000000001</v>
      </c>
      <c r="Q299">
        <f t="shared" si="37"/>
        <v>1.05108</v>
      </c>
      <c r="R299">
        <f t="shared" si="38"/>
        <v>1.0698799999999999</v>
      </c>
      <c r="S299">
        <f t="shared" si="39"/>
        <v>1.07256</v>
      </c>
      <c r="T299">
        <f t="shared" si="40"/>
        <v>1.0167999999999999</v>
      </c>
    </row>
    <row r="300" spans="2:20" x14ac:dyDescent="0.35">
      <c r="B300" s="42">
        <v>698</v>
      </c>
      <c r="C300" s="42">
        <v>0.26751999999999998</v>
      </c>
      <c r="D300" s="42">
        <v>0.23796</v>
      </c>
      <c r="E300" s="42">
        <v>0.28769</v>
      </c>
      <c r="F300" s="42">
        <v>0.27367000000000002</v>
      </c>
      <c r="G300" s="42">
        <v>0.26144000000000001</v>
      </c>
      <c r="H300" s="42">
        <v>0.26597999999999999</v>
      </c>
      <c r="I300" s="42">
        <v>0.26672000000000001</v>
      </c>
      <c r="J300" s="42">
        <v>0.25281999999999999</v>
      </c>
      <c r="L300" s="20">
        <v>698</v>
      </c>
      <c r="M300">
        <f t="shared" si="33"/>
        <v>1.0700799999999999</v>
      </c>
      <c r="N300">
        <f t="shared" si="34"/>
        <v>0.95184000000000002</v>
      </c>
      <c r="O300">
        <f t="shared" si="35"/>
        <v>1.15076</v>
      </c>
      <c r="P300">
        <f t="shared" si="36"/>
        <v>1.0946800000000001</v>
      </c>
      <c r="Q300">
        <f t="shared" si="37"/>
        <v>1.04576</v>
      </c>
      <c r="R300">
        <f t="shared" si="38"/>
        <v>1.06392</v>
      </c>
      <c r="S300">
        <f t="shared" si="39"/>
        <v>1.0668800000000001</v>
      </c>
      <c r="T300">
        <f t="shared" si="40"/>
        <v>1.01128</v>
      </c>
    </row>
    <row r="301" spans="2:20" x14ac:dyDescent="0.35">
      <c r="B301" s="42">
        <v>699</v>
      </c>
      <c r="C301" s="42">
        <v>0.26558999999999999</v>
      </c>
      <c r="D301" s="42">
        <v>0.23622000000000001</v>
      </c>
      <c r="E301" s="42">
        <v>0.28594999999999998</v>
      </c>
      <c r="F301" s="42">
        <v>0.27182000000000001</v>
      </c>
      <c r="G301" s="42">
        <v>0.25999</v>
      </c>
      <c r="H301" s="42">
        <v>0.26447999999999999</v>
      </c>
      <c r="I301" s="42">
        <v>0.26529000000000003</v>
      </c>
      <c r="J301" s="42">
        <v>0.25141999999999998</v>
      </c>
      <c r="L301" s="20">
        <v>699</v>
      </c>
      <c r="M301">
        <f t="shared" si="33"/>
        <v>1.06236</v>
      </c>
      <c r="N301">
        <f t="shared" si="34"/>
        <v>0.94488000000000005</v>
      </c>
      <c r="O301">
        <f t="shared" si="35"/>
        <v>1.1437999999999999</v>
      </c>
      <c r="P301">
        <f t="shared" si="36"/>
        <v>1.08728</v>
      </c>
      <c r="Q301">
        <f t="shared" si="37"/>
        <v>1.03996</v>
      </c>
      <c r="R301">
        <f t="shared" si="38"/>
        <v>1.05792</v>
      </c>
      <c r="S301">
        <f t="shared" si="39"/>
        <v>1.0611600000000001</v>
      </c>
      <c r="T301">
        <f t="shared" si="40"/>
        <v>1.0056799999999999</v>
      </c>
    </row>
    <row r="302" spans="2:20" x14ac:dyDescent="0.35">
      <c r="B302" s="42">
        <v>700</v>
      </c>
      <c r="C302" s="42">
        <v>0.26375999999999999</v>
      </c>
      <c r="D302" s="42">
        <v>0.23458999999999999</v>
      </c>
      <c r="E302" s="42">
        <v>0.2843</v>
      </c>
      <c r="F302" s="42">
        <v>0.27006999999999998</v>
      </c>
      <c r="G302" s="42">
        <v>0.25868000000000002</v>
      </c>
      <c r="H302" s="42">
        <v>0.26300000000000001</v>
      </c>
      <c r="I302" s="42">
        <v>0.26393</v>
      </c>
      <c r="J302" s="42">
        <v>0.25011</v>
      </c>
      <c r="L302" s="20">
        <v>700</v>
      </c>
      <c r="M302">
        <f t="shared" si="33"/>
        <v>1.05504</v>
      </c>
      <c r="N302">
        <f t="shared" si="34"/>
        <v>0.93835999999999997</v>
      </c>
      <c r="O302">
        <f t="shared" si="35"/>
        <v>1.1372</v>
      </c>
      <c r="P302">
        <f t="shared" si="36"/>
        <v>1.0802799999999999</v>
      </c>
      <c r="Q302">
        <f t="shared" si="37"/>
        <v>1.0347200000000001</v>
      </c>
      <c r="R302">
        <f t="shared" si="38"/>
        <v>1.052</v>
      </c>
      <c r="S302">
        <f t="shared" si="39"/>
        <v>1.05572</v>
      </c>
      <c r="T302">
        <f t="shared" si="40"/>
        <v>1.00044</v>
      </c>
    </row>
    <row r="303" spans="2:20" x14ac:dyDescent="0.35">
      <c r="B303" s="42">
        <v>701</v>
      </c>
      <c r="C303" s="42">
        <v>0.26218000000000002</v>
      </c>
      <c r="D303" s="42">
        <v>0.23311000000000001</v>
      </c>
      <c r="E303" s="42">
        <v>0.28282000000000002</v>
      </c>
      <c r="F303" s="42">
        <v>0.26851999999999998</v>
      </c>
      <c r="G303" s="42">
        <v>0.25745000000000001</v>
      </c>
      <c r="H303" s="42">
        <v>0.26173000000000002</v>
      </c>
      <c r="I303" s="42">
        <v>0.26271</v>
      </c>
      <c r="J303" s="42">
        <v>0.24889</v>
      </c>
      <c r="L303" s="20">
        <v>701</v>
      </c>
      <c r="M303">
        <f t="shared" si="33"/>
        <v>1.0487200000000001</v>
      </c>
      <c r="N303">
        <f t="shared" si="34"/>
        <v>0.93244000000000005</v>
      </c>
      <c r="O303">
        <f t="shared" si="35"/>
        <v>1.1312800000000001</v>
      </c>
      <c r="P303">
        <f t="shared" si="36"/>
        <v>1.0740799999999999</v>
      </c>
      <c r="Q303">
        <f t="shared" si="37"/>
        <v>1.0298</v>
      </c>
      <c r="R303">
        <f t="shared" si="38"/>
        <v>1.0469200000000001</v>
      </c>
      <c r="S303">
        <f t="shared" si="39"/>
        <v>1.05084</v>
      </c>
      <c r="T303">
        <f t="shared" si="40"/>
        <v>0.99556</v>
      </c>
    </row>
    <row r="304" spans="2:20" x14ac:dyDescent="0.35">
      <c r="B304" s="42">
        <v>702</v>
      </c>
      <c r="C304" s="42">
        <v>0.26058999999999999</v>
      </c>
      <c r="D304" s="42">
        <v>0.23172000000000001</v>
      </c>
      <c r="E304" s="42">
        <v>0.28139999999999998</v>
      </c>
      <c r="F304" s="42">
        <v>0.26701000000000003</v>
      </c>
      <c r="G304" s="42">
        <v>0.25629000000000002</v>
      </c>
      <c r="H304" s="42">
        <v>0.26046999999999998</v>
      </c>
      <c r="I304" s="42">
        <v>0.26153999999999999</v>
      </c>
      <c r="J304" s="42">
        <v>0.24773000000000001</v>
      </c>
      <c r="L304" s="20">
        <v>702</v>
      </c>
      <c r="M304">
        <f t="shared" si="33"/>
        <v>1.04236</v>
      </c>
      <c r="N304">
        <f t="shared" si="34"/>
        <v>0.92688000000000004</v>
      </c>
      <c r="O304">
        <f t="shared" si="35"/>
        <v>1.1255999999999999</v>
      </c>
      <c r="P304">
        <f t="shared" si="36"/>
        <v>1.0680400000000001</v>
      </c>
      <c r="Q304">
        <f t="shared" si="37"/>
        <v>1.0251600000000001</v>
      </c>
      <c r="R304">
        <f t="shared" si="38"/>
        <v>1.0418799999999999</v>
      </c>
      <c r="S304">
        <f t="shared" si="39"/>
        <v>1.04616</v>
      </c>
      <c r="T304">
        <f t="shared" si="40"/>
        <v>0.99092000000000002</v>
      </c>
    </row>
    <row r="305" spans="2:20" x14ac:dyDescent="0.35">
      <c r="B305" s="42">
        <v>703</v>
      </c>
      <c r="C305" s="42">
        <v>0.25919999999999999</v>
      </c>
      <c r="D305" s="42">
        <v>0.23042000000000001</v>
      </c>
      <c r="E305" s="42">
        <v>0.28014</v>
      </c>
      <c r="F305" s="42">
        <v>0.26566000000000001</v>
      </c>
      <c r="G305" s="42">
        <v>0.25522</v>
      </c>
      <c r="H305" s="42">
        <v>0.25934000000000001</v>
      </c>
      <c r="I305" s="42">
        <v>0.26044</v>
      </c>
      <c r="J305" s="42">
        <v>0.2467</v>
      </c>
      <c r="L305" s="20">
        <v>703</v>
      </c>
      <c r="M305">
        <f t="shared" si="33"/>
        <v>1.0367999999999999</v>
      </c>
      <c r="N305">
        <f t="shared" si="34"/>
        <v>0.92168000000000005</v>
      </c>
      <c r="O305">
        <f t="shared" si="35"/>
        <v>1.12056</v>
      </c>
      <c r="P305">
        <f t="shared" si="36"/>
        <v>1.06264</v>
      </c>
      <c r="Q305">
        <f t="shared" si="37"/>
        <v>1.02088</v>
      </c>
      <c r="R305">
        <f t="shared" si="38"/>
        <v>1.0373600000000001</v>
      </c>
      <c r="S305">
        <f t="shared" si="39"/>
        <v>1.04176</v>
      </c>
      <c r="T305">
        <f t="shared" si="40"/>
        <v>0.98680000000000001</v>
      </c>
    </row>
    <row r="306" spans="2:20" x14ac:dyDescent="0.35">
      <c r="B306" s="42">
        <v>704</v>
      </c>
      <c r="C306" s="42">
        <v>0.25786999999999999</v>
      </c>
      <c r="D306" s="42">
        <v>0.22919</v>
      </c>
      <c r="E306" s="42">
        <v>0.27883999999999998</v>
      </c>
      <c r="F306" s="42">
        <v>0.26440000000000002</v>
      </c>
      <c r="G306" s="42">
        <v>0.25425999999999999</v>
      </c>
      <c r="H306" s="42">
        <v>0.25829000000000002</v>
      </c>
      <c r="I306" s="42">
        <v>0.25942999999999999</v>
      </c>
      <c r="J306" s="42">
        <v>0.2457</v>
      </c>
      <c r="L306" s="20">
        <v>704</v>
      </c>
      <c r="M306">
        <f t="shared" si="33"/>
        <v>1.03148</v>
      </c>
      <c r="N306">
        <f t="shared" si="34"/>
        <v>0.91676000000000002</v>
      </c>
      <c r="O306">
        <f t="shared" si="35"/>
        <v>1.1153599999999999</v>
      </c>
      <c r="P306">
        <f t="shared" si="36"/>
        <v>1.0576000000000001</v>
      </c>
      <c r="Q306">
        <f t="shared" si="37"/>
        <v>1.0170399999999999</v>
      </c>
      <c r="R306">
        <f t="shared" si="38"/>
        <v>1.0331600000000001</v>
      </c>
      <c r="S306">
        <f t="shared" si="39"/>
        <v>1.03772</v>
      </c>
      <c r="T306">
        <f t="shared" si="40"/>
        <v>0.98280000000000001</v>
      </c>
    </row>
    <row r="307" spans="2:20" x14ac:dyDescent="0.35">
      <c r="B307" s="42">
        <v>705</v>
      </c>
      <c r="C307" s="42">
        <v>0.25668000000000002</v>
      </c>
      <c r="D307" s="42">
        <v>0.22811999999999999</v>
      </c>
      <c r="E307" s="42">
        <v>0.27767999999999998</v>
      </c>
      <c r="F307" s="42">
        <v>0.26318000000000003</v>
      </c>
      <c r="G307" s="42">
        <v>0.25335999999999997</v>
      </c>
      <c r="H307" s="42">
        <v>0.25729000000000002</v>
      </c>
      <c r="I307" s="42">
        <v>0.25845000000000001</v>
      </c>
      <c r="J307" s="42">
        <v>0.24479999999999999</v>
      </c>
      <c r="L307" s="20">
        <v>705</v>
      </c>
      <c r="M307">
        <f t="shared" si="33"/>
        <v>1.0267200000000001</v>
      </c>
      <c r="N307">
        <f t="shared" si="34"/>
        <v>0.91247999999999996</v>
      </c>
      <c r="O307">
        <f t="shared" si="35"/>
        <v>1.1107199999999999</v>
      </c>
      <c r="P307">
        <f t="shared" si="36"/>
        <v>1.0527200000000001</v>
      </c>
      <c r="Q307">
        <f t="shared" si="37"/>
        <v>1.0134399999999999</v>
      </c>
      <c r="R307">
        <f t="shared" si="38"/>
        <v>1.0291600000000001</v>
      </c>
      <c r="S307">
        <f t="shared" si="39"/>
        <v>1.0338000000000001</v>
      </c>
      <c r="T307">
        <f t="shared" si="40"/>
        <v>0.97919999999999996</v>
      </c>
    </row>
    <row r="308" spans="2:20" x14ac:dyDescent="0.35">
      <c r="B308" s="42">
        <v>706</v>
      </c>
      <c r="C308" s="42">
        <v>0.25547999999999998</v>
      </c>
      <c r="D308" s="42">
        <v>0.22706999999999999</v>
      </c>
      <c r="E308" s="42">
        <v>0.27660000000000001</v>
      </c>
      <c r="F308" s="42">
        <v>0.26201999999999998</v>
      </c>
      <c r="G308" s="42">
        <v>0.25247000000000003</v>
      </c>
      <c r="H308" s="42">
        <v>0.25629999999999997</v>
      </c>
      <c r="I308" s="42">
        <v>0.25749</v>
      </c>
      <c r="J308" s="42">
        <v>0.24387</v>
      </c>
      <c r="L308" s="20">
        <v>706</v>
      </c>
      <c r="M308">
        <f t="shared" si="33"/>
        <v>1.0219199999999999</v>
      </c>
      <c r="N308">
        <f t="shared" si="34"/>
        <v>0.90827999999999998</v>
      </c>
      <c r="O308">
        <f t="shared" si="35"/>
        <v>1.1064000000000001</v>
      </c>
      <c r="P308">
        <f t="shared" si="36"/>
        <v>1.0480799999999999</v>
      </c>
      <c r="Q308">
        <f t="shared" si="37"/>
        <v>1.0098800000000001</v>
      </c>
      <c r="R308">
        <f t="shared" si="38"/>
        <v>1.0251999999999999</v>
      </c>
      <c r="S308">
        <f t="shared" si="39"/>
        <v>1.02996</v>
      </c>
      <c r="T308">
        <f t="shared" si="40"/>
        <v>0.97548000000000001</v>
      </c>
    </row>
    <row r="309" spans="2:20" x14ac:dyDescent="0.35">
      <c r="B309" s="42">
        <v>707</v>
      </c>
      <c r="C309" s="42">
        <v>0.25433</v>
      </c>
      <c r="D309" s="42">
        <v>0.22603999999999999</v>
      </c>
      <c r="E309" s="42">
        <v>0.27562999999999999</v>
      </c>
      <c r="F309" s="42">
        <v>0.26094000000000001</v>
      </c>
      <c r="G309" s="42">
        <v>0.25162000000000001</v>
      </c>
      <c r="H309" s="42">
        <v>0.25539000000000001</v>
      </c>
      <c r="I309" s="42">
        <v>0.25658999999999998</v>
      </c>
      <c r="J309" s="42">
        <v>0.24303</v>
      </c>
      <c r="L309" s="20">
        <v>707</v>
      </c>
      <c r="M309">
        <f t="shared" si="33"/>
        <v>1.01732</v>
      </c>
      <c r="N309">
        <f t="shared" si="34"/>
        <v>0.90415999999999996</v>
      </c>
      <c r="O309">
        <f t="shared" si="35"/>
        <v>1.1025199999999999</v>
      </c>
      <c r="P309">
        <f t="shared" si="36"/>
        <v>1.04376</v>
      </c>
      <c r="Q309">
        <f t="shared" si="37"/>
        <v>1.00648</v>
      </c>
      <c r="R309">
        <f t="shared" si="38"/>
        <v>1.02156</v>
      </c>
      <c r="S309">
        <f t="shared" si="39"/>
        <v>1.0263599999999999</v>
      </c>
      <c r="T309">
        <f t="shared" si="40"/>
        <v>0.97211999999999998</v>
      </c>
    </row>
    <row r="310" spans="2:20" x14ac:dyDescent="0.35">
      <c r="B310" s="42">
        <v>708</v>
      </c>
      <c r="C310" s="42">
        <v>0.25324999999999998</v>
      </c>
      <c r="D310" s="42">
        <v>0.22505</v>
      </c>
      <c r="E310" s="42">
        <v>0.27467000000000003</v>
      </c>
      <c r="F310" s="42">
        <v>0.25995000000000001</v>
      </c>
      <c r="G310" s="42">
        <v>0.25079000000000001</v>
      </c>
      <c r="H310" s="42">
        <v>0.2545</v>
      </c>
      <c r="I310" s="42">
        <v>0.25577</v>
      </c>
      <c r="J310" s="42">
        <v>0.24221999999999999</v>
      </c>
      <c r="L310" s="20">
        <v>708</v>
      </c>
      <c r="M310">
        <f t="shared" si="33"/>
        <v>1.0129999999999999</v>
      </c>
      <c r="N310">
        <f t="shared" si="34"/>
        <v>0.9002</v>
      </c>
      <c r="O310">
        <f t="shared" si="35"/>
        <v>1.0986800000000001</v>
      </c>
      <c r="P310">
        <f t="shared" si="36"/>
        <v>1.0398000000000001</v>
      </c>
      <c r="Q310">
        <f t="shared" si="37"/>
        <v>1.0031600000000001</v>
      </c>
      <c r="R310">
        <f t="shared" si="38"/>
        <v>1.018</v>
      </c>
      <c r="S310">
        <f t="shared" si="39"/>
        <v>1.02308</v>
      </c>
      <c r="T310">
        <f t="shared" si="40"/>
        <v>0.96887999999999996</v>
      </c>
    </row>
    <row r="311" spans="2:20" x14ac:dyDescent="0.35">
      <c r="B311" s="42">
        <v>709</v>
      </c>
      <c r="C311" s="42">
        <v>0.25223000000000001</v>
      </c>
      <c r="D311" s="42">
        <v>0.22411</v>
      </c>
      <c r="E311" s="42">
        <v>0.27372999999999997</v>
      </c>
      <c r="F311" s="42">
        <v>0.25896999999999998</v>
      </c>
      <c r="G311" s="42">
        <v>0.24997</v>
      </c>
      <c r="H311" s="42">
        <v>0.25363000000000002</v>
      </c>
      <c r="I311" s="42">
        <v>0.25496000000000002</v>
      </c>
      <c r="J311" s="42">
        <v>0.24138999999999999</v>
      </c>
      <c r="L311" s="20">
        <v>709</v>
      </c>
      <c r="M311">
        <f t="shared" si="33"/>
        <v>1.00892</v>
      </c>
      <c r="N311">
        <f t="shared" si="34"/>
        <v>0.89644000000000001</v>
      </c>
      <c r="O311">
        <f t="shared" si="35"/>
        <v>1.0949199999999999</v>
      </c>
      <c r="P311">
        <f t="shared" si="36"/>
        <v>1.0358799999999999</v>
      </c>
      <c r="Q311">
        <f t="shared" si="37"/>
        <v>0.99987999999999999</v>
      </c>
      <c r="R311">
        <f t="shared" si="38"/>
        <v>1.0145200000000001</v>
      </c>
      <c r="S311">
        <f t="shared" si="39"/>
        <v>1.0198400000000001</v>
      </c>
      <c r="T311">
        <f t="shared" si="40"/>
        <v>0.96555999999999997</v>
      </c>
    </row>
    <row r="312" spans="2:20" x14ac:dyDescent="0.35">
      <c r="B312" s="42">
        <v>710</v>
      </c>
      <c r="C312" s="42">
        <v>0.25134000000000001</v>
      </c>
      <c r="D312" s="42">
        <v>0.22328000000000001</v>
      </c>
      <c r="E312" s="42">
        <v>0.27285999999999999</v>
      </c>
      <c r="F312" s="42">
        <v>0.25807000000000002</v>
      </c>
      <c r="G312" s="42">
        <v>0.24928</v>
      </c>
      <c r="H312" s="42">
        <v>0.25287999999999999</v>
      </c>
      <c r="I312" s="42">
        <v>0.25424000000000002</v>
      </c>
      <c r="J312" s="42">
        <v>0.24068000000000001</v>
      </c>
      <c r="L312" s="20">
        <v>710</v>
      </c>
      <c r="M312">
        <f t="shared" si="33"/>
        <v>1.00536</v>
      </c>
      <c r="N312">
        <f t="shared" si="34"/>
        <v>0.89312000000000002</v>
      </c>
      <c r="O312">
        <f t="shared" si="35"/>
        <v>1.09144</v>
      </c>
      <c r="P312">
        <f t="shared" si="36"/>
        <v>1.0322800000000001</v>
      </c>
      <c r="Q312">
        <f t="shared" si="37"/>
        <v>0.99712000000000001</v>
      </c>
      <c r="R312">
        <f t="shared" si="38"/>
        <v>1.01152</v>
      </c>
      <c r="S312">
        <f t="shared" si="39"/>
        <v>1.0169600000000001</v>
      </c>
      <c r="T312">
        <f t="shared" si="40"/>
        <v>0.96272000000000002</v>
      </c>
    </row>
    <row r="313" spans="2:20" x14ac:dyDescent="0.35">
      <c r="B313" s="42">
        <v>711</v>
      </c>
      <c r="C313" s="42">
        <v>0.25047000000000003</v>
      </c>
      <c r="D313" s="42">
        <v>0.22252</v>
      </c>
      <c r="E313" s="42">
        <v>0.27212999999999998</v>
      </c>
      <c r="F313" s="42">
        <v>0.25730999999999998</v>
      </c>
      <c r="G313" s="42">
        <v>0.24862999999999999</v>
      </c>
      <c r="H313" s="42">
        <v>0.25217000000000001</v>
      </c>
      <c r="I313" s="42">
        <v>0.25356000000000001</v>
      </c>
      <c r="J313" s="42">
        <v>0.24005000000000001</v>
      </c>
      <c r="L313" s="20">
        <v>711</v>
      </c>
      <c r="M313">
        <f t="shared" si="33"/>
        <v>1.0018800000000001</v>
      </c>
      <c r="N313">
        <f t="shared" si="34"/>
        <v>0.89007999999999998</v>
      </c>
      <c r="O313">
        <f t="shared" si="35"/>
        <v>1.0885199999999999</v>
      </c>
      <c r="P313">
        <f t="shared" si="36"/>
        <v>1.0292399999999999</v>
      </c>
      <c r="Q313">
        <f t="shared" si="37"/>
        <v>0.99451999999999996</v>
      </c>
      <c r="R313">
        <f t="shared" si="38"/>
        <v>1.00868</v>
      </c>
      <c r="S313">
        <f t="shared" si="39"/>
        <v>1.01424</v>
      </c>
      <c r="T313">
        <f t="shared" si="40"/>
        <v>0.96020000000000005</v>
      </c>
    </row>
    <row r="314" spans="2:20" x14ac:dyDescent="0.35">
      <c r="B314" s="42">
        <v>712</v>
      </c>
      <c r="C314" s="42">
        <v>0.24959999999999999</v>
      </c>
      <c r="D314" s="42">
        <v>0.22173999999999999</v>
      </c>
      <c r="E314" s="42">
        <v>0.27134999999999998</v>
      </c>
      <c r="F314" s="42">
        <v>0.25645000000000001</v>
      </c>
      <c r="G314" s="42">
        <v>0.24787999999999999</v>
      </c>
      <c r="H314" s="42">
        <v>0.25140000000000001</v>
      </c>
      <c r="I314" s="42">
        <v>0.25285000000000002</v>
      </c>
      <c r="J314" s="42">
        <v>0.23938000000000001</v>
      </c>
      <c r="L314" s="20">
        <v>712</v>
      </c>
      <c r="M314">
        <f t="shared" si="33"/>
        <v>0.99839999999999995</v>
      </c>
      <c r="N314">
        <f t="shared" si="34"/>
        <v>0.88695999999999997</v>
      </c>
      <c r="O314">
        <f t="shared" si="35"/>
        <v>1.0853999999999999</v>
      </c>
      <c r="P314">
        <f t="shared" si="36"/>
        <v>1.0258</v>
      </c>
      <c r="Q314">
        <f t="shared" si="37"/>
        <v>0.99151999999999996</v>
      </c>
      <c r="R314">
        <f t="shared" si="38"/>
        <v>1.0056</v>
      </c>
      <c r="S314">
        <f t="shared" si="39"/>
        <v>1.0114000000000001</v>
      </c>
      <c r="T314">
        <f t="shared" si="40"/>
        <v>0.95752000000000004</v>
      </c>
    </row>
    <row r="315" spans="2:20" x14ac:dyDescent="0.35">
      <c r="B315" s="42">
        <v>713</v>
      </c>
      <c r="C315" s="42">
        <v>0.24875</v>
      </c>
      <c r="D315" s="42">
        <v>0.22092999999999999</v>
      </c>
      <c r="E315" s="42">
        <v>0.27061000000000002</v>
      </c>
      <c r="F315" s="42">
        <v>0.25564999999999999</v>
      </c>
      <c r="G315" s="42">
        <v>0.24729999999999999</v>
      </c>
      <c r="H315" s="42">
        <v>0.25069000000000002</v>
      </c>
      <c r="I315" s="42">
        <v>0.25214999999999999</v>
      </c>
      <c r="J315" s="42">
        <v>0.23871000000000001</v>
      </c>
      <c r="L315" s="20">
        <v>713</v>
      </c>
      <c r="M315">
        <f t="shared" si="33"/>
        <v>0.995</v>
      </c>
      <c r="N315">
        <f t="shared" si="34"/>
        <v>0.88371999999999995</v>
      </c>
      <c r="O315">
        <f t="shared" si="35"/>
        <v>1.0824400000000001</v>
      </c>
      <c r="P315">
        <f t="shared" si="36"/>
        <v>1.0226</v>
      </c>
      <c r="Q315">
        <f t="shared" si="37"/>
        <v>0.98919999999999997</v>
      </c>
      <c r="R315">
        <f t="shared" si="38"/>
        <v>1.0027600000000001</v>
      </c>
      <c r="S315">
        <f t="shared" si="39"/>
        <v>1.0085999999999999</v>
      </c>
      <c r="T315">
        <f t="shared" si="40"/>
        <v>0.95484000000000002</v>
      </c>
    </row>
    <row r="316" spans="2:20" x14ac:dyDescent="0.35">
      <c r="B316" s="42">
        <v>714</v>
      </c>
      <c r="C316" s="42">
        <v>0.24803</v>
      </c>
      <c r="D316" s="42">
        <v>0.22025</v>
      </c>
      <c r="E316" s="42">
        <v>0.26995999999999998</v>
      </c>
      <c r="F316" s="42">
        <v>0.25491000000000003</v>
      </c>
      <c r="G316" s="42">
        <v>0.24671999999999999</v>
      </c>
      <c r="H316" s="42">
        <v>0.25004999999999999</v>
      </c>
      <c r="I316" s="42">
        <v>0.25156000000000001</v>
      </c>
      <c r="J316" s="42">
        <v>0.23810000000000001</v>
      </c>
      <c r="L316" s="20">
        <v>714</v>
      </c>
      <c r="M316">
        <f t="shared" si="33"/>
        <v>0.99212</v>
      </c>
      <c r="N316">
        <f t="shared" si="34"/>
        <v>0.88100000000000001</v>
      </c>
      <c r="O316">
        <f t="shared" si="35"/>
        <v>1.0798399999999999</v>
      </c>
      <c r="P316">
        <f t="shared" si="36"/>
        <v>1.0196400000000001</v>
      </c>
      <c r="Q316">
        <f t="shared" si="37"/>
        <v>0.98687999999999998</v>
      </c>
      <c r="R316">
        <f t="shared" si="38"/>
        <v>1.0002</v>
      </c>
      <c r="S316">
        <f t="shared" si="39"/>
        <v>1.00624</v>
      </c>
      <c r="T316">
        <f t="shared" si="40"/>
        <v>0.95240000000000002</v>
      </c>
    </row>
    <row r="317" spans="2:20" x14ac:dyDescent="0.35">
      <c r="B317" s="42">
        <v>715</v>
      </c>
      <c r="C317" s="42">
        <v>0.24737999999999999</v>
      </c>
      <c r="D317" s="42">
        <v>0.21965000000000001</v>
      </c>
      <c r="E317" s="42">
        <v>0.26932</v>
      </c>
      <c r="F317" s="42">
        <v>0.25424000000000002</v>
      </c>
      <c r="G317" s="42">
        <v>0.24615000000000001</v>
      </c>
      <c r="H317" s="42">
        <v>0.24944</v>
      </c>
      <c r="I317" s="42">
        <v>0.25097999999999998</v>
      </c>
      <c r="J317" s="42">
        <v>0.23749999999999999</v>
      </c>
      <c r="L317" s="20">
        <v>715</v>
      </c>
      <c r="M317">
        <f t="shared" si="33"/>
        <v>0.98951999999999996</v>
      </c>
      <c r="N317">
        <f t="shared" si="34"/>
        <v>0.87860000000000005</v>
      </c>
      <c r="O317">
        <f t="shared" si="35"/>
        <v>1.07728</v>
      </c>
      <c r="P317">
        <f t="shared" si="36"/>
        <v>1.0169600000000001</v>
      </c>
      <c r="Q317">
        <f t="shared" si="37"/>
        <v>0.98460000000000003</v>
      </c>
      <c r="R317">
        <f t="shared" si="38"/>
        <v>0.99775999999999998</v>
      </c>
      <c r="S317">
        <f t="shared" si="39"/>
        <v>1.0039199999999999</v>
      </c>
      <c r="T317">
        <f t="shared" si="40"/>
        <v>0.95</v>
      </c>
    </row>
    <row r="318" spans="2:20" x14ac:dyDescent="0.35">
      <c r="B318" s="42">
        <v>716</v>
      </c>
      <c r="C318" s="42">
        <v>0.24665999999999999</v>
      </c>
      <c r="D318" s="42">
        <v>0.21898999999999999</v>
      </c>
      <c r="E318" s="42">
        <v>0.26859</v>
      </c>
      <c r="F318" s="42">
        <v>0.25351000000000001</v>
      </c>
      <c r="G318" s="42">
        <v>0.24559</v>
      </c>
      <c r="H318" s="42">
        <v>0.24883</v>
      </c>
      <c r="I318" s="42">
        <v>0.25040000000000001</v>
      </c>
      <c r="J318" s="42">
        <v>0.23694999999999999</v>
      </c>
      <c r="L318" s="20">
        <v>716</v>
      </c>
      <c r="M318">
        <f t="shared" si="33"/>
        <v>0.98663999999999996</v>
      </c>
      <c r="N318">
        <f t="shared" si="34"/>
        <v>0.87595999999999996</v>
      </c>
      <c r="O318">
        <f t="shared" si="35"/>
        <v>1.07436</v>
      </c>
      <c r="P318">
        <f t="shared" si="36"/>
        <v>1.0140400000000001</v>
      </c>
      <c r="Q318">
        <f t="shared" si="37"/>
        <v>0.98236000000000001</v>
      </c>
      <c r="R318">
        <f t="shared" si="38"/>
        <v>0.99531999999999998</v>
      </c>
      <c r="S318">
        <f t="shared" si="39"/>
        <v>1.0016</v>
      </c>
      <c r="T318">
        <f t="shared" si="40"/>
        <v>0.94779999999999998</v>
      </c>
    </row>
    <row r="319" spans="2:20" x14ac:dyDescent="0.35">
      <c r="B319" s="42">
        <v>717</v>
      </c>
      <c r="C319" s="42">
        <v>0.24601999999999999</v>
      </c>
      <c r="D319" s="42">
        <v>0.21840000000000001</v>
      </c>
      <c r="E319" s="42">
        <v>0.26804</v>
      </c>
      <c r="F319" s="42">
        <v>0.25297999999999998</v>
      </c>
      <c r="G319" s="42">
        <v>0.24509</v>
      </c>
      <c r="H319" s="42">
        <v>0.24826000000000001</v>
      </c>
      <c r="I319" s="42">
        <v>0.24987999999999999</v>
      </c>
      <c r="J319" s="42">
        <v>0.23649999999999999</v>
      </c>
      <c r="L319" s="20">
        <v>717</v>
      </c>
      <c r="M319">
        <f t="shared" si="33"/>
        <v>0.98407999999999995</v>
      </c>
      <c r="N319">
        <f t="shared" si="34"/>
        <v>0.87360000000000004</v>
      </c>
      <c r="O319">
        <f t="shared" si="35"/>
        <v>1.07216</v>
      </c>
      <c r="P319">
        <f t="shared" si="36"/>
        <v>1.0119199999999999</v>
      </c>
      <c r="Q319">
        <f t="shared" si="37"/>
        <v>0.98036000000000001</v>
      </c>
      <c r="R319">
        <f t="shared" si="38"/>
        <v>0.99304000000000003</v>
      </c>
      <c r="S319">
        <f t="shared" si="39"/>
        <v>0.99951999999999996</v>
      </c>
      <c r="T319">
        <f t="shared" si="40"/>
        <v>0.94599999999999995</v>
      </c>
    </row>
    <row r="320" spans="2:20" x14ac:dyDescent="0.35">
      <c r="B320" s="42">
        <v>718</v>
      </c>
      <c r="C320" s="42">
        <v>0.24535999999999999</v>
      </c>
      <c r="D320" s="42">
        <v>0.21779999999999999</v>
      </c>
      <c r="E320" s="42">
        <v>0.26743</v>
      </c>
      <c r="F320" s="42">
        <v>0.25229000000000001</v>
      </c>
      <c r="G320" s="42">
        <v>0.24454000000000001</v>
      </c>
      <c r="H320" s="42">
        <v>0.24767</v>
      </c>
      <c r="I320" s="42">
        <v>0.24925</v>
      </c>
      <c r="J320" s="42">
        <v>0.23593</v>
      </c>
      <c r="L320" s="20">
        <v>718</v>
      </c>
      <c r="M320">
        <f t="shared" si="33"/>
        <v>0.98143999999999998</v>
      </c>
      <c r="N320">
        <f t="shared" si="34"/>
        <v>0.87119999999999997</v>
      </c>
      <c r="O320">
        <f t="shared" si="35"/>
        <v>1.06972</v>
      </c>
      <c r="P320">
        <f t="shared" si="36"/>
        <v>1.0091600000000001</v>
      </c>
      <c r="Q320">
        <f t="shared" si="37"/>
        <v>0.97816000000000003</v>
      </c>
      <c r="R320">
        <f t="shared" si="38"/>
        <v>0.99068000000000001</v>
      </c>
      <c r="S320">
        <f t="shared" si="39"/>
        <v>0.997</v>
      </c>
      <c r="T320">
        <f t="shared" si="40"/>
        <v>0.94372</v>
      </c>
    </row>
    <row r="321" spans="2:20" x14ac:dyDescent="0.35">
      <c r="B321" s="42">
        <v>719</v>
      </c>
      <c r="C321" s="42">
        <v>0.24476999999999999</v>
      </c>
      <c r="D321" s="42">
        <v>0.21726999999999999</v>
      </c>
      <c r="E321" s="42">
        <v>0.26688000000000001</v>
      </c>
      <c r="F321" s="42">
        <v>0.25168000000000001</v>
      </c>
      <c r="G321" s="42">
        <v>0.24406</v>
      </c>
      <c r="H321" s="42">
        <v>0.24712999999999999</v>
      </c>
      <c r="I321" s="42">
        <v>0.24876000000000001</v>
      </c>
      <c r="J321" s="42">
        <v>0.23541000000000001</v>
      </c>
      <c r="L321" s="20">
        <v>719</v>
      </c>
      <c r="M321">
        <f t="shared" si="33"/>
        <v>0.97907999999999995</v>
      </c>
      <c r="N321">
        <f t="shared" si="34"/>
        <v>0.86907999999999996</v>
      </c>
      <c r="O321">
        <f t="shared" si="35"/>
        <v>1.06752</v>
      </c>
      <c r="P321">
        <f t="shared" si="36"/>
        <v>1.0067200000000001</v>
      </c>
      <c r="Q321">
        <f t="shared" si="37"/>
        <v>0.97624</v>
      </c>
      <c r="R321">
        <f t="shared" si="38"/>
        <v>0.98851999999999995</v>
      </c>
      <c r="S321">
        <f t="shared" si="39"/>
        <v>0.99504000000000004</v>
      </c>
      <c r="T321">
        <f t="shared" si="40"/>
        <v>0.94164000000000003</v>
      </c>
    </row>
    <row r="322" spans="2:20" x14ac:dyDescent="0.35">
      <c r="B322" s="42">
        <v>720</v>
      </c>
      <c r="C322" s="42">
        <v>0.24406</v>
      </c>
      <c r="D322" s="42">
        <v>0.21664</v>
      </c>
      <c r="E322" s="42">
        <v>0.26623999999999998</v>
      </c>
      <c r="F322" s="42">
        <v>0.25098999999999999</v>
      </c>
      <c r="G322" s="42">
        <v>0.24351999999999999</v>
      </c>
      <c r="H322" s="42">
        <v>0.24651000000000001</v>
      </c>
      <c r="I322" s="42">
        <v>0.24818000000000001</v>
      </c>
      <c r="J322" s="42">
        <v>0.23477000000000001</v>
      </c>
      <c r="L322" s="20">
        <v>720</v>
      </c>
      <c r="M322">
        <f t="shared" si="33"/>
        <v>0.97624</v>
      </c>
      <c r="N322">
        <f t="shared" si="34"/>
        <v>0.86656</v>
      </c>
      <c r="O322">
        <f t="shared" si="35"/>
        <v>1.0649599999999999</v>
      </c>
      <c r="P322">
        <f t="shared" si="36"/>
        <v>1.00396</v>
      </c>
      <c r="Q322">
        <f t="shared" si="37"/>
        <v>0.97407999999999995</v>
      </c>
      <c r="R322">
        <f t="shared" si="38"/>
        <v>0.98604000000000003</v>
      </c>
      <c r="S322">
        <f t="shared" si="39"/>
        <v>0.99272000000000005</v>
      </c>
      <c r="T322">
        <f t="shared" si="40"/>
        <v>0.93908000000000003</v>
      </c>
    </row>
    <row r="323" spans="2:20" x14ac:dyDescent="0.35">
      <c r="B323" s="42">
        <v>721</v>
      </c>
      <c r="C323" s="42">
        <v>0.24354999999999999</v>
      </c>
      <c r="D323" s="42">
        <v>0.21609</v>
      </c>
      <c r="E323" s="42">
        <v>0.26572000000000001</v>
      </c>
      <c r="F323" s="42">
        <v>0.2505</v>
      </c>
      <c r="G323" s="42">
        <v>0.24306</v>
      </c>
      <c r="H323" s="42">
        <v>0.246</v>
      </c>
      <c r="I323" s="42">
        <v>0.24765000000000001</v>
      </c>
      <c r="J323" s="42">
        <v>0.23430000000000001</v>
      </c>
      <c r="L323" s="20">
        <v>721</v>
      </c>
      <c r="M323">
        <f t="shared" ref="M323:M386" si="41">C323*4</f>
        <v>0.97419999999999995</v>
      </c>
      <c r="N323">
        <f t="shared" ref="N323:N386" si="42">D323*4</f>
        <v>0.86436000000000002</v>
      </c>
      <c r="O323">
        <f t="shared" ref="O323:O386" si="43">E323*4</f>
        <v>1.06288</v>
      </c>
      <c r="P323">
        <f t="shared" ref="P323:P386" si="44">F323*4</f>
        <v>1.002</v>
      </c>
      <c r="Q323">
        <f t="shared" ref="Q323:Q386" si="45">G323*4</f>
        <v>0.97223999999999999</v>
      </c>
      <c r="R323">
        <f t="shared" ref="R323:R386" si="46">H323*4</f>
        <v>0.98399999999999999</v>
      </c>
      <c r="S323">
        <f t="shared" ref="S323:S386" si="47">I323*4</f>
        <v>0.99060000000000004</v>
      </c>
      <c r="T323">
        <f t="shared" ref="T323:T386" si="48">J323*4</f>
        <v>0.93720000000000003</v>
      </c>
    </row>
    <row r="324" spans="2:20" x14ac:dyDescent="0.35">
      <c r="B324" s="42">
        <v>722</v>
      </c>
      <c r="C324" s="42">
        <v>0.24306</v>
      </c>
      <c r="D324" s="42">
        <v>0.21565000000000001</v>
      </c>
      <c r="E324" s="42">
        <v>0.26526</v>
      </c>
      <c r="F324" s="42">
        <v>0.25</v>
      </c>
      <c r="G324" s="42">
        <v>0.24265999999999999</v>
      </c>
      <c r="H324" s="42">
        <v>0.24551000000000001</v>
      </c>
      <c r="I324" s="42">
        <v>0.24722</v>
      </c>
      <c r="J324" s="42">
        <v>0.23386000000000001</v>
      </c>
      <c r="L324" s="20">
        <v>722</v>
      </c>
      <c r="M324">
        <f t="shared" si="41"/>
        <v>0.97223999999999999</v>
      </c>
      <c r="N324">
        <f t="shared" si="42"/>
        <v>0.86260000000000003</v>
      </c>
      <c r="O324">
        <f t="shared" si="43"/>
        <v>1.06104</v>
      </c>
      <c r="P324">
        <f t="shared" si="44"/>
        <v>1</v>
      </c>
      <c r="Q324">
        <f t="shared" si="45"/>
        <v>0.97063999999999995</v>
      </c>
      <c r="R324">
        <f t="shared" si="46"/>
        <v>0.98204000000000002</v>
      </c>
      <c r="S324">
        <f t="shared" si="47"/>
        <v>0.98887999999999998</v>
      </c>
      <c r="T324">
        <f t="shared" si="48"/>
        <v>0.93544000000000005</v>
      </c>
    </row>
    <row r="325" spans="2:20" x14ac:dyDescent="0.35">
      <c r="B325" s="42">
        <v>723</v>
      </c>
      <c r="C325" s="42">
        <v>0.24251</v>
      </c>
      <c r="D325" s="42">
        <v>0.21515000000000001</v>
      </c>
      <c r="E325" s="42">
        <v>0.26468000000000003</v>
      </c>
      <c r="F325" s="42">
        <v>0.24942</v>
      </c>
      <c r="G325" s="42">
        <v>0.24213000000000001</v>
      </c>
      <c r="H325" s="42">
        <v>0.24495</v>
      </c>
      <c r="I325" s="42">
        <v>0.24667</v>
      </c>
      <c r="J325" s="42">
        <v>0.23335</v>
      </c>
      <c r="L325" s="20">
        <v>723</v>
      </c>
      <c r="M325">
        <f t="shared" si="41"/>
        <v>0.97004000000000001</v>
      </c>
      <c r="N325">
        <f t="shared" si="42"/>
        <v>0.86060000000000003</v>
      </c>
      <c r="O325">
        <f t="shared" si="43"/>
        <v>1.0587200000000001</v>
      </c>
      <c r="P325">
        <f t="shared" si="44"/>
        <v>0.99768000000000001</v>
      </c>
      <c r="Q325">
        <f t="shared" si="45"/>
        <v>0.96852000000000005</v>
      </c>
      <c r="R325">
        <f t="shared" si="46"/>
        <v>0.9798</v>
      </c>
      <c r="S325">
        <f t="shared" si="47"/>
        <v>0.98668</v>
      </c>
      <c r="T325">
        <f t="shared" si="48"/>
        <v>0.93340000000000001</v>
      </c>
    </row>
    <row r="326" spans="2:20" x14ac:dyDescent="0.35">
      <c r="B326" s="42">
        <v>724</v>
      </c>
      <c r="C326" s="42">
        <v>0.24199000000000001</v>
      </c>
      <c r="D326" s="42">
        <v>0.21465999999999999</v>
      </c>
      <c r="E326" s="42">
        <v>0.26422000000000001</v>
      </c>
      <c r="F326" s="42">
        <v>0.24892</v>
      </c>
      <c r="G326" s="42">
        <v>0.24173</v>
      </c>
      <c r="H326" s="42">
        <v>0.24457000000000001</v>
      </c>
      <c r="I326" s="42">
        <v>0.24626000000000001</v>
      </c>
      <c r="J326" s="42">
        <v>0.23291000000000001</v>
      </c>
      <c r="L326" s="20">
        <v>724</v>
      </c>
      <c r="M326">
        <f t="shared" si="41"/>
        <v>0.96796000000000004</v>
      </c>
      <c r="N326">
        <f t="shared" si="42"/>
        <v>0.85863999999999996</v>
      </c>
      <c r="O326">
        <f t="shared" si="43"/>
        <v>1.05688</v>
      </c>
      <c r="P326">
        <f t="shared" si="44"/>
        <v>0.99568000000000001</v>
      </c>
      <c r="Q326">
        <f t="shared" si="45"/>
        <v>0.96692</v>
      </c>
      <c r="R326">
        <f t="shared" si="46"/>
        <v>0.97828000000000004</v>
      </c>
      <c r="S326">
        <f t="shared" si="47"/>
        <v>0.98504000000000003</v>
      </c>
      <c r="T326">
        <f t="shared" si="48"/>
        <v>0.93164000000000002</v>
      </c>
    </row>
    <row r="327" spans="2:20" x14ac:dyDescent="0.35">
      <c r="B327" s="42">
        <v>725</v>
      </c>
      <c r="C327" s="42">
        <v>0.24142</v>
      </c>
      <c r="D327" s="42">
        <v>0.21417</v>
      </c>
      <c r="E327" s="42">
        <v>0.26369999999999999</v>
      </c>
      <c r="F327" s="42">
        <v>0.24843000000000001</v>
      </c>
      <c r="G327" s="42">
        <v>0.24126</v>
      </c>
      <c r="H327" s="42">
        <v>0.24403</v>
      </c>
      <c r="I327" s="42">
        <v>0.24576999999999999</v>
      </c>
      <c r="J327" s="42">
        <v>0.23244000000000001</v>
      </c>
      <c r="L327" s="20">
        <v>725</v>
      </c>
      <c r="M327">
        <f t="shared" si="41"/>
        <v>0.96567999999999998</v>
      </c>
      <c r="N327">
        <f t="shared" si="42"/>
        <v>0.85668</v>
      </c>
      <c r="O327">
        <f t="shared" si="43"/>
        <v>1.0548</v>
      </c>
      <c r="P327">
        <f t="shared" si="44"/>
        <v>0.99372000000000005</v>
      </c>
      <c r="Q327">
        <f t="shared" si="45"/>
        <v>0.96504000000000001</v>
      </c>
      <c r="R327">
        <f t="shared" si="46"/>
        <v>0.97611999999999999</v>
      </c>
      <c r="S327">
        <f t="shared" si="47"/>
        <v>0.98307999999999995</v>
      </c>
      <c r="T327">
        <f t="shared" si="48"/>
        <v>0.92976000000000003</v>
      </c>
    </row>
    <row r="328" spans="2:20" x14ac:dyDescent="0.35">
      <c r="B328" s="42">
        <v>726</v>
      </c>
      <c r="C328" s="42">
        <v>0.24085999999999999</v>
      </c>
      <c r="D328" s="42">
        <v>0.21362</v>
      </c>
      <c r="E328" s="42">
        <v>0.26323000000000002</v>
      </c>
      <c r="F328" s="42">
        <v>0.24786</v>
      </c>
      <c r="G328" s="42">
        <v>0.24084</v>
      </c>
      <c r="H328" s="42">
        <v>0.24349999999999999</v>
      </c>
      <c r="I328" s="42">
        <v>0.24525</v>
      </c>
      <c r="J328" s="42">
        <v>0.23191999999999999</v>
      </c>
      <c r="L328" s="20">
        <v>726</v>
      </c>
      <c r="M328">
        <f t="shared" si="41"/>
        <v>0.96343999999999996</v>
      </c>
      <c r="N328">
        <f t="shared" si="42"/>
        <v>0.85448000000000002</v>
      </c>
      <c r="O328">
        <f t="shared" si="43"/>
        <v>1.0529200000000001</v>
      </c>
      <c r="P328">
        <f t="shared" si="44"/>
        <v>0.99143999999999999</v>
      </c>
      <c r="Q328">
        <f t="shared" si="45"/>
        <v>0.96335999999999999</v>
      </c>
      <c r="R328">
        <f t="shared" si="46"/>
        <v>0.97399999999999998</v>
      </c>
      <c r="S328">
        <f t="shared" si="47"/>
        <v>0.98099999999999998</v>
      </c>
      <c r="T328">
        <f t="shared" si="48"/>
        <v>0.92767999999999995</v>
      </c>
    </row>
    <row r="329" spans="2:20" x14ac:dyDescent="0.35">
      <c r="B329" s="42">
        <v>727</v>
      </c>
      <c r="C329" s="42">
        <v>0.24043</v>
      </c>
      <c r="D329" s="42">
        <v>0.21324000000000001</v>
      </c>
      <c r="E329" s="42">
        <v>0.26282</v>
      </c>
      <c r="F329" s="42">
        <v>0.24740999999999999</v>
      </c>
      <c r="G329" s="42">
        <v>0.2404</v>
      </c>
      <c r="H329" s="42">
        <v>0.24309</v>
      </c>
      <c r="I329" s="42">
        <v>0.24484</v>
      </c>
      <c r="J329" s="42">
        <v>0.23158000000000001</v>
      </c>
      <c r="L329" s="20">
        <v>727</v>
      </c>
      <c r="M329">
        <f t="shared" si="41"/>
        <v>0.96172000000000002</v>
      </c>
      <c r="N329">
        <f t="shared" si="42"/>
        <v>0.85296000000000005</v>
      </c>
      <c r="O329">
        <f t="shared" si="43"/>
        <v>1.05128</v>
      </c>
      <c r="P329">
        <f t="shared" si="44"/>
        <v>0.98963999999999996</v>
      </c>
      <c r="Q329">
        <f t="shared" si="45"/>
        <v>0.96160000000000001</v>
      </c>
      <c r="R329">
        <f t="shared" si="46"/>
        <v>0.97236</v>
      </c>
      <c r="S329">
        <f t="shared" si="47"/>
        <v>0.97936000000000001</v>
      </c>
      <c r="T329">
        <f t="shared" si="48"/>
        <v>0.92632000000000003</v>
      </c>
    </row>
    <row r="330" spans="2:20" x14ac:dyDescent="0.35">
      <c r="B330" s="42">
        <v>728</v>
      </c>
      <c r="C330" s="42">
        <v>0.23993999999999999</v>
      </c>
      <c r="D330" s="42">
        <v>0.21281</v>
      </c>
      <c r="E330" s="42">
        <v>0.26239000000000001</v>
      </c>
      <c r="F330" s="42">
        <v>0.24695</v>
      </c>
      <c r="G330" s="42">
        <v>0.24002000000000001</v>
      </c>
      <c r="H330" s="42">
        <v>0.24268000000000001</v>
      </c>
      <c r="I330" s="42">
        <v>0.24442</v>
      </c>
      <c r="J330" s="42">
        <v>0.23114000000000001</v>
      </c>
      <c r="L330" s="20">
        <v>728</v>
      </c>
      <c r="M330">
        <f t="shared" si="41"/>
        <v>0.95975999999999995</v>
      </c>
      <c r="N330">
        <f t="shared" si="42"/>
        <v>0.85124</v>
      </c>
      <c r="O330">
        <f t="shared" si="43"/>
        <v>1.04956</v>
      </c>
      <c r="P330">
        <f t="shared" si="44"/>
        <v>0.98780000000000001</v>
      </c>
      <c r="Q330">
        <f t="shared" si="45"/>
        <v>0.96008000000000004</v>
      </c>
      <c r="R330">
        <f t="shared" si="46"/>
        <v>0.97072000000000003</v>
      </c>
      <c r="S330">
        <f t="shared" si="47"/>
        <v>0.97767999999999999</v>
      </c>
      <c r="T330">
        <f t="shared" si="48"/>
        <v>0.92456000000000005</v>
      </c>
    </row>
    <row r="331" spans="2:20" x14ac:dyDescent="0.35">
      <c r="B331" s="42">
        <v>729</v>
      </c>
      <c r="C331" s="42">
        <v>0.23941000000000001</v>
      </c>
      <c r="D331" s="42">
        <v>0.21234</v>
      </c>
      <c r="E331" s="42">
        <v>0.26190000000000002</v>
      </c>
      <c r="F331" s="42">
        <v>0.24643000000000001</v>
      </c>
      <c r="G331" s="42">
        <v>0.23955000000000001</v>
      </c>
      <c r="H331" s="42">
        <v>0.24213000000000001</v>
      </c>
      <c r="I331" s="42">
        <v>0.24393999999999999</v>
      </c>
      <c r="J331" s="42">
        <v>0.23061000000000001</v>
      </c>
      <c r="L331" s="20">
        <v>729</v>
      </c>
      <c r="M331">
        <f t="shared" si="41"/>
        <v>0.95764000000000005</v>
      </c>
      <c r="N331">
        <f t="shared" si="42"/>
        <v>0.84936</v>
      </c>
      <c r="O331">
        <f t="shared" si="43"/>
        <v>1.0476000000000001</v>
      </c>
      <c r="P331">
        <f t="shared" si="44"/>
        <v>0.98572000000000004</v>
      </c>
      <c r="Q331">
        <f t="shared" si="45"/>
        <v>0.95820000000000005</v>
      </c>
      <c r="R331">
        <f t="shared" si="46"/>
        <v>0.96852000000000005</v>
      </c>
      <c r="S331">
        <f t="shared" si="47"/>
        <v>0.97575999999999996</v>
      </c>
      <c r="T331">
        <f t="shared" si="48"/>
        <v>0.92244000000000004</v>
      </c>
    </row>
    <row r="332" spans="2:20" x14ac:dyDescent="0.35">
      <c r="B332" s="42">
        <v>730</v>
      </c>
      <c r="C332" s="42">
        <v>0.23902999999999999</v>
      </c>
      <c r="D332" s="42">
        <v>0.21193000000000001</v>
      </c>
      <c r="E332" s="42">
        <v>0.26151999999999997</v>
      </c>
      <c r="F332" s="42">
        <v>0.24604999999999999</v>
      </c>
      <c r="G332" s="42">
        <v>0.23923</v>
      </c>
      <c r="H332" s="42">
        <v>0.24177999999999999</v>
      </c>
      <c r="I332" s="42">
        <v>0.24359</v>
      </c>
      <c r="J332" s="42">
        <v>0.23033000000000001</v>
      </c>
      <c r="L332" s="20">
        <v>730</v>
      </c>
      <c r="M332">
        <f t="shared" si="41"/>
        <v>0.95611999999999997</v>
      </c>
      <c r="N332">
        <f t="shared" si="42"/>
        <v>0.84772000000000003</v>
      </c>
      <c r="O332">
        <f t="shared" si="43"/>
        <v>1.0460799999999999</v>
      </c>
      <c r="P332">
        <f t="shared" si="44"/>
        <v>0.98419999999999996</v>
      </c>
      <c r="Q332">
        <f t="shared" si="45"/>
        <v>0.95691999999999999</v>
      </c>
      <c r="R332">
        <f t="shared" si="46"/>
        <v>0.96711999999999998</v>
      </c>
      <c r="S332">
        <f t="shared" si="47"/>
        <v>0.97436</v>
      </c>
      <c r="T332">
        <f t="shared" si="48"/>
        <v>0.92132000000000003</v>
      </c>
    </row>
    <row r="333" spans="2:20" x14ac:dyDescent="0.35">
      <c r="B333" s="42">
        <v>731</v>
      </c>
      <c r="C333" s="42">
        <v>0.23860000000000001</v>
      </c>
      <c r="D333" s="42">
        <v>0.21152000000000001</v>
      </c>
      <c r="E333" s="42">
        <v>0.26105</v>
      </c>
      <c r="F333" s="42">
        <v>0.24554000000000001</v>
      </c>
      <c r="G333" s="42">
        <v>0.23877999999999999</v>
      </c>
      <c r="H333" s="42">
        <v>0.24135999999999999</v>
      </c>
      <c r="I333" s="42">
        <v>0.24315999999999999</v>
      </c>
      <c r="J333" s="42">
        <v>0.22992000000000001</v>
      </c>
      <c r="L333" s="20">
        <v>731</v>
      </c>
      <c r="M333">
        <f t="shared" si="41"/>
        <v>0.95440000000000003</v>
      </c>
      <c r="N333">
        <f t="shared" si="42"/>
        <v>0.84608000000000005</v>
      </c>
      <c r="O333">
        <f t="shared" si="43"/>
        <v>1.0442</v>
      </c>
      <c r="P333">
        <f t="shared" si="44"/>
        <v>0.98216000000000003</v>
      </c>
      <c r="Q333">
        <f t="shared" si="45"/>
        <v>0.95511999999999997</v>
      </c>
      <c r="R333">
        <f t="shared" si="46"/>
        <v>0.96543999999999996</v>
      </c>
      <c r="S333">
        <f t="shared" si="47"/>
        <v>0.97263999999999995</v>
      </c>
      <c r="T333">
        <f t="shared" si="48"/>
        <v>0.91968000000000005</v>
      </c>
    </row>
    <row r="334" spans="2:20" x14ac:dyDescent="0.35">
      <c r="B334" s="42">
        <v>732</v>
      </c>
      <c r="C334" s="42">
        <v>0.23813999999999999</v>
      </c>
      <c r="D334" s="42">
        <v>0.21106</v>
      </c>
      <c r="E334" s="42">
        <v>0.26062000000000002</v>
      </c>
      <c r="F334" s="42">
        <v>0.24509</v>
      </c>
      <c r="G334" s="42">
        <v>0.23838999999999999</v>
      </c>
      <c r="H334" s="42">
        <v>0.24091000000000001</v>
      </c>
      <c r="I334" s="42">
        <v>0.24274999999999999</v>
      </c>
      <c r="J334" s="42">
        <v>0.22946</v>
      </c>
      <c r="L334" s="20">
        <v>732</v>
      </c>
      <c r="M334">
        <f t="shared" si="41"/>
        <v>0.95255999999999996</v>
      </c>
      <c r="N334">
        <f t="shared" si="42"/>
        <v>0.84423999999999999</v>
      </c>
      <c r="O334">
        <f t="shared" si="43"/>
        <v>1.0424800000000001</v>
      </c>
      <c r="P334">
        <f t="shared" si="44"/>
        <v>0.98036000000000001</v>
      </c>
      <c r="Q334">
        <f t="shared" si="45"/>
        <v>0.95355999999999996</v>
      </c>
      <c r="R334">
        <f t="shared" si="46"/>
        <v>0.96364000000000005</v>
      </c>
      <c r="S334">
        <f t="shared" si="47"/>
        <v>0.97099999999999997</v>
      </c>
      <c r="T334">
        <f t="shared" si="48"/>
        <v>0.91783999999999999</v>
      </c>
    </row>
    <row r="335" spans="2:20" x14ac:dyDescent="0.35">
      <c r="B335" s="42">
        <v>733</v>
      </c>
      <c r="C335" s="42">
        <v>0.23782</v>
      </c>
      <c r="D335" s="42">
        <v>0.21074999999999999</v>
      </c>
      <c r="E335" s="42">
        <v>0.26028000000000001</v>
      </c>
      <c r="F335" s="42">
        <v>0.24478</v>
      </c>
      <c r="G335" s="42">
        <v>0.23808000000000001</v>
      </c>
      <c r="H335" s="42">
        <v>0.24057000000000001</v>
      </c>
      <c r="I335" s="42">
        <v>0.24243000000000001</v>
      </c>
      <c r="J335" s="42">
        <v>0.22914000000000001</v>
      </c>
      <c r="L335" s="20">
        <v>733</v>
      </c>
      <c r="M335">
        <f t="shared" si="41"/>
        <v>0.95128000000000001</v>
      </c>
      <c r="N335">
        <f t="shared" si="42"/>
        <v>0.84299999999999997</v>
      </c>
      <c r="O335">
        <f t="shared" si="43"/>
        <v>1.04112</v>
      </c>
      <c r="P335">
        <f t="shared" si="44"/>
        <v>0.97911999999999999</v>
      </c>
      <c r="Q335">
        <f t="shared" si="45"/>
        <v>0.95232000000000006</v>
      </c>
      <c r="R335">
        <f t="shared" si="46"/>
        <v>0.96228000000000002</v>
      </c>
      <c r="S335">
        <f t="shared" si="47"/>
        <v>0.96972000000000003</v>
      </c>
      <c r="T335">
        <f t="shared" si="48"/>
        <v>0.91656000000000004</v>
      </c>
    </row>
    <row r="336" spans="2:20" x14ac:dyDescent="0.35">
      <c r="B336" s="42">
        <v>734</v>
      </c>
      <c r="C336" s="42">
        <v>0.23737</v>
      </c>
      <c r="D336" s="42">
        <v>0.21031</v>
      </c>
      <c r="E336" s="42">
        <v>0.25985999999999998</v>
      </c>
      <c r="F336" s="42">
        <v>0.24432000000000001</v>
      </c>
      <c r="G336" s="42">
        <v>0.23766000000000001</v>
      </c>
      <c r="H336" s="42">
        <v>0.24013999999999999</v>
      </c>
      <c r="I336" s="42">
        <v>0.24202000000000001</v>
      </c>
      <c r="J336" s="42">
        <v>0.22874</v>
      </c>
      <c r="L336" s="20">
        <v>734</v>
      </c>
      <c r="M336">
        <f t="shared" si="41"/>
        <v>0.94947999999999999</v>
      </c>
      <c r="N336">
        <f t="shared" si="42"/>
        <v>0.84123999999999999</v>
      </c>
      <c r="O336">
        <f t="shared" si="43"/>
        <v>1.0394399999999999</v>
      </c>
      <c r="P336">
        <f t="shared" si="44"/>
        <v>0.97728000000000004</v>
      </c>
      <c r="Q336">
        <f t="shared" si="45"/>
        <v>0.95064000000000004</v>
      </c>
      <c r="R336">
        <f t="shared" si="46"/>
        <v>0.96055999999999997</v>
      </c>
      <c r="S336">
        <f t="shared" si="47"/>
        <v>0.96808000000000005</v>
      </c>
      <c r="T336">
        <f t="shared" si="48"/>
        <v>0.91496</v>
      </c>
    </row>
    <row r="337" spans="2:20" x14ac:dyDescent="0.35">
      <c r="B337" s="42">
        <v>735</v>
      </c>
      <c r="C337" s="42">
        <v>0.23694000000000001</v>
      </c>
      <c r="D337" s="42">
        <v>0.20992</v>
      </c>
      <c r="E337" s="42">
        <v>0.25946000000000002</v>
      </c>
      <c r="F337" s="42">
        <v>0.24388000000000001</v>
      </c>
      <c r="G337" s="42">
        <v>0.23729</v>
      </c>
      <c r="H337" s="42">
        <v>0.23976</v>
      </c>
      <c r="I337" s="42">
        <v>0.24160999999999999</v>
      </c>
      <c r="J337" s="42">
        <v>0.22835</v>
      </c>
      <c r="L337" s="20">
        <v>735</v>
      </c>
      <c r="M337">
        <f t="shared" si="41"/>
        <v>0.94776000000000005</v>
      </c>
      <c r="N337">
        <f t="shared" si="42"/>
        <v>0.83967999999999998</v>
      </c>
      <c r="O337">
        <f t="shared" si="43"/>
        <v>1.0378400000000001</v>
      </c>
      <c r="P337">
        <f t="shared" si="44"/>
        <v>0.97552000000000005</v>
      </c>
      <c r="Q337">
        <f t="shared" si="45"/>
        <v>0.94916</v>
      </c>
      <c r="R337">
        <f t="shared" si="46"/>
        <v>0.95904</v>
      </c>
      <c r="S337">
        <f t="shared" si="47"/>
        <v>0.96643999999999997</v>
      </c>
      <c r="T337">
        <f t="shared" si="48"/>
        <v>0.91339999999999999</v>
      </c>
    </row>
    <row r="338" spans="2:20" x14ac:dyDescent="0.35">
      <c r="B338" s="42">
        <v>736</v>
      </c>
      <c r="C338" s="42">
        <v>0.23651</v>
      </c>
      <c r="D338" s="42">
        <v>0.20949000000000001</v>
      </c>
      <c r="E338" s="42">
        <v>0.25900000000000001</v>
      </c>
      <c r="F338" s="42">
        <v>0.24343999999999999</v>
      </c>
      <c r="G338" s="42">
        <v>0.23683000000000001</v>
      </c>
      <c r="H338" s="42">
        <v>0.23927000000000001</v>
      </c>
      <c r="I338" s="42">
        <v>0.24117</v>
      </c>
      <c r="J338" s="42">
        <v>0.22783</v>
      </c>
      <c r="L338" s="20">
        <v>736</v>
      </c>
      <c r="M338">
        <f t="shared" si="41"/>
        <v>0.94603999999999999</v>
      </c>
      <c r="N338">
        <f t="shared" si="42"/>
        <v>0.83796000000000004</v>
      </c>
      <c r="O338">
        <f t="shared" si="43"/>
        <v>1.036</v>
      </c>
      <c r="P338">
        <f t="shared" si="44"/>
        <v>0.97375999999999996</v>
      </c>
      <c r="Q338">
        <f t="shared" si="45"/>
        <v>0.94732000000000005</v>
      </c>
      <c r="R338">
        <f t="shared" si="46"/>
        <v>0.95708000000000004</v>
      </c>
      <c r="S338">
        <f t="shared" si="47"/>
        <v>0.96467999999999998</v>
      </c>
      <c r="T338">
        <f t="shared" si="48"/>
        <v>0.91132000000000002</v>
      </c>
    </row>
    <row r="339" spans="2:20" x14ac:dyDescent="0.35">
      <c r="B339" s="42">
        <v>737</v>
      </c>
      <c r="C339" s="42">
        <v>0.23610999999999999</v>
      </c>
      <c r="D339" s="42">
        <v>0.20916999999999999</v>
      </c>
      <c r="E339" s="42">
        <v>0.25863999999999998</v>
      </c>
      <c r="F339" s="42">
        <v>0.24304000000000001</v>
      </c>
      <c r="G339" s="42">
        <v>0.23654</v>
      </c>
      <c r="H339" s="42">
        <v>0.23895</v>
      </c>
      <c r="I339" s="42">
        <v>0.24079999999999999</v>
      </c>
      <c r="J339" s="42">
        <v>0.22750999999999999</v>
      </c>
      <c r="L339" s="20">
        <v>737</v>
      </c>
      <c r="M339">
        <f t="shared" si="41"/>
        <v>0.94443999999999995</v>
      </c>
      <c r="N339">
        <f t="shared" si="42"/>
        <v>0.83667999999999998</v>
      </c>
      <c r="O339">
        <f t="shared" si="43"/>
        <v>1.0345599999999999</v>
      </c>
      <c r="P339">
        <f t="shared" si="44"/>
        <v>0.97216000000000002</v>
      </c>
      <c r="Q339">
        <f t="shared" si="45"/>
        <v>0.94616</v>
      </c>
      <c r="R339">
        <f t="shared" si="46"/>
        <v>0.95579999999999998</v>
      </c>
      <c r="S339">
        <f t="shared" si="47"/>
        <v>0.96319999999999995</v>
      </c>
      <c r="T339">
        <f t="shared" si="48"/>
        <v>0.91003999999999996</v>
      </c>
    </row>
    <row r="340" spans="2:20" x14ac:dyDescent="0.35">
      <c r="B340" s="42">
        <v>738</v>
      </c>
      <c r="C340" s="42">
        <v>0.23569000000000001</v>
      </c>
      <c r="D340" s="42">
        <v>0.20868999999999999</v>
      </c>
      <c r="E340" s="42">
        <v>0.25822000000000001</v>
      </c>
      <c r="F340" s="42">
        <v>0.24257000000000001</v>
      </c>
      <c r="G340" s="42">
        <v>0.23616000000000001</v>
      </c>
      <c r="H340" s="42">
        <v>0.23848</v>
      </c>
      <c r="I340" s="42">
        <v>0.24034</v>
      </c>
      <c r="J340" s="42">
        <v>0.22717000000000001</v>
      </c>
      <c r="L340" s="20">
        <v>738</v>
      </c>
      <c r="M340">
        <f t="shared" si="41"/>
        <v>0.94276000000000004</v>
      </c>
      <c r="N340">
        <f t="shared" si="42"/>
        <v>0.83475999999999995</v>
      </c>
      <c r="O340">
        <f t="shared" si="43"/>
        <v>1.03288</v>
      </c>
      <c r="P340">
        <f t="shared" si="44"/>
        <v>0.97028000000000003</v>
      </c>
      <c r="Q340">
        <f t="shared" si="45"/>
        <v>0.94464000000000004</v>
      </c>
      <c r="R340">
        <f t="shared" si="46"/>
        <v>0.95391999999999999</v>
      </c>
      <c r="S340">
        <f t="shared" si="47"/>
        <v>0.96135999999999999</v>
      </c>
      <c r="T340">
        <f t="shared" si="48"/>
        <v>0.90868000000000004</v>
      </c>
    </row>
    <row r="341" spans="2:20" x14ac:dyDescent="0.35">
      <c r="B341" s="42">
        <v>739</v>
      </c>
      <c r="C341" s="42">
        <v>0.23518</v>
      </c>
      <c r="D341" s="42">
        <v>0.20824999999999999</v>
      </c>
      <c r="E341" s="42">
        <v>0.25774999999999998</v>
      </c>
      <c r="F341" s="42">
        <v>0.24207000000000001</v>
      </c>
      <c r="G341" s="42">
        <v>0.23569999999999999</v>
      </c>
      <c r="H341" s="42">
        <v>0.23799000000000001</v>
      </c>
      <c r="I341" s="42">
        <v>0.23987</v>
      </c>
      <c r="J341" s="42">
        <v>0.22664000000000001</v>
      </c>
      <c r="L341" s="20">
        <v>739</v>
      </c>
      <c r="M341">
        <f t="shared" si="41"/>
        <v>0.94072</v>
      </c>
      <c r="N341">
        <f t="shared" si="42"/>
        <v>0.83299999999999996</v>
      </c>
      <c r="O341">
        <f t="shared" si="43"/>
        <v>1.0309999999999999</v>
      </c>
      <c r="P341">
        <f t="shared" si="44"/>
        <v>0.96828000000000003</v>
      </c>
      <c r="Q341">
        <f t="shared" si="45"/>
        <v>0.94279999999999997</v>
      </c>
      <c r="R341">
        <f t="shared" si="46"/>
        <v>0.95196000000000003</v>
      </c>
      <c r="S341">
        <f t="shared" si="47"/>
        <v>0.95948</v>
      </c>
      <c r="T341">
        <f t="shared" si="48"/>
        <v>0.90656000000000003</v>
      </c>
    </row>
    <row r="342" spans="2:20" x14ac:dyDescent="0.35">
      <c r="B342" s="42">
        <v>740</v>
      </c>
      <c r="C342" s="42">
        <v>0.23476</v>
      </c>
      <c r="D342" s="42">
        <v>0.20793</v>
      </c>
      <c r="E342" s="42">
        <v>0.25741999999999998</v>
      </c>
      <c r="F342" s="42">
        <v>0.24179</v>
      </c>
      <c r="G342" s="42">
        <v>0.23541000000000001</v>
      </c>
      <c r="H342" s="42">
        <v>0.23766999999999999</v>
      </c>
      <c r="I342" s="42">
        <v>0.23956</v>
      </c>
      <c r="J342" s="42">
        <v>0.22633</v>
      </c>
      <c r="L342" s="20">
        <v>740</v>
      </c>
      <c r="M342">
        <f t="shared" si="41"/>
        <v>0.93903999999999999</v>
      </c>
      <c r="N342">
        <f t="shared" si="42"/>
        <v>0.83172000000000001</v>
      </c>
      <c r="O342">
        <f t="shared" si="43"/>
        <v>1.0296799999999999</v>
      </c>
      <c r="P342">
        <f t="shared" si="44"/>
        <v>0.96716000000000002</v>
      </c>
      <c r="Q342">
        <f t="shared" si="45"/>
        <v>0.94164000000000003</v>
      </c>
      <c r="R342">
        <f t="shared" si="46"/>
        <v>0.95067999999999997</v>
      </c>
      <c r="S342">
        <f t="shared" si="47"/>
        <v>0.95823999999999998</v>
      </c>
      <c r="T342">
        <f t="shared" si="48"/>
        <v>0.90532000000000001</v>
      </c>
    </row>
    <row r="343" spans="2:20" x14ac:dyDescent="0.35">
      <c r="B343" s="42">
        <v>741</v>
      </c>
      <c r="C343" s="42">
        <v>0.23441000000000001</v>
      </c>
      <c r="D343" s="42">
        <v>0.20757</v>
      </c>
      <c r="E343" s="42">
        <v>0.25702000000000003</v>
      </c>
      <c r="F343" s="42">
        <v>0.24138999999999999</v>
      </c>
      <c r="G343" s="42">
        <v>0.23505000000000001</v>
      </c>
      <c r="H343" s="42">
        <v>0.23724000000000001</v>
      </c>
      <c r="I343" s="42">
        <v>0.23915</v>
      </c>
      <c r="J343" s="42">
        <v>0.22597999999999999</v>
      </c>
      <c r="L343" s="20">
        <v>741</v>
      </c>
      <c r="M343">
        <f t="shared" si="41"/>
        <v>0.93764000000000003</v>
      </c>
      <c r="N343">
        <f t="shared" si="42"/>
        <v>0.83028000000000002</v>
      </c>
      <c r="O343">
        <f t="shared" si="43"/>
        <v>1.0280800000000001</v>
      </c>
      <c r="P343">
        <f t="shared" si="44"/>
        <v>0.96555999999999997</v>
      </c>
      <c r="Q343">
        <f t="shared" si="45"/>
        <v>0.94020000000000004</v>
      </c>
      <c r="R343">
        <f t="shared" si="46"/>
        <v>0.94896000000000003</v>
      </c>
      <c r="S343">
        <f t="shared" si="47"/>
        <v>0.95660000000000001</v>
      </c>
      <c r="T343">
        <f t="shared" si="48"/>
        <v>0.90391999999999995</v>
      </c>
    </row>
    <row r="344" spans="2:20" x14ac:dyDescent="0.35">
      <c r="B344" s="42">
        <v>742</v>
      </c>
      <c r="C344" s="42">
        <v>0.23396</v>
      </c>
      <c r="D344" s="42">
        <v>0.20715</v>
      </c>
      <c r="E344" s="42">
        <v>0.25656000000000001</v>
      </c>
      <c r="F344" s="42">
        <v>0.24091000000000001</v>
      </c>
      <c r="G344" s="42">
        <v>0.23466000000000001</v>
      </c>
      <c r="H344" s="42">
        <v>0.23679</v>
      </c>
      <c r="I344" s="42">
        <v>0.23869000000000001</v>
      </c>
      <c r="J344" s="42">
        <v>0.22552</v>
      </c>
      <c r="L344" s="20">
        <v>742</v>
      </c>
      <c r="M344">
        <f t="shared" si="41"/>
        <v>0.93584000000000001</v>
      </c>
      <c r="N344">
        <f t="shared" si="42"/>
        <v>0.8286</v>
      </c>
      <c r="O344">
        <f t="shared" si="43"/>
        <v>1.02624</v>
      </c>
      <c r="P344">
        <f t="shared" si="44"/>
        <v>0.96364000000000005</v>
      </c>
      <c r="Q344">
        <f t="shared" si="45"/>
        <v>0.93864000000000003</v>
      </c>
      <c r="R344">
        <f t="shared" si="46"/>
        <v>0.94716</v>
      </c>
      <c r="S344">
        <f t="shared" si="47"/>
        <v>0.95476000000000005</v>
      </c>
      <c r="T344">
        <f t="shared" si="48"/>
        <v>0.90207999999999999</v>
      </c>
    </row>
    <row r="345" spans="2:20" x14ac:dyDescent="0.35">
      <c r="B345" s="42">
        <v>743</v>
      </c>
      <c r="C345" s="42">
        <v>0.23366000000000001</v>
      </c>
      <c r="D345" s="42">
        <v>0.20682</v>
      </c>
      <c r="E345" s="42">
        <v>0.25620999999999999</v>
      </c>
      <c r="F345" s="42">
        <v>0.24057000000000001</v>
      </c>
      <c r="G345" s="42">
        <v>0.23425000000000001</v>
      </c>
      <c r="H345" s="42">
        <v>0.23643</v>
      </c>
      <c r="I345" s="42">
        <v>0.23832999999999999</v>
      </c>
      <c r="J345" s="42">
        <v>0.22520000000000001</v>
      </c>
      <c r="L345" s="20">
        <v>743</v>
      </c>
      <c r="M345">
        <f t="shared" si="41"/>
        <v>0.93464000000000003</v>
      </c>
      <c r="N345">
        <f t="shared" si="42"/>
        <v>0.82728000000000002</v>
      </c>
      <c r="O345">
        <f t="shared" si="43"/>
        <v>1.02484</v>
      </c>
      <c r="P345">
        <f t="shared" si="44"/>
        <v>0.96228000000000002</v>
      </c>
      <c r="Q345">
        <f t="shared" si="45"/>
        <v>0.93700000000000006</v>
      </c>
      <c r="R345">
        <f t="shared" si="46"/>
        <v>0.94572000000000001</v>
      </c>
      <c r="S345">
        <f t="shared" si="47"/>
        <v>0.95331999999999995</v>
      </c>
      <c r="T345">
        <f t="shared" si="48"/>
        <v>0.90080000000000005</v>
      </c>
    </row>
    <row r="346" spans="2:20" x14ac:dyDescent="0.35">
      <c r="B346" s="42">
        <v>744</v>
      </c>
      <c r="C346" s="42">
        <v>0.23322000000000001</v>
      </c>
      <c r="D346" s="42">
        <v>0.20641999999999999</v>
      </c>
      <c r="E346" s="42">
        <v>0.25577</v>
      </c>
      <c r="F346" s="42">
        <v>0.24013000000000001</v>
      </c>
      <c r="G346" s="42">
        <v>0.23386999999999999</v>
      </c>
      <c r="H346" s="42">
        <v>0.23604</v>
      </c>
      <c r="I346" s="42">
        <v>0.23787</v>
      </c>
      <c r="J346" s="42">
        <v>0.22473000000000001</v>
      </c>
      <c r="L346" s="20">
        <v>744</v>
      </c>
      <c r="M346">
        <f t="shared" si="41"/>
        <v>0.93288000000000004</v>
      </c>
      <c r="N346">
        <f t="shared" si="42"/>
        <v>0.82567999999999997</v>
      </c>
      <c r="O346">
        <f t="shared" si="43"/>
        <v>1.02308</v>
      </c>
      <c r="P346">
        <f t="shared" si="44"/>
        <v>0.96052000000000004</v>
      </c>
      <c r="Q346">
        <f t="shared" si="45"/>
        <v>0.93547999999999998</v>
      </c>
      <c r="R346">
        <f t="shared" si="46"/>
        <v>0.94416</v>
      </c>
      <c r="S346">
        <f t="shared" si="47"/>
        <v>0.95147999999999999</v>
      </c>
      <c r="T346">
        <f t="shared" si="48"/>
        <v>0.89892000000000005</v>
      </c>
    </row>
    <row r="347" spans="2:20" x14ac:dyDescent="0.35">
      <c r="B347" s="42">
        <v>745</v>
      </c>
      <c r="C347" s="42">
        <v>0.23283000000000001</v>
      </c>
      <c r="D347" s="42">
        <v>0.20612</v>
      </c>
      <c r="E347" s="42">
        <v>0.25545000000000001</v>
      </c>
      <c r="F347" s="42">
        <v>0.23977999999999999</v>
      </c>
      <c r="G347" s="42">
        <v>0.23351</v>
      </c>
      <c r="H347" s="42">
        <v>0.23566999999999999</v>
      </c>
      <c r="I347" s="42">
        <v>0.23755999999999999</v>
      </c>
      <c r="J347" s="42">
        <v>0.22438</v>
      </c>
      <c r="L347" s="20">
        <v>745</v>
      </c>
      <c r="M347">
        <f t="shared" si="41"/>
        <v>0.93132000000000004</v>
      </c>
      <c r="N347">
        <f t="shared" si="42"/>
        <v>0.82447999999999999</v>
      </c>
      <c r="O347">
        <f t="shared" si="43"/>
        <v>1.0218</v>
      </c>
      <c r="P347">
        <f t="shared" si="44"/>
        <v>0.95911999999999997</v>
      </c>
      <c r="Q347">
        <f t="shared" si="45"/>
        <v>0.93403999999999998</v>
      </c>
      <c r="R347">
        <f t="shared" si="46"/>
        <v>0.94267999999999996</v>
      </c>
      <c r="S347">
        <f t="shared" si="47"/>
        <v>0.95023999999999997</v>
      </c>
      <c r="T347">
        <f t="shared" si="48"/>
        <v>0.89751999999999998</v>
      </c>
    </row>
    <row r="348" spans="2:20" x14ac:dyDescent="0.35">
      <c r="B348" s="42">
        <v>746</v>
      </c>
      <c r="C348" s="42">
        <v>0.23250999999999999</v>
      </c>
      <c r="D348" s="42">
        <v>0.20569000000000001</v>
      </c>
      <c r="E348" s="42">
        <v>0.25505</v>
      </c>
      <c r="F348" s="42">
        <v>0.2394</v>
      </c>
      <c r="G348" s="42">
        <v>0.23322000000000001</v>
      </c>
      <c r="H348" s="42">
        <v>0.23529</v>
      </c>
      <c r="I348" s="42">
        <v>0.23718</v>
      </c>
      <c r="J348" s="42">
        <v>0.22403000000000001</v>
      </c>
      <c r="L348" s="20">
        <v>746</v>
      </c>
      <c r="M348">
        <f t="shared" si="41"/>
        <v>0.93003999999999998</v>
      </c>
      <c r="N348">
        <f t="shared" si="42"/>
        <v>0.82276000000000005</v>
      </c>
      <c r="O348">
        <f t="shared" si="43"/>
        <v>1.0202</v>
      </c>
      <c r="P348">
        <f t="shared" si="44"/>
        <v>0.95760000000000001</v>
      </c>
      <c r="Q348">
        <f t="shared" si="45"/>
        <v>0.93288000000000004</v>
      </c>
      <c r="R348">
        <f t="shared" si="46"/>
        <v>0.94116</v>
      </c>
      <c r="S348">
        <f t="shared" si="47"/>
        <v>0.94872000000000001</v>
      </c>
      <c r="T348">
        <f t="shared" si="48"/>
        <v>0.89612000000000003</v>
      </c>
    </row>
    <row r="349" spans="2:20" x14ac:dyDescent="0.35">
      <c r="B349" s="42">
        <v>747</v>
      </c>
      <c r="C349" s="42">
        <v>0.23211999999999999</v>
      </c>
      <c r="D349" s="42">
        <v>0.20537</v>
      </c>
      <c r="E349" s="42">
        <v>0.25470999999999999</v>
      </c>
      <c r="F349" s="42">
        <v>0.23902999999999999</v>
      </c>
      <c r="G349" s="42">
        <v>0.23285</v>
      </c>
      <c r="H349" s="42">
        <v>0.23486000000000001</v>
      </c>
      <c r="I349" s="42">
        <v>0.23685999999999999</v>
      </c>
      <c r="J349" s="42">
        <v>0.22367999999999999</v>
      </c>
      <c r="L349" s="20">
        <v>747</v>
      </c>
      <c r="M349">
        <f t="shared" si="41"/>
        <v>0.92847999999999997</v>
      </c>
      <c r="N349">
        <f t="shared" si="42"/>
        <v>0.82147999999999999</v>
      </c>
      <c r="O349">
        <f t="shared" si="43"/>
        <v>1.01884</v>
      </c>
      <c r="P349">
        <f t="shared" si="44"/>
        <v>0.95611999999999997</v>
      </c>
      <c r="Q349">
        <f t="shared" si="45"/>
        <v>0.93140000000000001</v>
      </c>
      <c r="R349">
        <f t="shared" si="46"/>
        <v>0.93944000000000005</v>
      </c>
      <c r="S349">
        <f t="shared" si="47"/>
        <v>0.94743999999999995</v>
      </c>
      <c r="T349">
        <f t="shared" si="48"/>
        <v>0.89471999999999996</v>
      </c>
    </row>
    <row r="350" spans="2:20" x14ac:dyDescent="0.35">
      <c r="B350" s="42">
        <v>748</v>
      </c>
      <c r="C350" s="42">
        <v>0.23169000000000001</v>
      </c>
      <c r="D350" s="42">
        <v>0.20499999999999999</v>
      </c>
      <c r="E350" s="42">
        <v>0.25433</v>
      </c>
      <c r="F350" s="42">
        <v>0.23865</v>
      </c>
      <c r="G350" s="42">
        <v>0.23247000000000001</v>
      </c>
      <c r="H350" s="42">
        <v>0.23451</v>
      </c>
      <c r="I350" s="42">
        <v>0.2364</v>
      </c>
      <c r="J350" s="42">
        <v>0.2233</v>
      </c>
      <c r="L350" s="20">
        <v>748</v>
      </c>
      <c r="M350">
        <f t="shared" si="41"/>
        <v>0.92676000000000003</v>
      </c>
      <c r="N350">
        <f t="shared" si="42"/>
        <v>0.82</v>
      </c>
      <c r="O350">
        <f t="shared" si="43"/>
        <v>1.01732</v>
      </c>
      <c r="P350">
        <f t="shared" si="44"/>
        <v>0.9546</v>
      </c>
      <c r="Q350">
        <f t="shared" si="45"/>
        <v>0.92988000000000004</v>
      </c>
      <c r="R350">
        <f t="shared" si="46"/>
        <v>0.93803999999999998</v>
      </c>
      <c r="S350">
        <f t="shared" si="47"/>
        <v>0.9456</v>
      </c>
      <c r="T350">
        <f t="shared" si="48"/>
        <v>0.89319999999999999</v>
      </c>
    </row>
    <row r="351" spans="2:20" x14ac:dyDescent="0.35">
      <c r="B351" s="42">
        <v>749</v>
      </c>
      <c r="C351" s="42">
        <v>0.23136999999999999</v>
      </c>
      <c r="D351" s="42">
        <v>0.20471</v>
      </c>
      <c r="E351" s="42">
        <v>0.25397999999999998</v>
      </c>
      <c r="F351" s="42">
        <v>0.23830000000000001</v>
      </c>
      <c r="G351" s="42">
        <v>0.23221</v>
      </c>
      <c r="H351" s="42">
        <v>0.23415</v>
      </c>
      <c r="I351" s="42">
        <v>0.23610999999999999</v>
      </c>
      <c r="J351" s="42">
        <v>0.22295000000000001</v>
      </c>
      <c r="L351" s="20">
        <v>749</v>
      </c>
      <c r="M351">
        <f t="shared" si="41"/>
        <v>0.92547999999999997</v>
      </c>
      <c r="N351">
        <f t="shared" si="42"/>
        <v>0.81884000000000001</v>
      </c>
      <c r="O351">
        <f t="shared" si="43"/>
        <v>1.0159199999999999</v>
      </c>
      <c r="P351">
        <f t="shared" si="44"/>
        <v>0.95320000000000005</v>
      </c>
      <c r="Q351">
        <f t="shared" si="45"/>
        <v>0.92884</v>
      </c>
      <c r="R351">
        <f t="shared" si="46"/>
        <v>0.93659999999999999</v>
      </c>
      <c r="S351">
        <f t="shared" si="47"/>
        <v>0.94443999999999995</v>
      </c>
      <c r="T351">
        <f t="shared" si="48"/>
        <v>0.89180000000000004</v>
      </c>
    </row>
    <row r="352" spans="2:20" x14ac:dyDescent="0.35">
      <c r="B352" s="42">
        <v>750</v>
      </c>
      <c r="C352" s="42">
        <v>0.23097000000000001</v>
      </c>
      <c r="D352" s="42">
        <v>0.20433000000000001</v>
      </c>
      <c r="E352" s="42">
        <v>0.25364999999999999</v>
      </c>
      <c r="F352" s="42">
        <v>0.23788000000000001</v>
      </c>
      <c r="G352" s="42">
        <v>0.23180000000000001</v>
      </c>
      <c r="H352" s="42">
        <v>0.23375000000000001</v>
      </c>
      <c r="I352" s="42">
        <v>0.23569999999999999</v>
      </c>
      <c r="J352" s="42">
        <v>0.22259999999999999</v>
      </c>
      <c r="L352" s="20">
        <v>750</v>
      </c>
      <c r="M352">
        <f t="shared" si="41"/>
        <v>0.92388000000000003</v>
      </c>
      <c r="N352">
        <f t="shared" si="42"/>
        <v>0.81732000000000005</v>
      </c>
      <c r="O352">
        <f t="shared" si="43"/>
        <v>1.0145999999999999</v>
      </c>
      <c r="P352">
        <f t="shared" si="44"/>
        <v>0.95152000000000003</v>
      </c>
      <c r="Q352">
        <f t="shared" si="45"/>
        <v>0.92720000000000002</v>
      </c>
      <c r="R352">
        <f t="shared" si="46"/>
        <v>0.93500000000000005</v>
      </c>
      <c r="S352">
        <f t="shared" si="47"/>
        <v>0.94279999999999997</v>
      </c>
      <c r="T352">
        <f t="shared" si="48"/>
        <v>0.89039999999999997</v>
      </c>
    </row>
    <row r="353" spans="2:20" x14ac:dyDescent="0.35">
      <c r="B353" s="42">
        <v>751</v>
      </c>
      <c r="C353" s="42">
        <v>0.23058000000000001</v>
      </c>
      <c r="D353" s="42">
        <v>0.20393</v>
      </c>
      <c r="E353" s="42">
        <v>0.25328000000000001</v>
      </c>
      <c r="F353" s="42">
        <v>0.23752999999999999</v>
      </c>
      <c r="G353" s="42">
        <v>0.23146</v>
      </c>
      <c r="H353" s="42">
        <v>0.2334</v>
      </c>
      <c r="I353" s="42">
        <v>0.23526</v>
      </c>
      <c r="J353" s="42">
        <v>0.22223000000000001</v>
      </c>
      <c r="L353" s="20">
        <v>751</v>
      </c>
      <c r="M353">
        <f t="shared" si="41"/>
        <v>0.92232000000000003</v>
      </c>
      <c r="N353">
        <f t="shared" si="42"/>
        <v>0.81572</v>
      </c>
      <c r="O353">
        <f t="shared" si="43"/>
        <v>1.01312</v>
      </c>
      <c r="P353">
        <f t="shared" si="44"/>
        <v>0.95011999999999996</v>
      </c>
      <c r="Q353">
        <f t="shared" si="45"/>
        <v>0.92584</v>
      </c>
      <c r="R353">
        <f t="shared" si="46"/>
        <v>0.93359999999999999</v>
      </c>
      <c r="S353">
        <f t="shared" si="47"/>
        <v>0.94103999999999999</v>
      </c>
      <c r="T353">
        <f t="shared" si="48"/>
        <v>0.88892000000000004</v>
      </c>
    </row>
    <row r="354" spans="2:20" x14ac:dyDescent="0.35">
      <c r="B354" s="42">
        <v>752</v>
      </c>
      <c r="C354" s="42">
        <v>0.23028999999999999</v>
      </c>
      <c r="D354" s="42">
        <v>0.20366999999999999</v>
      </c>
      <c r="E354" s="42">
        <v>0.25296000000000002</v>
      </c>
      <c r="F354" s="42">
        <v>0.23716999999999999</v>
      </c>
      <c r="G354" s="42">
        <v>0.23116</v>
      </c>
      <c r="H354" s="42">
        <v>0.23305999999999999</v>
      </c>
      <c r="I354" s="42">
        <v>0.23497000000000001</v>
      </c>
      <c r="J354" s="42">
        <v>0.22184999999999999</v>
      </c>
      <c r="L354" s="20">
        <v>752</v>
      </c>
      <c r="M354">
        <f t="shared" si="41"/>
        <v>0.92115999999999998</v>
      </c>
      <c r="N354">
        <f t="shared" si="42"/>
        <v>0.81467999999999996</v>
      </c>
      <c r="O354">
        <f t="shared" si="43"/>
        <v>1.0118400000000001</v>
      </c>
      <c r="P354">
        <f t="shared" si="44"/>
        <v>0.94867999999999997</v>
      </c>
      <c r="Q354">
        <f t="shared" si="45"/>
        <v>0.92464000000000002</v>
      </c>
      <c r="R354">
        <f t="shared" si="46"/>
        <v>0.93223999999999996</v>
      </c>
      <c r="S354">
        <f t="shared" si="47"/>
        <v>0.93988000000000005</v>
      </c>
      <c r="T354">
        <f t="shared" si="48"/>
        <v>0.88739999999999997</v>
      </c>
    </row>
    <row r="355" spans="2:20" x14ac:dyDescent="0.35">
      <c r="B355" s="42">
        <v>753</v>
      </c>
      <c r="C355" s="42">
        <v>0.22994999999999999</v>
      </c>
      <c r="D355" s="42">
        <v>0.20338000000000001</v>
      </c>
      <c r="E355" s="42">
        <v>0.25272</v>
      </c>
      <c r="F355" s="42">
        <v>0.23691999999999999</v>
      </c>
      <c r="G355" s="42">
        <v>0.23086999999999999</v>
      </c>
      <c r="H355" s="42">
        <v>0.23283000000000001</v>
      </c>
      <c r="I355" s="42">
        <v>0.23468</v>
      </c>
      <c r="J355" s="42">
        <v>0.22156999999999999</v>
      </c>
      <c r="L355" s="20">
        <v>753</v>
      </c>
      <c r="M355">
        <f t="shared" si="41"/>
        <v>0.91979999999999995</v>
      </c>
      <c r="N355">
        <f t="shared" si="42"/>
        <v>0.81352000000000002</v>
      </c>
      <c r="O355">
        <f t="shared" si="43"/>
        <v>1.01088</v>
      </c>
      <c r="P355">
        <f t="shared" si="44"/>
        <v>0.94767999999999997</v>
      </c>
      <c r="Q355">
        <f t="shared" si="45"/>
        <v>0.92347999999999997</v>
      </c>
      <c r="R355">
        <f t="shared" si="46"/>
        <v>0.93132000000000004</v>
      </c>
      <c r="S355">
        <f t="shared" si="47"/>
        <v>0.93872</v>
      </c>
      <c r="T355">
        <f t="shared" si="48"/>
        <v>0.88627999999999996</v>
      </c>
    </row>
    <row r="356" spans="2:20" x14ac:dyDescent="0.35">
      <c r="B356" s="42">
        <v>754</v>
      </c>
      <c r="C356" s="42">
        <v>0.22952</v>
      </c>
      <c r="D356" s="42">
        <v>0.20302000000000001</v>
      </c>
      <c r="E356" s="42">
        <v>0.25233</v>
      </c>
      <c r="F356" s="42">
        <v>0.23651</v>
      </c>
      <c r="G356" s="42">
        <v>0.23055</v>
      </c>
      <c r="H356" s="42">
        <v>0.23241999999999999</v>
      </c>
      <c r="I356" s="42">
        <v>0.23430000000000001</v>
      </c>
      <c r="J356" s="42">
        <v>0.22125</v>
      </c>
      <c r="L356" s="20">
        <v>754</v>
      </c>
      <c r="M356">
        <f t="shared" si="41"/>
        <v>0.91808000000000001</v>
      </c>
      <c r="N356">
        <f t="shared" si="42"/>
        <v>0.81208000000000002</v>
      </c>
      <c r="O356">
        <f t="shared" si="43"/>
        <v>1.00932</v>
      </c>
      <c r="P356">
        <f t="shared" si="44"/>
        <v>0.94603999999999999</v>
      </c>
      <c r="Q356">
        <f t="shared" si="45"/>
        <v>0.92220000000000002</v>
      </c>
      <c r="R356">
        <f t="shared" si="46"/>
        <v>0.92967999999999995</v>
      </c>
      <c r="S356">
        <f t="shared" si="47"/>
        <v>0.93720000000000003</v>
      </c>
      <c r="T356">
        <f t="shared" si="48"/>
        <v>0.88500000000000001</v>
      </c>
    </row>
    <row r="357" spans="2:20" x14ac:dyDescent="0.35">
      <c r="B357" s="42">
        <v>755</v>
      </c>
      <c r="C357" s="42">
        <v>0.2291</v>
      </c>
      <c r="D357" s="42">
        <v>0.20261999999999999</v>
      </c>
      <c r="E357" s="42">
        <v>0.25201000000000001</v>
      </c>
      <c r="F357" s="42">
        <v>0.2361</v>
      </c>
      <c r="G357" s="42">
        <v>0.2301</v>
      </c>
      <c r="H357" s="42">
        <v>0.23200999999999999</v>
      </c>
      <c r="I357" s="42">
        <v>0.23386000000000001</v>
      </c>
      <c r="J357" s="42">
        <v>0.22084000000000001</v>
      </c>
      <c r="L357" s="20">
        <v>755</v>
      </c>
      <c r="M357">
        <f t="shared" si="41"/>
        <v>0.91639999999999999</v>
      </c>
      <c r="N357">
        <f t="shared" si="42"/>
        <v>0.81047999999999998</v>
      </c>
      <c r="O357">
        <f t="shared" si="43"/>
        <v>1.00804</v>
      </c>
      <c r="P357">
        <f t="shared" si="44"/>
        <v>0.94440000000000002</v>
      </c>
      <c r="Q357">
        <f t="shared" si="45"/>
        <v>0.9204</v>
      </c>
      <c r="R357">
        <f t="shared" si="46"/>
        <v>0.92803999999999998</v>
      </c>
      <c r="S357">
        <f t="shared" si="47"/>
        <v>0.93544000000000005</v>
      </c>
      <c r="T357">
        <f t="shared" si="48"/>
        <v>0.88336000000000003</v>
      </c>
    </row>
    <row r="358" spans="2:20" x14ac:dyDescent="0.35">
      <c r="B358" s="42">
        <v>756</v>
      </c>
      <c r="C358" s="42">
        <v>0.22883999999999999</v>
      </c>
      <c r="D358" s="42">
        <v>0.20232</v>
      </c>
      <c r="E358" s="42">
        <v>0.25168000000000001</v>
      </c>
      <c r="F358" s="42">
        <v>0.23577999999999999</v>
      </c>
      <c r="G358" s="42">
        <v>0.22983999999999999</v>
      </c>
      <c r="H358" s="42">
        <v>0.23169999999999999</v>
      </c>
      <c r="I358" s="42">
        <v>0.23352000000000001</v>
      </c>
      <c r="J358" s="42">
        <v>0.22058</v>
      </c>
      <c r="L358" s="20">
        <v>756</v>
      </c>
      <c r="M358">
        <f t="shared" si="41"/>
        <v>0.91535999999999995</v>
      </c>
      <c r="N358">
        <f t="shared" si="42"/>
        <v>0.80928</v>
      </c>
      <c r="O358">
        <f t="shared" si="43"/>
        <v>1.0067200000000001</v>
      </c>
      <c r="P358">
        <f t="shared" si="44"/>
        <v>0.94311999999999996</v>
      </c>
      <c r="Q358">
        <f t="shared" si="45"/>
        <v>0.91935999999999996</v>
      </c>
      <c r="R358">
        <f t="shared" si="46"/>
        <v>0.92679999999999996</v>
      </c>
      <c r="S358">
        <f t="shared" si="47"/>
        <v>0.93408000000000002</v>
      </c>
      <c r="T358">
        <f t="shared" si="48"/>
        <v>0.88231999999999999</v>
      </c>
    </row>
    <row r="359" spans="2:20" x14ac:dyDescent="0.35">
      <c r="B359" s="42">
        <v>757</v>
      </c>
      <c r="C359" s="42">
        <v>0.22839000000000001</v>
      </c>
      <c r="D359" s="42">
        <v>0.20193</v>
      </c>
      <c r="E359" s="42">
        <v>0.25128</v>
      </c>
      <c r="F359" s="42">
        <v>0.23535</v>
      </c>
      <c r="G359" s="42">
        <v>0.22939000000000001</v>
      </c>
      <c r="H359" s="42">
        <v>0.23125999999999999</v>
      </c>
      <c r="I359" s="42">
        <v>0.23311999999999999</v>
      </c>
      <c r="J359" s="42">
        <v>0.22009000000000001</v>
      </c>
      <c r="L359" s="20">
        <v>757</v>
      </c>
      <c r="M359">
        <f t="shared" si="41"/>
        <v>0.91356000000000004</v>
      </c>
      <c r="N359">
        <f t="shared" si="42"/>
        <v>0.80771999999999999</v>
      </c>
      <c r="O359">
        <f t="shared" si="43"/>
        <v>1.00512</v>
      </c>
      <c r="P359">
        <f t="shared" si="44"/>
        <v>0.94140000000000001</v>
      </c>
      <c r="Q359">
        <f t="shared" si="45"/>
        <v>0.91756000000000004</v>
      </c>
      <c r="R359">
        <f t="shared" si="46"/>
        <v>0.92503999999999997</v>
      </c>
      <c r="S359">
        <f t="shared" si="47"/>
        <v>0.93247999999999998</v>
      </c>
      <c r="T359">
        <f t="shared" si="48"/>
        <v>0.88036000000000003</v>
      </c>
    </row>
    <row r="360" spans="2:20" x14ac:dyDescent="0.35">
      <c r="B360" s="42">
        <v>758</v>
      </c>
      <c r="C360" s="42">
        <v>0.22806999999999999</v>
      </c>
      <c r="D360" s="42">
        <v>0.20164000000000001</v>
      </c>
      <c r="E360" s="42">
        <v>0.25092999999999999</v>
      </c>
      <c r="F360" s="42">
        <v>0.23494000000000001</v>
      </c>
      <c r="G360" s="42">
        <v>0.22908000000000001</v>
      </c>
      <c r="H360" s="42">
        <v>0.23099</v>
      </c>
      <c r="I360" s="42">
        <v>0.23277</v>
      </c>
      <c r="J360" s="42">
        <v>0.21976000000000001</v>
      </c>
      <c r="L360" s="20">
        <v>758</v>
      </c>
      <c r="M360">
        <f t="shared" si="41"/>
        <v>0.91227999999999998</v>
      </c>
      <c r="N360">
        <f t="shared" si="42"/>
        <v>0.80656000000000005</v>
      </c>
      <c r="O360">
        <f t="shared" si="43"/>
        <v>1.0037199999999999</v>
      </c>
      <c r="P360">
        <f t="shared" si="44"/>
        <v>0.93976000000000004</v>
      </c>
      <c r="Q360">
        <f t="shared" si="45"/>
        <v>0.91632000000000002</v>
      </c>
      <c r="R360">
        <f t="shared" si="46"/>
        <v>0.92396</v>
      </c>
      <c r="S360">
        <f t="shared" si="47"/>
        <v>0.93108000000000002</v>
      </c>
      <c r="T360">
        <f t="shared" si="48"/>
        <v>0.87904000000000004</v>
      </c>
    </row>
    <row r="361" spans="2:20" x14ac:dyDescent="0.35">
      <c r="B361" s="42">
        <v>759</v>
      </c>
      <c r="C361" s="42">
        <v>0.22783</v>
      </c>
      <c r="D361" s="42">
        <v>0.20135</v>
      </c>
      <c r="E361" s="42">
        <v>0.25063999999999997</v>
      </c>
      <c r="F361" s="42">
        <v>0.23471</v>
      </c>
      <c r="G361" s="42">
        <v>0.22885</v>
      </c>
      <c r="H361" s="42">
        <v>0.23071</v>
      </c>
      <c r="I361" s="42">
        <v>0.23244999999999999</v>
      </c>
      <c r="J361" s="42">
        <v>0.2195</v>
      </c>
      <c r="L361" s="20">
        <v>759</v>
      </c>
      <c r="M361">
        <f t="shared" si="41"/>
        <v>0.91132000000000002</v>
      </c>
      <c r="N361">
        <f t="shared" si="42"/>
        <v>0.8054</v>
      </c>
      <c r="O361">
        <f t="shared" si="43"/>
        <v>1.0025599999999999</v>
      </c>
      <c r="P361">
        <f t="shared" si="44"/>
        <v>0.93884000000000001</v>
      </c>
      <c r="Q361">
        <f t="shared" si="45"/>
        <v>0.91539999999999999</v>
      </c>
      <c r="R361">
        <f t="shared" si="46"/>
        <v>0.92283999999999999</v>
      </c>
      <c r="S361">
        <f t="shared" si="47"/>
        <v>0.92979999999999996</v>
      </c>
      <c r="T361">
        <f t="shared" si="48"/>
        <v>0.878</v>
      </c>
    </row>
    <row r="362" spans="2:20" x14ac:dyDescent="0.35">
      <c r="B362" s="42">
        <v>760</v>
      </c>
      <c r="C362" s="42">
        <v>0.22745000000000001</v>
      </c>
      <c r="D362" s="42">
        <v>0.20108000000000001</v>
      </c>
      <c r="E362" s="42">
        <v>0.25030999999999998</v>
      </c>
      <c r="F362" s="42">
        <v>0.23433000000000001</v>
      </c>
      <c r="G362" s="42">
        <v>0.22855</v>
      </c>
      <c r="H362" s="42">
        <v>0.23036000000000001</v>
      </c>
      <c r="I362" s="42">
        <v>0.23216000000000001</v>
      </c>
      <c r="J362" s="42">
        <v>0.21918000000000001</v>
      </c>
      <c r="L362" s="20">
        <v>760</v>
      </c>
      <c r="M362">
        <f t="shared" si="41"/>
        <v>0.90980000000000005</v>
      </c>
      <c r="N362">
        <f t="shared" si="42"/>
        <v>0.80432000000000003</v>
      </c>
      <c r="O362">
        <f t="shared" si="43"/>
        <v>1.0012399999999999</v>
      </c>
      <c r="P362">
        <f t="shared" si="44"/>
        <v>0.93732000000000004</v>
      </c>
      <c r="Q362">
        <f t="shared" si="45"/>
        <v>0.91420000000000001</v>
      </c>
      <c r="R362">
        <f t="shared" si="46"/>
        <v>0.92144000000000004</v>
      </c>
      <c r="S362">
        <f t="shared" si="47"/>
        <v>0.92864000000000002</v>
      </c>
      <c r="T362">
        <f t="shared" si="48"/>
        <v>0.87672000000000005</v>
      </c>
    </row>
    <row r="363" spans="2:20" x14ac:dyDescent="0.35">
      <c r="B363" s="42">
        <v>761</v>
      </c>
      <c r="C363" s="42">
        <v>0.22733999999999999</v>
      </c>
      <c r="D363" s="42">
        <v>0.20094000000000001</v>
      </c>
      <c r="E363" s="42">
        <v>0.25014999999999998</v>
      </c>
      <c r="F363" s="42">
        <v>0.23402000000000001</v>
      </c>
      <c r="G363" s="42">
        <v>0.22838</v>
      </c>
      <c r="H363" s="42">
        <v>0.23013</v>
      </c>
      <c r="I363" s="42">
        <v>0.23191999999999999</v>
      </c>
      <c r="J363" s="42">
        <v>0.21901999999999999</v>
      </c>
      <c r="L363" s="20">
        <v>761</v>
      </c>
      <c r="M363">
        <f t="shared" si="41"/>
        <v>0.90935999999999995</v>
      </c>
      <c r="N363">
        <f t="shared" si="42"/>
        <v>0.80376000000000003</v>
      </c>
      <c r="O363">
        <f t="shared" si="43"/>
        <v>1.0005999999999999</v>
      </c>
      <c r="P363">
        <f t="shared" si="44"/>
        <v>0.93608000000000002</v>
      </c>
      <c r="Q363">
        <f t="shared" si="45"/>
        <v>0.91352</v>
      </c>
      <c r="R363">
        <f t="shared" si="46"/>
        <v>0.92052</v>
      </c>
      <c r="S363">
        <f t="shared" si="47"/>
        <v>0.92767999999999995</v>
      </c>
      <c r="T363">
        <f t="shared" si="48"/>
        <v>0.87607999999999997</v>
      </c>
    </row>
    <row r="364" spans="2:20" x14ac:dyDescent="0.35">
      <c r="B364" s="42">
        <v>762</v>
      </c>
      <c r="C364" s="42">
        <v>0.22691</v>
      </c>
      <c r="D364" s="42">
        <v>0.20053000000000001</v>
      </c>
      <c r="E364" s="42">
        <v>0.24976999999999999</v>
      </c>
      <c r="F364" s="42">
        <v>0.23366999999999999</v>
      </c>
      <c r="G364" s="42">
        <v>0.22794</v>
      </c>
      <c r="H364" s="42">
        <v>0.22977</v>
      </c>
      <c r="I364" s="42">
        <v>0.23150999999999999</v>
      </c>
      <c r="J364" s="42">
        <v>0.21864</v>
      </c>
      <c r="L364" s="20">
        <v>762</v>
      </c>
      <c r="M364">
        <f t="shared" si="41"/>
        <v>0.90764</v>
      </c>
      <c r="N364">
        <f t="shared" si="42"/>
        <v>0.80212000000000006</v>
      </c>
      <c r="O364">
        <f t="shared" si="43"/>
        <v>0.99907999999999997</v>
      </c>
      <c r="P364">
        <f t="shared" si="44"/>
        <v>0.93467999999999996</v>
      </c>
      <c r="Q364">
        <f t="shared" si="45"/>
        <v>0.91176000000000001</v>
      </c>
      <c r="R364">
        <f t="shared" si="46"/>
        <v>0.91908000000000001</v>
      </c>
      <c r="S364">
        <f t="shared" si="47"/>
        <v>0.92603999999999997</v>
      </c>
      <c r="T364">
        <f t="shared" si="48"/>
        <v>0.87456</v>
      </c>
    </row>
    <row r="365" spans="2:20" x14ac:dyDescent="0.35">
      <c r="B365" s="42">
        <v>763</v>
      </c>
      <c r="C365" s="42">
        <v>0.22659000000000001</v>
      </c>
      <c r="D365" s="42">
        <v>0.20022999999999999</v>
      </c>
      <c r="E365" s="42">
        <v>0.24945000000000001</v>
      </c>
      <c r="F365" s="42">
        <v>0.23333999999999999</v>
      </c>
      <c r="G365" s="42">
        <v>0.22772000000000001</v>
      </c>
      <c r="H365" s="42">
        <v>0.22946</v>
      </c>
      <c r="I365" s="42">
        <v>0.23119000000000001</v>
      </c>
      <c r="J365" s="42">
        <v>0.21834000000000001</v>
      </c>
      <c r="L365" s="20">
        <v>763</v>
      </c>
      <c r="M365">
        <f t="shared" si="41"/>
        <v>0.90636000000000005</v>
      </c>
      <c r="N365">
        <f t="shared" si="42"/>
        <v>0.80091999999999997</v>
      </c>
      <c r="O365">
        <f t="shared" si="43"/>
        <v>0.99780000000000002</v>
      </c>
      <c r="P365">
        <f t="shared" si="44"/>
        <v>0.93335999999999997</v>
      </c>
      <c r="Q365">
        <f t="shared" si="45"/>
        <v>0.91088000000000002</v>
      </c>
      <c r="R365">
        <f t="shared" si="46"/>
        <v>0.91783999999999999</v>
      </c>
      <c r="S365">
        <f t="shared" si="47"/>
        <v>0.92476000000000003</v>
      </c>
      <c r="T365">
        <f t="shared" si="48"/>
        <v>0.87336000000000003</v>
      </c>
    </row>
    <row r="366" spans="2:20" x14ac:dyDescent="0.35">
      <c r="B366" s="42">
        <v>764</v>
      </c>
      <c r="C366" s="42">
        <v>0.22628999999999999</v>
      </c>
      <c r="D366" s="42">
        <v>0.19989000000000001</v>
      </c>
      <c r="E366" s="42">
        <v>0.24909999999999999</v>
      </c>
      <c r="F366" s="42">
        <v>0.23302</v>
      </c>
      <c r="G366" s="42">
        <v>0.22728000000000001</v>
      </c>
      <c r="H366" s="42">
        <v>0.22911000000000001</v>
      </c>
      <c r="I366" s="42">
        <v>0.23083000000000001</v>
      </c>
      <c r="J366" s="42">
        <v>0.21793000000000001</v>
      </c>
      <c r="L366" s="20">
        <v>764</v>
      </c>
      <c r="M366">
        <f t="shared" si="41"/>
        <v>0.90515999999999996</v>
      </c>
      <c r="N366">
        <f t="shared" si="42"/>
        <v>0.79956000000000005</v>
      </c>
      <c r="O366">
        <f t="shared" si="43"/>
        <v>0.99639999999999995</v>
      </c>
      <c r="P366">
        <f t="shared" si="44"/>
        <v>0.93208000000000002</v>
      </c>
      <c r="Q366">
        <f t="shared" si="45"/>
        <v>0.90912000000000004</v>
      </c>
      <c r="R366">
        <f t="shared" si="46"/>
        <v>0.91644000000000003</v>
      </c>
      <c r="S366">
        <f t="shared" si="47"/>
        <v>0.92332000000000003</v>
      </c>
      <c r="T366">
        <f t="shared" si="48"/>
        <v>0.87172000000000005</v>
      </c>
    </row>
    <row r="367" spans="2:20" x14ac:dyDescent="0.35">
      <c r="B367" s="42">
        <v>765</v>
      </c>
      <c r="C367" s="42">
        <v>0.22591</v>
      </c>
      <c r="D367" s="42">
        <v>0.1996</v>
      </c>
      <c r="E367" s="42">
        <v>0.24872</v>
      </c>
      <c r="F367" s="42">
        <v>0.23265</v>
      </c>
      <c r="G367" s="42">
        <v>0.22697000000000001</v>
      </c>
      <c r="H367" s="42">
        <v>0.22878999999999999</v>
      </c>
      <c r="I367" s="42">
        <v>0.23047999999999999</v>
      </c>
      <c r="J367" s="42">
        <v>0.21756</v>
      </c>
      <c r="L367" s="20">
        <v>765</v>
      </c>
      <c r="M367">
        <f t="shared" si="41"/>
        <v>0.90364</v>
      </c>
      <c r="N367">
        <f t="shared" si="42"/>
        <v>0.7984</v>
      </c>
      <c r="O367">
        <f t="shared" si="43"/>
        <v>0.99487999999999999</v>
      </c>
      <c r="P367">
        <f t="shared" si="44"/>
        <v>0.93059999999999998</v>
      </c>
      <c r="Q367">
        <f t="shared" si="45"/>
        <v>0.90788000000000002</v>
      </c>
      <c r="R367">
        <f t="shared" si="46"/>
        <v>0.91515999999999997</v>
      </c>
      <c r="S367">
        <f t="shared" si="47"/>
        <v>0.92191999999999996</v>
      </c>
      <c r="T367">
        <f t="shared" si="48"/>
        <v>0.87024000000000001</v>
      </c>
    </row>
    <row r="368" spans="2:20" x14ac:dyDescent="0.35">
      <c r="B368" s="42">
        <v>766</v>
      </c>
      <c r="C368" s="42">
        <v>0.22561999999999999</v>
      </c>
      <c r="D368" s="42">
        <v>0.19936999999999999</v>
      </c>
      <c r="E368" s="42">
        <v>0.24845999999999999</v>
      </c>
      <c r="F368" s="42">
        <v>0.23241000000000001</v>
      </c>
      <c r="G368" s="42">
        <v>0.22678000000000001</v>
      </c>
      <c r="H368" s="42">
        <v>0.22856000000000001</v>
      </c>
      <c r="I368" s="42">
        <v>0.23021</v>
      </c>
      <c r="J368" s="42">
        <v>0.21729999999999999</v>
      </c>
      <c r="L368" s="20">
        <v>766</v>
      </c>
      <c r="M368">
        <f t="shared" si="41"/>
        <v>0.90247999999999995</v>
      </c>
      <c r="N368">
        <f t="shared" si="42"/>
        <v>0.79747999999999997</v>
      </c>
      <c r="O368">
        <f t="shared" si="43"/>
        <v>0.99383999999999995</v>
      </c>
      <c r="P368">
        <f t="shared" si="44"/>
        <v>0.92964000000000002</v>
      </c>
      <c r="Q368">
        <f t="shared" si="45"/>
        <v>0.90712000000000004</v>
      </c>
      <c r="R368">
        <f t="shared" si="46"/>
        <v>0.91424000000000005</v>
      </c>
      <c r="S368">
        <f t="shared" si="47"/>
        <v>0.92083999999999999</v>
      </c>
      <c r="T368">
        <f t="shared" si="48"/>
        <v>0.86919999999999997</v>
      </c>
    </row>
    <row r="369" spans="2:20" x14ac:dyDescent="0.35">
      <c r="B369" s="42">
        <v>767</v>
      </c>
      <c r="C369" s="42">
        <v>0.22527</v>
      </c>
      <c r="D369" s="42">
        <v>0.19903999999999999</v>
      </c>
      <c r="E369" s="42">
        <v>0.24811</v>
      </c>
      <c r="F369" s="42">
        <v>0.23202999999999999</v>
      </c>
      <c r="G369" s="42">
        <v>0.22639000000000001</v>
      </c>
      <c r="H369" s="42">
        <v>0.22813</v>
      </c>
      <c r="I369" s="42">
        <v>0.2298</v>
      </c>
      <c r="J369" s="42">
        <v>0.21695</v>
      </c>
      <c r="L369" s="20">
        <v>767</v>
      </c>
      <c r="M369">
        <f t="shared" si="41"/>
        <v>0.90107999999999999</v>
      </c>
      <c r="N369">
        <f t="shared" si="42"/>
        <v>0.79615999999999998</v>
      </c>
      <c r="O369">
        <f t="shared" si="43"/>
        <v>0.99243999999999999</v>
      </c>
      <c r="P369">
        <f t="shared" si="44"/>
        <v>0.92811999999999995</v>
      </c>
      <c r="Q369">
        <f t="shared" si="45"/>
        <v>0.90556000000000003</v>
      </c>
      <c r="R369">
        <f t="shared" si="46"/>
        <v>0.91252</v>
      </c>
      <c r="S369">
        <f t="shared" si="47"/>
        <v>0.91920000000000002</v>
      </c>
      <c r="T369">
        <f t="shared" si="48"/>
        <v>0.86780000000000002</v>
      </c>
    </row>
    <row r="370" spans="2:20" x14ac:dyDescent="0.35">
      <c r="B370" s="42">
        <v>768</v>
      </c>
      <c r="C370" s="42">
        <v>0.22492999999999999</v>
      </c>
      <c r="D370" s="42">
        <v>0.19868</v>
      </c>
      <c r="E370" s="42">
        <v>0.24776000000000001</v>
      </c>
      <c r="F370" s="42">
        <v>0.23166999999999999</v>
      </c>
      <c r="G370" s="42">
        <v>0.22606999999999999</v>
      </c>
      <c r="H370" s="42">
        <v>0.22775000000000001</v>
      </c>
      <c r="I370" s="42">
        <v>0.22946</v>
      </c>
      <c r="J370" s="42">
        <v>0.21662999999999999</v>
      </c>
      <c r="L370" s="20">
        <v>768</v>
      </c>
      <c r="M370">
        <f t="shared" si="41"/>
        <v>0.89971999999999996</v>
      </c>
      <c r="N370">
        <f t="shared" si="42"/>
        <v>0.79471999999999998</v>
      </c>
      <c r="O370">
        <f t="shared" si="43"/>
        <v>0.99104000000000003</v>
      </c>
      <c r="P370">
        <f t="shared" si="44"/>
        <v>0.92667999999999995</v>
      </c>
      <c r="Q370">
        <f t="shared" si="45"/>
        <v>0.90427999999999997</v>
      </c>
      <c r="R370">
        <f t="shared" si="46"/>
        <v>0.91100000000000003</v>
      </c>
      <c r="S370">
        <f t="shared" si="47"/>
        <v>0.91783999999999999</v>
      </c>
      <c r="T370">
        <f t="shared" si="48"/>
        <v>0.86651999999999996</v>
      </c>
    </row>
    <row r="371" spans="2:20" x14ac:dyDescent="0.35">
      <c r="B371" s="42">
        <v>769</v>
      </c>
      <c r="C371" s="42">
        <v>0.22461999999999999</v>
      </c>
      <c r="D371" s="42">
        <v>0.19835</v>
      </c>
      <c r="E371" s="42">
        <v>0.24745</v>
      </c>
      <c r="F371" s="42">
        <v>0.23139999999999999</v>
      </c>
      <c r="G371" s="42">
        <v>0.22577</v>
      </c>
      <c r="H371" s="42">
        <v>0.22755</v>
      </c>
      <c r="I371" s="42">
        <v>0.22914000000000001</v>
      </c>
      <c r="J371" s="42">
        <v>0.21637999999999999</v>
      </c>
      <c r="L371" s="20">
        <v>769</v>
      </c>
      <c r="M371">
        <f t="shared" si="41"/>
        <v>0.89847999999999995</v>
      </c>
      <c r="N371">
        <f t="shared" si="42"/>
        <v>0.79339999999999999</v>
      </c>
      <c r="O371">
        <f t="shared" si="43"/>
        <v>0.98980000000000001</v>
      </c>
      <c r="P371">
        <f t="shared" si="44"/>
        <v>0.92559999999999998</v>
      </c>
      <c r="Q371">
        <f t="shared" si="45"/>
        <v>0.90307999999999999</v>
      </c>
      <c r="R371">
        <f t="shared" si="46"/>
        <v>0.91020000000000001</v>
      </c>
      <c r="S371">
        <f t="shared" si="47"/>
        <v>0.91656000000000004</v>
      </c>
      <c r="T371">
        <f t="shared" si="48"/>
        <v>0.86551999999999996</v>
      </c>
    </row>
    <row r="372" spans="2:20" x14ac:dyDescent="0.35">
      <c r="B372" s="42">
        <v>770</v>
      </c>
      <c r="C372" s="42">
        <v>0.22428999999999999</v>
      </c>
      <c r="D372" s="42">
        <v>0.19806000000000001</v>
      </c>
      <c r="E372" s="42">
        <v>0.24712999999999999</v>
      </c>
      <c r="F372" s="42">
        <v>0.23105000000000001</v>
      </c>
      <c r="G372" s="42">
        <v>0.22549</v>
      </c>
      <c r="H372" s="42">
        <v>0.22722999999999999</v>
      </c>
      <c r="I372" s="42">
        <v>0.22881000000000001</v>
      </c>
      <c r="J372" s="42">
        <v>0.21603</v>
      </c>
      <c r="L372" s="20">
        <v>770</v>
      </c>
      <c r="M372">
        <f t="shared" si="41"/>
        <v>0.89715999999999996</v>
      </c>
      <c r="N372">
        <f t="shared" si="42"/>
        <v>0.79224000000000006</v>
      </c>
      <c r="O372">
        <f t="shared" si="43"/>
        <v>0.98851999999999995</v>
      </c>
      <c r="P372">
        <f t="shared" si="44"/>
        <v>0.92420000000000002</v>
      </c>
      <c r="Q372">
        <f t="shared" si="45"/>
        <v>0.90195999999999998</v>
      </c>
      <c r="R372">
        <f t="shared" si="46"/>
        <v>0.90891999999999995</v>
      </c>
      <c r="S372">
        <f t="shared" si="47"/>
        <v>0.91524000000000005</v>
      </c>
      <c r="T372">
        <f t="shared" si="48"/>
        <v>0.86412</v>
      </c>
    </row>
    <row r="373" spans="2:20" x14ac:dyDescent="0.35">
      <c r="B373" s="42">
        <v>771</v>
      </c>
      <c r="C373" s="42">
        <v>0.22403000000000001</v>
      </c>
      <c r="D373" s="42">
        <v>0.19785</v>
      </c>
      <c r="E373" s="42">
        <v>0.24686</v>
      </c>
      <c r="F373" s="42">
        <v>0.23074</v>
      </c>
      <c r="G373" s="42">
        <v>0.22525000000000001</v>
      </c>
      <c r="H373" s="42">
        <v>0.22686999999999999</v>
      </c>
      <c r="I373" s="42">
        <v>0.22856000000000001</v>
      </c>
      <c r="J373" s="42">
        <v>0.21576000000000001</v>
      </c>
      <c r="L373" s="20">
        <v>771</v>
      </c>
      <c r="M373">
        <f t="shared" si="41"/>
        <v>0.89612000000000003</v>
      </c>
      <c r="N373">
        <f t="shared" si="42"/>
        <v>0.79139999999999999</v>
      </c>
      <c r="O373">
        <f t="shared" si="43"/>
        <v>0.98743999999999998</v>
      </c>
      <c r="P373">
        <f t="shared" si="44"/>
        <v>0.92296</v>
      </c>
      <c r="Q373">
        <f t="shared" si="45"/>
        <v>0.90100000000000002</v>
      </c>
      <c r="R373">
        <f t="shared" si="46"/>
        <v>0.90747999999999995</v>
      </c>
      <c r="S373">
        <f t="shared" si="47"/>
        <v>0.91424000000000005</v>
      </c>
      <c r="T373">
        <f t="shared" si="48"/>
        <v>0.86304000000000003</v>
      </c>
    </row>
    <row r="374" spans="2:20" x14ac:dyDescent="0.35">
      <c r="B374" s="42">
        <v>772</v>
      </c>
      <c r="C374" s="42">
        <v>0.22366</v>
      </c>
      <c r="D374" s="42">
        <v>0.19753000000000001</v>
      </c>
      <c r="E374" s="42">
        <v>0.24648999999999999</v>
      </c>
      <c r="F374" s="42">
        <v>0.23044000000000001</v>
      </c>
      <c r="G374" s="42">
        <v>0.22486999999999999</v>
      </c>
      <c r="H374" s="42">
        <v>0.22655</v>
      </c>
      <c r="I374" s="42">
        <v>0.22811999999999999</v>
      </c>
      <c r="J374" s="42">
        <v>0.21535000000000001</v>
      </c>
      <c r="L374" s="20">
        <v>772</v>
      </c>
      <c r="M374">
        <f t="shared" si="41"/>
        <v>0.89463999999999999</v>
      </c>
      <c r="N374">
        <f t="shared" si="42"/>
        <v>0.79012000000000004</v>
      </c>
      <c r="O374">
        <f t="shared" si="43"/>
        <v>0.98595999999999995</v>
      </c>
      <c r="P374">
        <f t="shared" si="44"/>
        <v>0.92176000000000002</v>
      </c>
      <c r="Q374">
        <f t="shared" si="45"/>
        <v>0.89947999999999995</v>
      </c>
      <c r="R374">
        <f t="shared" si="46"/>
        <v>0.90620000000000001</v>
      </c>
      <c r="S374">
        <f t="shared" si="47"/>
        <v>0.91247999999999996</v>
      </c>
      <c r="T374">
        <f t="shared" si="48"/>
        <v>0.86140000000000005</v>
      </c>
    </row>
    <row r="375" spans="2:20" x14ac:dyDescent="0.35">
      <c r="B375" s="42">
        <v>773</v>
      </c>
      <c r="C375" s="42">
        <v>0.22336</v>
      </c>
      <c r="D375" s="42">
        <v>0.19719999999999999</v>
      </c>
      <c r="E375" s="42">
        <v>0.24606</v>
      </c>
      <c r="F375" s="42">
        <v>0.2301</v>
      </c>
      <c r="G375" s="42">
        <v>0.22450000000000001</v>
      </c>
      <c r="H375" s="42">
        <v>0.22620000000000001</v>
      </c>
      <c r="I375" s="42">
        <v>0.22774</v>
      </c>
      <c r="J375" s="42">
        <v>0.21509</v>
      </c>
      <c r="L375" s="20">
        <v>773</v>
      </c>
      <c r="M375">
        <f t="shared" si="41"/>
        <v>0.89344000000000001</v>
      </c>
      <c r="N375">
        <f t="shared" si="42"/>
        <v>0.78879999999999995</v>
      </c>
      <c r="O375">
        <f t="shared" si="43"/>
        <v>0.98424</v>
      </c>
      <c r="P375">
        <f t="shared" si="44"/>
        <v>0.9204</v>
      </c>
      <c r="Q375">
        <f t="shared" si="45"/>
        <v>0.89800000000000002</v>
      </c>
      <c r="R375">
        <f t="shared" si="46"/>
        <v>0.90480000000000005</v>
      </c>
      <c r="S375">
        <f t="shared" si="47"/>
        <v>0.91095999999999999</v>
      </c>
      <c r="T375">
        <f t="shared" si="48"/>
        <v>0.86036000000000001</v>
      </c>
    </row>
    <row r="376" spans="2:20" x14ac:dyDescent="0.35">
      <c r="B376" s="42">
        <v>774</v>
      </c>
      <c r="C376" s="42">
        <v>0.22302</v>
      </c>
      <c r="D376" s="42">
        <v>0.19688</v>
      </c>
      <c r="E376" s="42">
        <v>0.24579999999999999</v>
      </c>
      <c r="F376" s="42">
        <v>0.22977</v>
      </c>
      <c r="G376" s="42">
        <v>0.22423999999999999</v>
      </c>
      <c r="H376" s="42">
        <v>0.22591</v>
      </c>
      <c r="I376" s="42">
        <v>0.22749</v>
      </c>
      <c r="J376" s="42">
        <v>0.21476999999999999</v>
      </c>
      <c r="L376" s="20">
        <v>774</v>
      </c>
      <c r="M376">
        <f t="shared" si="41"/>
        <v>0.89207999999999998</v>
      </c>
      <c r="N376">
        <f t="shared" si="42"/>
        <v>0.78752</v>
      </c>
      <c r="O376">
        <f t="shared" si="43"/>
        <v>0.98319999999999996</v>
      </c>
      <c r="P376">
        <f t="shared" si="44"/>
        <v>0.91908000000000001</v>
      </c>
      <c r="Q376">
        <f t="shared" si="45"/>
        <v>0.89695999999999998</v>
      </c>
      <c r="R376">
        <f t="shared" si="46"/>
        <v>0.90364</v>
      </c>
      <c r="S376">
        <f t="shared" si="47"/>
        <v>0.90995999999999999</v>
      </c>
      <c r="T376">
        <f t="shared" si="48"/>
        <v>0.85907999999999995</v>
      </c>
    </row>
    <row r="377" spans="2:20" x14ac:dyDescent="0.35">
      <c r="B377" s="42">
        <v>775</v>
      </c>
      <c r="C377" s="42">
        <v>0.22273000000000001</v>
      </c>
      <c r="D377" s="42">
        <v>0.19661000000000001</v>
      </c>
      <c r="E377" s="42">
        <v>0.2455</v>
      </c>
      <c r="F377" s="42">
        <v>0.22944999999999999</v>
      </c>
      <c r="G377" s="42">
        <v>0.22392000000000001</v>
      </c>
      <c r="H377" s="42">
        <v>0.22559999999999999</v>
      </c>
      <c r="I377" s="42">
        <v>0.2271</v>
      </c>
      <c r="J377" s="42">
        <v>0.21445</v>
      </c>
      <c r="L377" s="20">
        <v>775</v>
      </c>
      <c r="M377">
        <f t="shared" si="41"/>
        <v>0.89092000000000005</v>
      </c>
      <c r="N377">
        <f t="shared" si="42"/>
        <v>0.78644000000000003</v>
      </c>
      <c r="O377">
        <f t="shared" si="43"/>
        <v>0.98199999999999998</v>
      </c>
      <c r="P377">
        <f t="shared" si="44"/>
        <v>0.91779999999999995</v>
      </c>
      <c r="Q377">
        <f t="shared" si="45"/>
        <v>0.89568000000000003</v>
      </c>
      <c r="R377">
        <f t="shared" si="46"/>
        <v>0.90239999999999998</v>
      </c>
      <c r="S377">
        <f t="shared" si="47"/>
        <v>0.90839999999999999</v>
      </c>
      <c r="T377">
        <f t="shared" si="48"/>
        <v>0.85780000000000001</v>
      </c>
    </row>
    <row r="378" spans="2:20" x14ac:dyDescent="0.35">
      <c r="B378" s="42">
        <v>776</v>
      </c>
      <c r="C378" s="42">
        <v>0.2225</v>
      </c>
      <c r="D378" s="42">
        <v>0.19635</v>
      </c>
      <c r="E378" s="42">
        <v>0.24518000000000001</v>
      </c>
      <c r="F378" s="42">
        <v>0.22916</v>
      </c>
      <c r="G378" s="42">
        <v>0.22369</v>
      </c>
      <c r="H378" s="42">
        <v>0.22533</v>
      </c>
      <c r="I378" s="42">
        <v>0.22689999999999999</v>
      </c>
      <c r="J378" s="42">
        <v>0.21421999999999999</v>
      </c>
      <c r="L378" s="20">
        <v>776</v>
      </c>
      <c r="M378">
        <f t="shared" si="41"/>
        <v>0.89</v>
      </c>
      <c r="N378">
        <f t="shared" si="42"/>
        <v>0.78539999999999999</v>
      </c>
      <c r="O378">
        <f t="shared" si="43"/>
        <v>0.98072000000000004</v>
      </c>
      <c r="P378">
        <f t="shared" si="44"/>
        <v>0.91664000000000001</v>
      </c>
      <c r="Q378">
        <f t="shared" si="45"/>
        <v>0.89476</v>
      </c>
      <c r="R378">
        <f t="shared" si="46"/>
        <v>0.90132000000000001</v>
      </c>
      <c r="S378">
        <f t="shared" si="47"/>
        <v>0.90759999999999996</v>
      </c>
      <c r="T378">
        <f t="shared" si="48"/>
        <v>0.85687999999999998</v>
      </c>
    </row>
    <row r="379" spans="2:20" x14ac:dyDescent="0.35">
      <c r="B379" s="42">
        <v>777</v>
      </c>
      <c r="C379" s="42">
        <v>0.22226000000000001</v>
      </c>
      <c r="D379" s="42">
        <v>0.19624</v>
      </c>
      <c r="E379" s="42">
        <v>0.245</v>
      </c>
      <c r="F379" s="42">
        <v>0.22894</v>
      </c>
      <c r="G379" s="42">
        <v>0.22345999999999999</v>
      </c>
      <c r="H379" s="42">
        <v>0.22513</v>
      </c>
      <c r="I379" s="42">
        <v>0.22659000000000001</v>
      </c>
      <c r="J379" s="42">
        <v>0.21399000000000001</v>
      </c>
      <c r="L379" s="20">
        <v>777</v>
      </c>
      <c r="M379">
        <f t="shared" si="41"/>
        <v>0.88904000000000005</v>
      </c>
      <c r="N379">
        <f t="shared" si="42"/>
        <v>0.78495999999999999</v>
      </c>
      <c r="O379">
        <f t="shared" si="43"/>
        <v>0.98</v>
      </c>
      <c r="P379">
        <f t="shared" si="44"/>
        <v>0.91576000000000002</v>
      </c>
      <c r="Q379">
        <f t="shared" si="45"/>
        <v>0.89383999999999997</v>
      </c>
      <c r="R379">
        <f t="shared" si="46"/>
        <v>0.90051999999999999</v>
      </c>
      <c r="S379">
        <f t="shared" si="47"/>
        <v>0.90636000000000005</v>
      </c>
      <c r="T379">
        <f t="shared" si="48"/>
        <v>0.85596000000000005</v>
      </c>
    </row>
    <row r="380" spans="2:20" x14ac:dyDescent="0.35">
      <c r="B380" s="42">
        <v>778</v>
      </c>
      <c r="C380" s="42">
        <v>0.22194</v>
      </c>
      <c r="D380" s="42">
        <v>0.19591</v>
      </c>
      <c r="E380" s="42">
        <v>0.24465999999999999</v>
      </c>
      <c r="F380" s="42">
        <v>0.22858000000000001</v>
      </c>
      <c r="G380" s="42">
        <v>0.22317999999999999</v>
      </c>
      <c r="H380" s="42">
        <v>0.22472</v>
      </c>
      <c r="I380" s="42">
        <v>0.22622999999999999</v>
      </c>
      <c r="J380" s="42">
        <v>0.21365000000000001</v>
      </c>
      <c r="L380" s="20">
        <v>778</v>
      </c>
      <c r="M380">
        <f t="shared" si="41"/>
        <v>0.88775999999999999</v>
      </c>
      <c r="N380">
        <f t="shared" si="42"/>
        <v>0.78364</v>
      </c>
      <c r="O380">
        <f t="shared" si="43"/>
        <v>0.97863999999999995</v>
      </c>
      <c r="P380">
        <f t="shared" si="44"/>
        <v>0.91432000000000002</v>
      </c>
      <c r="Q380">
        <f t="shared" si="45"/>
        <v>0.89271999999999996</v>
      </c>
      <c r="R380">
        <f t="shared" si="46"/>
        <v>0.89888000000000001</v>
      </c>
      <c r="S380">
        <f t="shared" si="47"/>
        <v>0.90491999999999995</v>
      </c>
      <c r="T380">
        <f t="shared" si="48"/>
        <v>0.85460000000000003</v>
      </c>
    </row>
    <row r="381" spans="2:20" x14ac:dyDescent="0.35">
      <c r="B381" s="42">
        <v>779</v>
      </c>
      <c r="C381" s="42">
        <v>0.22153999999999999</v>
      </c>
      <c r="D381" s="42">
        <v>0.19550000000000001</v>
      </c>
      <c r="E381" s="42">
        <v>0.24429000000000001</v>
      </c>
      <c r="F381" s="42">
        <v>0.22819999999999999</v>
      </c>
      <c r="G381" s="42">
        <v>0.22281000000000001</v>
      </c>
      <c r="H381" s="42">
        <v>0.22438</v>
      </c>
      <c r="I381" s="42">
        <v>0.22585</v>
      </c>
      <c r="J381" s="42">
        <v>0.21329000000000001</v>
      </c>
      <c r="L381" s="20">
        <v>779</v>
      </c>
      <c r="M381">
        <f t="shared" si="41"/>
        <v>0.88615999999999995</v>
      </c>
      <c r="N381">
        <f t="shared" si="42"/>
        <v>0.78200000000000003</v>
      </c>
      <c r="O381">
        <f t="shared" si="43"/>
        <v>0.97716000000000003</v>
      </c>
      <c r="P381">
        <f t="shared" si="44"/>
        <v>0.91279999999999994</v>
      </c>
      <c r="Q381">
        <f t="shared" si="45"/>
        <v>0.89124000000000003</v>
      </c>
      <c r="R381">
        <f t="shared" si="46"/>
        <v>0.89751999999999998</v>
      </c>
      <c r="S381">
        <f t="shared" si="47"/>
        <v>0.90339999999999998</v>
      </c>
      <c r="T381">
        <f t="shared" si="48"/>
        <v>0.85316000000000003</v>
      </c>
    </row>
    <row r="382" spans="2:20" x14ac:dyDescent="0.35">
      <c r="B382" s="42">
        <v>780</v>
      </c>
      <c r="C382" s="42">
        <v>0.22125</v>
      </c>
      <c r="D382" s="42">
        <v>0.19533</v>
      </c>
      <c r="E382" s="42">
        <v>0.24403</v>
      </c>
      <c r="F382" s="42">
        <v>0.22797999999999999</v>
      </c>
      <c r="G382" s="42">
        <v>0.22261</v>
      </c>
      <c r="H382" s="42">
        <v>0.22411</v>
      </c>
      <c r="I382" s="42">
        <v>0.22553999999999999</v>
      </c>
      <c r="J382" s="42">
        <v>0.21307000000000001</v>
      </c>
      <c r="L382" s="20">
        <v>780</v>
      </c>
      <c r="M382">
        <f t="shared" si="41"/>
        <v>0.88500000000000001</v>
      </c>
      <c r="N382">
        <f t="shared" si="42"/>
        <v>0.78132000000000001</v>
      </c>
      <c r="O382">
        <f t="shared" si="43"/>
        <v>0.97611999999999999</v>
      </c>
      <c r="P382">
        <f t="shared" si="44"/>
        <v>0.91191999999999995</v>
      </c>
      <c r="Q382">
        <f t="shared" si="45"/>
        <v>0.89044000000000001</v>
      </c>
      <c r="R382">
        <f t="shared" si="46"/>
        <v>0.89644000000000001</v>
      </c>
      <c r="S382">
        <f t="shared" si="47"/>
        <v>0.90215999999999996</v>
      </c>
      <c r="T382">
        <f t="shared" si="48"/>
        <v>0.85228000000000004</v>
      </c>
    </row>
    <row r="383" spans="2:20" x14ac:dyDescent="0.35">
      <c r="B383" s="42">
        <v>781</v>
      </c>
      <c r="C383" s="42">
        <v>0.22092000000000001</v>
      </c>
      <c r="D383" s="42">
        <v>0.19503999999999999</v>
      </c>
      <c r="E383" s="42">
        <v>0.24368000000000001</v>
      </c>
      <c r="F383" s="42">
        <v>0.22766</v>
      </c>
      <c r="G383" s="42">
        <v>0.22226000000000001</v>
      </c>
      <c r="H383" s="42">
        <v>0.2238</v>
      </c>
      <c r="I383" s="42">
        <v>0.22522</v>
      </c>
      <c r="J383" s="42">
        <v>0.21274000000000001</v>
      </c>
      <c r="L383" s="20">
        <v>781</v>
      </c>
      <c r="M383">
        <f t="shared" si="41"/>
        <v>0.88368000000000002</v>
      </c>
      <c r="N383">
        <f t="shared" si="42"/>
        <v>0.78015999999999996</v>
      </c>
      <c r="O383">
        <f t="shared" si="43"/>
        <v>0.97472000000000003</v>
      </c>
      <c r="P383">
        <f t="shared" si="44"/>
        <v>0.91064000000000001</v>
      </c>
      <c r="Q383">
        <f t="shared" si="45"/>
        <v>0.88904000000000005</v>
      </c>
      <c r="R383">
        <f t="shared" si="46"/>
        <v>0.8952</v>
      </c>
      <c r="S383">
        <f t="shared" si="47"/>
        <v>0.90088000000000001</v>
      </c>
      <c r="T383">
        <f t="shared" si="48"/>
        <v>0.85096000000000005</v>
      </c>
    </row>
    <row r="384" spans="2:20" x14ac:dyDescent="0.35">
      <c r="B384" s="42">
        <v>782</v>
      </c>
      <c r="C384" s="42">
        <v>0.22062999999999999</v>
      </c>
      <c r="D384" s="42">
        <v>0.19475000000000001</v>
      </c>
      <c r="E384" s="42">
        <v>0.24340999999999999</v>
      </c>
      <c r="F384" s="42">
        <v>0.22728999999999999</v>
      </c>
      <c r="G384" s="42">
        <v>0.222</v>
      </c>
      <c r="H384" s="42">
        <v>0.22348000000000001</v>
      </c>
      <c r="I384" s="42">
        <v>0.22491</v>
      </c>
      <c r="J384" s="42">
        <v>0.21242</v>
      </c>
      <c r="L384" s="20">
        <v>782</v>
      </c>
      <c r="M384">
        <f t="shared" si="41"/>
        <v>0.88251999999999997</v>
      </c>
      <c r="N384">
        <f t="shared" si="42"/>
        <v>0.77900000000000003</v>
      </c>
      <c r="O384">
        <f t="shared" si="43"/>
        <v>0.97363999999999995</v>
      </c>
      <c r="P384">
        <f t="shared" si="44"/>
        <v>0.90915999999999997</v>
      </c>
      <c r="Q384">
        <f t="shared" si="45"/>
        <v>0.88800000000000001</v>
      </c>
      <c r="R384">
        <f t="shared" si="46"/>
        <v>0.89392000000000005</v>
      </c>
      <c r="S384">
        <f t="shared" si="47"/>
        <v>0.89964</v>
      </c>
      <c r="T384">
        <f t="shared" si="48"/>
        <v>0.84967999999999999</v>
      </c>
    </row>
    <row r="385" spans="2:20" x14ac:dyDescent="0.35">
      <c r="B385" s="42">
        <v>783</v>
      </c>
      <c r="C385" s="42">
        <v>0.22034000000000001</v>
      </c>
      <c r="D385" s="42">
        <v>0.19445999999999999</v>
      </c>
      <c r="E385" s="42">
        <v>0.24307000000000001</v>
      </c>
      <c r="F385" s="42">
        <v>0.22702</v>
      </c>
      <c r="G385" s="42">
        <v>0.22162000000000001</v>
      </c>
      <c r="H385" s="42">
        <v>0.22320999999999999</v>
      </c>
      <c r="I385" s="42">
        <v>0.22456000000000001</v>
      </c>
      <c r="J385" s="42">
        <v>0.21213000000000001</v>
      </c>
      <c r="L385" s="20">
        <v>783</v>
      </c>
      <c r="M385">
        <f t="shared" si="41"/>
        <v>0.88136000000000003</v>
      </c>
      <c r="N385">
        <f t="shared" si="42"/>
        <v>0.77783999999999998</v>
      </c>
      <c r="O385">
        <f t="shared" si="43"/>
        <v>0.97228000000000003</v>
      </c>
      <c r="P385">
        <f t="shared" si="44"/>
        <v>0.90808</v>
      </c>
      <c r="Q385">
        <f t="shared" si="45"/>
        <v>0.88648000000000005</v>
      </c>
      <c r="R385">
        <f t="shared" si="46"/>
        <v>0.89283999999999997</v>
      </c>
      <c r="S385">
        <f t="shared" si="47"/>
        <v>0.89824000000000004</v>
      </c>
      <c r="T385">
        <f t="shared" si="48"/>
        <v>0.84852000000000005</v>
      </c>
    </row>
    <row r="386" spans="2:20" x14ac:dyDescent="0.35">
      <c r="B386" s="42">
        <v>784</v>
      </c>
      <c r="C386" s="42">
        <v>0.22</v>
      </c>
      <c r="D386" s="42">
        <v>0.19414999999999999</v>
      </c>
      <c r="E386" s="42">
        <v>0.24278</v>
      </c>
      <c r="F386" s="42">
        <v>0.22670000000000001</v>
      </c>
      <c r="G386" s="42">
        <v>0.22134000000000001</v>
      </c>
      <c r="H386" s="42">
        <v>0.22284000000000001</v>
      </c>
      <c r="I386" s="42">
        <v>0.22423000000000001</v>
      </c>
      <c r="J386" s="42">
        <v>0.21179000000000001</v>
      </c>
      <c r="L386" s="20">
        <v>784</v>
      </c>
      <c r="M386">
        <f t="shared" si="41"/>
        <v>0.88</v>
      </c>
      <c r="N386">
        <f t="shared" si="42"/>
        <v>0.77659999999999996</v>
      </c>
      <c r="O386">
        <f t="shared" si="43"/>
        <v>0.97111999999999998</v>
      </c>
      <c r="P386">
        <f t="shared" si="44"/>
        <v>0.90680000000000005</v>
      </c>
      <c r="Q386">
        <f t="shared" si="45"/>
        <v>0.88536000000000004</v>
      </c>
      <c r="R386">
        <f t="shared" si="46"/>
        <v>0.89136000000000004</v>
      </c>
      <c r="S386">
        <f t="shared" si="47"/>
        <v>0.89692000000000005</v>
      </c>
      <c r="T386">
        <f t="shared" si="48"/>
        <v>0.84716000000000002</v>
      </c>
    </row>
    <row r="387" spans="2:20" x14ac:dyDescent="0.35">
      <c r="B387" s="42">
        <v>785</v>
      </c>
      <c r="C387" s="42">
        <v>0.21973999999999999</v>
      </c>
      <c r="D387" s="42">
        <v>0.19384999999999999</v>
      </c>
      <c r="E387" s="42">
        <v>0.24243000000000001</v>
      </c>
      <c r="F387" s="42">
        <v>0.22639000000000001</v>
      </c>
      <c r="G387" s="42">
        <v>0.22103999999999999</v>
      </c>
      <c r="H387" s="42">
        <v>0.2225</v>
      </c>
      <c r="I387" s="42">
        <v>0.22392000000000001</v>
      </c>
      <c r="J387" s="42">
        <v>0.21149999999999999</v>
      </c>
      <c r="L387" s="20">
        <v>785</v>
      </c>
      <c r="M387">
        <f t="shared" ref="M387:M402" si="49">C387*4</f>
        <v>0.87895999999999996</v>
      </c>
      <c r="N387">
        <f t="shared" ref="N387:N402" si="50">D387*4</f>
        <v>0.77539999999999998</v>
      </c>
      <c r="O387">
        <f t="shared" ref="O387:O402" si="51">E387*4</f>
        <v>0.96972000000000003</v>
      </c>
      <c r="P387">
        <f t="shared" ref="P387:P402" si="52">F387*4</f>
        <v>0.90556000000000003</v>
      </c>
      <c r="Q387">
        <f t="shared" ref="Q387:Q402" si="53">G387*4</f>
        <v>0.88415999999999995</v>
      </c>
      <c r="R387">
        <f t="shared" ref="R387:R402" si="54">H387*4</f>
        <v>0.89</v>
      </c>
      <c r="S387">
        <f t="shared" ref="S387:S402" si="55">I387*4</f>
        <v>0.89568000000000003</v>
      </c>
      <c r="T387">
        <f t="shared" ref="T387:T402" si="56">J387*4</f>
        <v>0.84599999999999997</v>
      </c>
    </row>
    <row r="388" spans="2:20" x14ac:dyDescent="0.35">
      <c r="B388" s="42">
        <v>786</v>
      </c>
      <c r="C388" s="42">
        <v>0.21954000000000001</v>
      </c>
      <c r="D388" s="42">
        <v>0.19359000000000001</v>
      </c>
      <c r="E388" s="42">
        <v>0.24218999999999999</v>
      </c>
      <c r="F388" s="42">
        <v>0.2261</v>
      </c>
      <c r="G388" s="42">
        <v>0.22081000000000001</v>
      </c>
      <c r="H388" s="42">
        <v>0.22227</v>
      </c>
      <c r="I388" s="42">
        <v>0.22359999999999999</v>
      </c>
      <c r="J388" s="42">
        <v>0.21117</v>
      </c>
      <c r="L388" s="20">
        <v>786</v>
      </c>
      <c r="M388">
        <f t="shared" si="49"/>
        <v>0.87816000000000005</v>
      </c>
      <c r="N388">
        <f t="shared" si="50"/>
        <v>0.77436000000000005</v>
      </c>
      <c r="O388">
        <f t="shared" si="51"/>
        <v>0.96875999999999995</v>
      </c>
      <c r="P388">
        <f t="shared" si="52"/>
        <v>0.90439999999999998</v>
      </c>
      <c r="Q388">
        <f t="shared" si="53"/>
        <v>0.88324000000000003</v>
      </c>
      <c r="R388">
        <f t="shared" si="54"/>
        <v>0.88907999999999998</v>
      </c>
      <c r="S388">
        <f t="shared" si="55"/>
        <v>0.89439999999999997</v>
      </c>
      <c r="T388">
        <f t="shared" si="56"/>
        <v>0.84467999999999999</v>
      </c>
    </row>
    <row r="389" spans="2:20" x14ac:dyDescent="0.35">
      <c r="B389" s="42">
        <v>787</v>
      </c>
      <c r="C389" s="42">
        <v>0.21923999999999999</v>
      </c>
      <c r="D389" s="42">
        <v>0.19334000000000001</v>
      </c>
      <c r="E389" s="42">
        <v>0.24184</v>
      </c>
      <c r="F389" s="42">
        <v>0.22577</v>
      </c>
      <c r="G389" s="42">
        <v>0.22048999999999999</v>
      </c>
      <c r="H389" s="42">
        <v>0.22195000000000001</v>
      </c>
      <c r="I389" s="42">
        <v>0.2233</v>
      </c>
      <c r="J389" s="42">
        <v>0.21088000000000001</v>
      </c>
      <c r="L389" s="20">
        <v>787</v>
      </c>
      <c r="M389">
        <f t="shared" si="49"/>
        <v>0.87695999999999996</v>
      </c>
      <c r="N389">
        <f t="shared" si="50"/>
        <v>0.77336000000000005</v>
      </c>
      <c r="O389">
        <f t="shared" si="51"/>
        <v>0.96736</v>
      </c>
      <c r="P389">
        <f t="shared" si="52"/>
        <v>0.90307999999999999</v>
      </c>
      <c r="Q389">
        <f t="shared" si="53"/>
        <v>0.88195999999999997</v>
      </c>
      <c r="R389">
        <f t="shared" si="54"/>
        <v>0.88780000000000003</v>
      </c>
      <c r="S389">
        <f t="shared" si="55"/>
        <v>0.89319999999999999</v>
      </c>
      <c r="T389">
        <f t="shared" si="56"/>
        <v>0.84352000000000005</v>
      </c>
    </row>
    <row r="390" spans="2:20" x14ac:dyDescent="0.35">
      <c r="B390" s="42">
        <v>788</v>
      </c>
      <c r="C390" s="42">
        <v>0.21892</v>
      </c>
      <c r="D390" s="42">
        <v>0.19308</v>
      </c>
      <c r="E390" s="42">
        <v>0.24152000000000001</v>
      </c>
      <c r="F390" s="42">
        <v>0.22545999999999999</v>
      </c>
      <c r="G390" s="42">
        <v>0.22028</v>
      </c>
      <c r="H390" s="42">
        <v>0.22162000000000001</v>
      </c>
      <c r="I390" s="42">
        <v>0.22298000000000001</v>
      </c>
      <c r="J390" s="42">
        <v>0.21059</v>
      </c>
      <c r="L390" s="20">
        <v>788</v>
      </c>
      <c r="M390">
        <f t="shared" si="49"/>
        <v>0.87568000000000001</v>
      </c>
      <c r="N390">
        <f t="shared" si="50"/>
        <v>0.77232000000000001</v>
      </c>
      <c r="O390">
        <f t="shared" si="51"/>
        <v>0.96608000000000005</v>
      </c>
      <c r="P390">
        <f t="shared" si="52"/>
        <v>0.90183999999999997</v>
      </c>
      <c r="Q390">
        <f t="shared" si="53"/>
        <v>0.88112000000000001</v>
      </c>
      <c r="R390">
        <f t="shared" si="54"/>
        <v>0.88648000000000005</v>
      </c>
      <c r="S390">
        <f t="shared" si="55"/>
        <v>0.89192000000000005</v>
      </c>
      <c r="T390">
        <f t="shared" si="56"/>
        <v>0.84236</v>
      </c>
    </row>
    <row r="391" spans="2:20" x14ac:dyDescent="0.35">
      <c r="B391" s="42">
        <v>789</v>
      </c>
      <c r="C391" s="42">
        <v>0.21858</v>
      </c>
      <c r="D391" s="42">
        <v>0.19281000000000001</v>
      </c>
      <c r="E391" s="42">
        <v>0.24117</v>
      </c>
      <c r="F391" s="42">
        <v>0.22520000000000001</v>
      </c>
      <c r="G391" s="42">
        <v>0.21989</v>
      </c>
      <c r="H391" s="42">
        <v>0.22137000000000001</v>
      </c>
      <c r="I391" s="42">
        <v>0.22270000000000001</v>
      </c>
      <c r="J391" s="42">
        <v>0.21027999999999999</v>
      </c>
      <c r="L391" s="20">
        <v>789</v>
      </c>
      <c r="M391">
        <f t="shared" si="49"/>
        <v>0.87431999999999999</v>
      </c>
      <c r="N391">
        <f t="shared" si="50"/>
        <v>0.77124000000000004</v>
      </c>
      <c r="O391">
        <f t="shared" si="51"/>
        <v>0.96467999999999998</v>
      </c>
      <c r="P391">
        <f t="shared" si="52"/>
        <v>0.90080000000000005</v>
      </c>
      <c r="Q391">
        <f t="shared" si="53"/>
        <v>0.87956000000000001</v>
      </c>
      <c r="R391">
        <f t="shared" si="54"/>
        <v>0.88548000000000004</v>
      </c>
      <c r="S391">
        <f t="shared" si="55"/>
        <v>0.89080000000000004</v>
      </c>
      <c r="T391">
        <f t="shared" si="56"/>
        <v>0.84111999999999998</v>
      </c>
    </row>
    <row r="392" spans="2:20" x14ac:dyDescent="0.35">
      <c r="B392" s="42">
        <v>790</v>
      </c>
      <c r="C392" s="42">
        <v>0.21822</v>
      </c>
      <c r="D392" s="42">
        <v>0.19247</v>
      </c>
      <c r="E392" s="42">
        <v>0.24084</v>
      </c>
      <c r="F392" s="42">
        <v>0.22478999999999999</v>
      </c>
      <c r="G392" s="42">
        <v>0.21959999999999999</v>
      </c>
      <c r="H392" s="42">
        <v>0.22101000000000001</v>
      </c>
      <c r="I392" s="42">
        <v>0.22228999999999999</v>
      </c>
      <c r="J392" s="42">
        <v>0.20996000000000001</v>
      </c>
      <c r="L392" s="20">
        <v>790</v>
      </c>
      <c r="M392">
        <f t="shared" si="49"/>
        <v>0.87287999999999999</v>
      </c>
      <c r="N392">
        <f t="shared" si="50"/>
        <v>0.76988000000000001</v>
      </c>
      <c r="O392">
        <f t="shared" si="51"/>
        <v>0.96335999999999999</v>
      </c>
      <c r="P392">
        <f t="shared" si="52"/>
        <v>0.89915999999999996</v>
      </c>
      <c r="Q392">
        <f t="shared" si="53"/>
        <v>0.87839999999999996</v>
      </c>
      <c r="R392">
        <f t="shared" si="54"/>
        <v>0.88404000000000005</v>
      </c>
      <c r="S392">
        <f t="shared" si="55"/>
        <v>0.88915999999999995</v>
      </c>
      <c r="T392">
        <f t="shared" si="56"/>
        <v>0.83984000000000003</v>
      </c>
    </row>
    <row r="393" spans="2:20" x14ac:dyDescent="0.35">
      <c r="B393" s="42">
        <v>791</v>
      </c>
      <c r="C393" s="42">
        <v>0.21787999999999999</v>
      </c>
      <c r="D393" s="42">
        <v>0.19220000000000001</v>
      </c>
      <c r="E393" s="42">
        <v>0.24052000000000001</v>
      </c>
      <c r="F393" s="42">
        <v>0.22455</v>
      </c>
      <c r="G393" s="42">
        <v>0.21926999999999999</v>
      </c>
      <c r="H393" s="42">
        <v>0.22078</v>
      </c>
      <c r="I393" s="42">
        <v>0.22203000000000001</v>
      </c>
      <c r="J393" s="42">
        <v>0.20968999999999999</v>
      </c>
      <c r="L393" s="20">
        <v>791</v>
      </c>
      <c r="M393">
        <f t="shared" si="49"/>
        <v>0.87151999999999996</v>
      </c>
      <c r="N393">
        <f t="shared" si="50"/>
        <v>0.76880000000000004</v>
      </c>
      <c r="O393">
        <f t="shared" si="51"/>
        <v>0.96208000000000005</v>
      </c>
      <c r="P393">
        <f t="shared" si="52"/>
        <v>0.8982</v>
      </c>
      <c r="Q393">
        <f t="shared" si="53"/>
        <v>0.87707999999999997</v>
      </c>
      <c r="R393">
        <f t="shared" si="54"/>
        <v>0.88312000000000002</v>
      </c>
      <c r="S393">
        <f t="shared" si="55"/>
        <v>0.88812000000000002</v>
      </c>
      <c r="T393">
        <f t="shared" si="56"/>
        <v>0.83875999999999995</v>
      </c>
    </row>
    <row r="394" spans="2:20" x14ac:dyDescent="0.35">
      <c r="B394" s="42">
        <v>792</v>
      </c>
      <c r="C394" s="42">
        <v>0.21764</v>
      </c>
      <c r="D394" s="42">
        <v>0.19191</v>
      </c>
      <c r="E394" s="42">
        <v>0.2402</v>
      </c>
      <c r="F394" s="42">
        <v>0.22423000000000001</v>
      </c>
      <c r="G394" s="42">
        <v>0.21893000000000001</v>
      </c>
      <c r="H394" s="42">
        <v>0.22044</v>
      </c>
      <c r="I394" s="42">
        <v>0.22170999999999999</v>
      </c>
      <c r="J394" s="42">
        <v>0.20938000000000001</v>
      </c>
      <c r="L394" s="20">
        <v>792</v>
      </c>
      <c r="M394">
        <f t="shared" si="49"/>
        <v>0.87056</v>
      </c>
      <c r="N394">
        <f t="shared" si="50"/>
        <v>0.76763999999999999</v>
      </c>
      <c r="O394">
        <f t="shared" si="51"/>
        <v>0.96079999999999999</v>
      </c>
      <c r="P394">
        <f t="shared" si="52"/>
        <v>0.89692000000000005</v>
      </c>
      <c r="Q394">
        <f t="shared" si="53"/>
        <v>0.87572000000000005</v>
      </c>
      <c r="R394">
        <f t="shared" si="54"/>
        <v>0.88175999999999999</v>
      </c>
      <c r="S394">
        <f t="shared" si="55"/>
        <v>0.88683999999999996</v>
      </c>
      <c r="T394">
        <f t="shared" si="56"/>
        <v>0.83752000000000004</v>
      </c>
    </row>
    <row r="395" spans="2:20" x14ac:dyDescent="0.35">
      <c r="B395" s="42">
        <v>793</v>
      </c>
      <c r="C395" s="42">
        <v>0.21737999999999999</v>
      </c>
      <c r="D395" s="42">
        <v>0.19167000000000001</v>
      </c>
      <c r="E395" s="42">
        <v>0.23993</v>
      </c>
      <c r="F395" s="42">
        <v>0.22392000000000001</v>
      </c>
      <c r="G395" s="42">
        <v>0.21867</v>
      </c>
      <c r="H395" s="42">
        <v>0.22020000000000001</v>
      </c>
      <c r="I395" s="42">
        <v>0.22139</v>
      </c>
      <c r="J395" s="42">
        <v>0.20909</v>
      </c>
      <c r="L395" s="20">
        <v>793</v>
      </c>
      <c r="M395">
        <f t="shared" si="49"/>
        <v>0.86951999999999996</v>
      </c>
      <c r="N395">
        <f t="shared" si="50"/>
        <v>0.76668000000000003</v>
      </c>
      <c r="O395">
        <f t="shared" si="51"/>
        <v>0.95972000000000002</v>
      </c>
      <c r="P395">
        <f t="shared" si="52"/>
        <v>0.89568000000000003</v>
      </c>
      <c r="Q395">
        <f t="shared" si="53"/>
        <v>0.87468000000000001</v>
      </c>
      <c r="R395">
        <f t="shared" si="54"/>
        <v>0.88080000000000003</v>
      </c>
      <c r="S395">
        <f t="shared" si="55"/>
        <v>0.88556000000000001</v>
      </c>
      <c r="T395">
        <f t="shared" si="56"/>
        <v>0.83635999999999999</v>
      </c>
    </row>
    <row r="396" spans="2:20" x14ac:dyDescent="0.35">
      <c r="B396" s="42">
        <v>794</v>
      </c>
      <c r="C396" s="42">
        <v>0.21703</v>
      </c>
      <c r="D396" s="42">
        <v>0.19137999999999999</v>
      </c>
      <c r="E396" s="42">
        <v>0.23962</v>
      </c>
      <c r="F396" s="42">
        <v>0.22362000000000001</v>
      </c>
      <c r="G396" s="42">
        <v>0.21834999999999999</v>
      </c>
      <c r="H396" s="42">
        <v>0.21986</v>
      </c>
      <c r="I396" s="42">
        <v>0.22108</v>
      </c>
      <c r="J396" s="42">
        <v>0.20877000000000001</v>
      </c>
      <c r="L396" s="20">
        <v>794</v>
      </c>
      <c r="M396">
        <f t="shared" si="49"/>
        <v>0.86812</v>
      </c>
      <c r="N396">
        <f t="shared" si="50"/>
        <v>0.76551999999999998</v>
      </c>
      <c r="O396">
        <f t="shared" si="51"/>
        <v>0.95848</v>
      </c>
      <c r="P396">
        <f t="shared" si="52"/>
        <v>0.89448000000000005</v>
      </c>
      <c r="Q396">
        <f t="shared" si="53"/>
        <v>0.87339999999999995</v>
      </c>
      <c r="R396">
        <f t="shared" si="54"/>
        <v>0.87944</v>
      </c>
      <c r="S396">
        <f t="shared" si="55"/>
        <v>0.88431999999999999</v>
      </c>
      <c r="T396">
        <f t="shared" si="56"/>
        <v>0.83508000000000004</v>
      </c>
    </row>
    <row r="397" spans="2:20" x14ac:dyDescent="0.35">
      <c r="B397" s="42">
        <v>795</v>
      </c>
      <c r="C397" s="42">
        <v>0.21672</v>
      </c>
      <c r="D397" s="42">
        <v>0.19112000000000001</v>
      </c>
      <c r="E397" s="42">
        <v>0.23929</v>
      </c>
      <c r="F397" s="42">
        <v>0.22331000000000001</v>
      </c>
      <c r="G397" s="42">
        <v>0.21806</v>
      </c>
      <c r="H397" s="42">
        <v>0.21954000000000001</v>
      </c>
      <c r="I397" s="42">
        <v>0.22073000000000001</v>
      </c>
      <c r="J397" s="42">
        <v>0.20852999999999999</v>
      </c>
      <c r="L397" s="20">
        <v>795</v>
      </c>
      <c r="M397">
        <f t="shared" si="49"/>
        <v>0.86687999999999998</v>
      </c>
      <c r="N397">
        <f t="shared" si="50"/>
        <v>0.76448000000000005</v>
      </c>
      <c r="O397">
        <f t="shared" si="51"/>
        <v>0.95716000000000001</v>
      </c>
      <c r="P397">
        <f t="shared" si="52"/>
        <v>0.89324000000000003</v>
      </c>
      <c r="Q397">
        <f t="shared" si="53"/>
        <v>0.87224000000000002</v>
      </c>
      <c r="R397">
        <f t="shared" si="54"/>
        <v>0.87816000000000005</v>
      </c>
      <c r="S397">
        <f t="shared" si="55"/>
        <v>0.88292000000000004</v>
      </c>
      <c r="T397">
        <f t="shared" si="56"/>
        <v>0.83411999999999997</v>
      </c>
    </row>
    <row r="398" spans="2:20" x14ac:dyDescent="0.35">
      <c r="B398" s="42">
        <v>796</v>
      </c>
      <c r="C398" s="42">
        <v>0.21651000000000001</v>
      </c>
      <c r="D398" s="42">
        <v>0.19098000000000001</v>
      </c>
      <c r="E398" s="42">
        <v>0.23905999999999999</v>
      </c>
      <c r="F398" s="42">
        <v>0.22311</v>
      </c>
      <c r="G398" s="42">
        <v>0.21784999999999999</v>
      </c>
      <c r="H398" s="42">
        <v>0.21939</v>
      </c>
      <c r="I398" s="42">
        <v>0.2205</v>
      </c>
      <c r="J398" s="42">
        <v>0.20837</v>
      </c>
      <c r="L398" s="20">
        <v>796</v>
      </c>
      <c r="M398">
        <f t="shared" si="49"/>
        <v>0.86604000000000003</v>
      </c>
      <c r="N398">
        <f t="shared" si="50"/>
        <v>0.76392000000000004</v>
      </c>
      <c r="O398">
        <f t="shared" si="51"/>
        <v>0.95623999999999998</v>
      </c>
      <c r="P398">
        <f t="shared" si="52"/>
        <v>0.89244000000000001</v>
      </c>
      <c r="Q398">
        <f t="shared" si="53"/>
        <v>0.87139999999999995</v>
      </c>
      <c r="R398">
        <f t="shared" si="54"/>
        <v>0.87756000000000001</v>
      </c>
      <c r="S398">
        <f t="shared" si="55"/>
        <v>0.88200000000000001</v>
      </c>
      <c r="T398">
        <f t="shared" si="56"/>
        <v>0.83348</v>
      </c>
    </row>
    <row r="399" spans="2:20" x14ac:dyDescent="0.35">
      <c r="B399" s="42">
        <v>797</v>
      </c>
      <c r="C399" s="42">
        <v>0.21623000000000001</v>
      </c>
      <c r="D399" s="42">
        <v>0.19069</v>
      </c>
      <c r="E399" s="42">
        <v>0.23877000000000001</v>
      </c>
      <c r="F399" s="42">
        <v>0.22281000000000001</v>
      </c>
      <c r="G399" s="42">
        <v>0.21747</v>
      </c>
      <c r="H399" s="42">
        <v>0.21906</v>
      </c>
      <c r="I399" s="42">
        <v>0.22014</v>
      </c>
      <c r="J399" s="42">
        <v>0.20805000000000001</v>
      </c>
      <c r="L399" s="20">
        <v>797</v>
      </c>
      <c r="M399">
        <f t="shared" si="49"/>
        <v>0.86492000000000002</v>
      </c>
      <c r="N399">
        <f t="shared" si="50"/>
        <v>0.76275999999999999</v>
      </c>
      <c r="O399">
        <f t="shared" si="51"/>
        <v>0.95508000000000004</v>
      </c>
      <c r="P399">
        <f t="shared" si="52"/>
        <v>0.89124000000000003</v>
      </c>
      <c r="Q399">
        <f t="shared" si="53"/>
        <v>0.86987999999999999</v>
      </c>
      <c r="R399">
        <f t="shared" si="54"/>
        <v>0.87624000000000002</v>
      </c>
      <c r="S399">
        <f t="shared" si="55"/>
        <v>0.88056000000000001</v>
      </c>
      <c r="T399">
        <f t="shared" si="56"/>
        <v>0.83220000000000005</v>
      </c>
    </row>
    <row r="400" spans="2:20" x14ac:dyDescent="0.35">
      <c r="B400" s="42">
        <v>798</v>
      </c>
      <c r="C400" s="42">
        <v>0.21593000000000001</v>
      </c>
      <c r="D400" s="42">
        <v>0.19037000000000001</v>
      </c>
      <c r="E400" s="42">
        <v>0.23843</v>
      </c>
      <c r="F400" s="42">
        <v>0.22253000000000001</v>
      </c>
      <c r="G400" s="42">
        <v>0.21726999999999999</v>
      </c>
      <c r="H400" s="42">
        <v>0.21872</v>
      </c>
      <c r="I400" s="42">
        <v>0.21986</v>
      </c>
      <c r="J400" s="42">
        <v>0.2077</v>
      </c>
      <c r="L400" s="20">
        <v>798</v>
      </c>
      <c r="M400">
        <f t="shared" si="49"/>
        <v>0.86372000000000004</v>
      </c>
      <c r="N400">
        <f t="shared" si="50"/>
        <v>0.76148000000000005</v>
      </c>
      <c r="O400">
        <f t="shared" si="51"/>
        <v>0.95372000000000001</v>
      </c>
      <c r="P400">
        <f t="shared" si="52"/>
        <v>0.89012000000000002</v>
      </c>
      <c r="Q400">
        <f t="shared" si="53"/>
        <v>0.86907999999999996</v>
      </c>
      <c r="R400">
        <f t="shared" si="54"/>
        <v>0.87487999999999999</v>
      </c>
      <c r="S400">
        <f t="shared" si="55"/>
        <v>0.87944</v>
      </c>
      <c r="T400">
        <f t="shared" si="56"/>
        <v>0.83079999999999998</v>
      </c>
    </row>
    <row r="401" spans="2:20" x14ac:dyDescent="0.35">
      <c r="B401" s="42">
        <v>799</v>
      </c>
      <c r="C401" s="42">
        <v>0.2157</v>
      </c>
      <c r="D401" s="42">
        <v>0.19014</v>
      </c>
      <c r="E401" s="42">
        <v>0.23813000000000001</v>
      </c>
      <c r="F401" s="42">
        <v>0.22226000000000001</v>
      </c>
      <c r="G401" s="42">
        <v>0.217</v>
      </c>
      <c r="H401" s="42">
        <v>0.21840999999999999</v>
      </c>
      <c r="I401" s="42">
        <v>0.21951000000000001</v>
      </c>
      <c r="J401" s="42">
        <v>0.20738000000000001</v>
      </c>
      <c r="L401" s="20">
        <v>799</v>
      </c>
      <c r="M401">
        <f t="shared" si="49"/>
        <v>0.86280000000000001</v>
      </c>
      <c r="N401">
        <f t="shared" si="50"/>
        <v>0.76056000000000001</v>
      </c>
      <c r="O401">
        <f t="shared" si="51"/>
        <v>0.95252000000000003</v>
      </c>
      <c r="P401">
        <f t="shared" si="52"/>
        <v>0.88904000000000005</v>
      </c>
      <c r="Q401">
        <f t="shared" si="53"/>
        <v>0.86799999999999999</v>
      </c>
      <c r="R401">
        <f t="shared" si="54"/>
        <v>0.87363999999999997</v>
      </c>
      <c r="S401">
        <f t="shared" si="55"/>
        <v>0.87804000000000004</v>
      </c>
      <c r="T401">
        <f t="shared" si="56"/>
        <v>0.82952000000000004</v>
      </c>
    </row>
    <row r="402" spans="2:20" x14ac:dyDescent="0.35">
      <c r="B402" s="42">
        <v>800</v>
      </c>
      <c r="C402" s="42">
        <v>0.21546999999999999</v>
      </c>
      <c r="D402" s="42">
        <v>0.18981999999999999</v>
      </c>
      <c r="E402" s="42">
        <v>0.23784</v>
      </c>
      <c r="F402" s="42">
        <v>0.22186</v>
      </c>
      <c r="G402" s="42">
        <v>0.21668999999999999</v>
      </c>
      <c r="H402" s="42">
        <v>0.21815000000000001</v>
      </c>
      <c r="I402" s="42">
        <v>0.21923999999999999</v>
      </c>
      <c r="J402" s="42">
        <v>0.20712</v>
      </c>
      <c r="L402" s="20">
        <v>800</v>
      </c>
      <c r="M402">
        <f t="shared" si="49"/>
        <v>0.86187999999999998</v>
      </c>
      <c r="N402">
        <f t="shared" si="50"/>
        <v>0.75927999999999995</v>
      </c>
      <c r="O402">
        <f t="shared" si="51"/>
        <v>0.95135999999999998</v>
      </c>
      <c r="P402">
        <f t="shared" si="52"/>
        <v>0.88744000000000001</v>
      </c>
      <c r="Q402">
        <f t="shared" si="53"/>
        <v>0.86675999999999997</v>
      </c>
      <c r="R402">
        <f t="shared" si="54"/>
        <v>0.87260000000000004</v>
      </c>
      <c r="S402">
        <f t="shared" si="55"/>
        <v>0.87695999999999996</v>
      </c>
      <c r="T402">
        <f t="shared" si="56"/>
        <v>0.82847999999999999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zoomScale="73" workbookViewId="0">
      <selection activeCell="K23" sqref="K23"/>
    </sheetView>
  </sheetViews>
  <sheetFormatPr defaultColWidth="8.7265625" defaultRowHeight="14.5" x14ac:dyDescent="0.35"/>
  <cols>
    <col min="1" max="1" width="13.453125" style="59" customWidth="1"/>
    <col min="2" max="3" width="8.453125" style="59" bestFit="1" customWidth="1"/>
    <col min="4" max="4" width="9.1796875" style="59" bestFit="1" customWidth="1"/>
    <col min="5" max="5" width="12.81640625" style="59" bestFit="1" customWidth="1"/>
    <col min="6" max="6" width="10.7265625" style="59" bestFit="1" customWidth="1"/>
    <col min="7" max="7" width="9.1796875" style="59" bestFit="1" customWidth="1"/>
    <col min="8" max="8" width="12.81640625" style="59" bestFit="1" customWidth="1"/>
    <col min="9" max="9" width="10.7265625" style="59" bestFit="1" customWidth="1"/>
    <col min="10" max="10" width="7.81640625" style="59" bestFit="1" customWidth="1"/>
    <col min="11" max="11" width="11.453125" style="59" bestFit="1" customWidth="1"/>
    <col min="12" max="12" width="8.453125" style="59" bestFit="1" customWidth="1"/>
    <col min="13" max="13" width="5.453125" style="59" bestFit="1" customWidth="1"/>
    <col min="14" max="16384" width="8.7265625" style="59"/>
  </cols>
  <sheetData>
    <row r="1" spans="1:11" x14ac:dyDescent="0.35">
      <c r="A1" s="53" t="s">
        <v>0</v>
      </c>
      <c r="B1" s="54" t="s">
        <v>16</v>
      </c>
      <c r="C1" s="54" t="s">
        <v>17</v>
      </c>
      <c r="D1" s="54" t="s">
        <v>18</v>
      </c>
      <c r="E1" s="54" t="s">
        <v>19</v>
      </c>
      <c r="F1" s="54" t="s">
        <v>20</v>
      </c>
      <c r="G1" s="54" t="s">
        <v>146</v>
      </c>
      <c r="H1" s="54" t="s">
        <v>145</v>
      </c>
      <c r="I1" s="54" t="s">
        <v>21</v>
      </c>
      <c r="J1" s="55" t="s">
        <v>147</v>
      </c>
      <c r="K1" s="47"/>
    </row>
    <row r="2" spans="1:11" x14ac:dyDescent="0.35">
      <c r="A2" s="56" t="s">
        <v>31</v>
      </c>
      <c r="B2" s="49">
        <v>1.03264</v>
      </c>
      <c r="C2" s="49">
        <v>1.1686399999999999</v>
      </c>
      <c r="D2" s="49">
        <v>1.1752800000000001</v>
      </c>
      <c r="E2" s="49">
        <v>0.95611999999999997</v>
      </c>
      <c r="F2" s="44">
        <f>(C2-E2-0.55*(B2-E2))/E2</f>
        <v>0.17825586746433494</v>
      </c>
      <c r="G2" s="44">
        <f>(D2-E2-0.28*(B2-E2))/E2</f>
        <v>0.20680918713132257</v>
      </c>
      <c r="H2" s="44">
        <f>G2/E2</f>
        <v>0.21630045091758626</v>
      </c>
      <c r="I2" s="44">
        <f>F2/E2</f>
        <v>0.18643671031286341</v>
      </c>
      <c r="J2" s="50">
        <f>F2/G2</f>
        <v>0.86193398821853862</v>
      </c>
      <c r="K2" s="48"/>
    </row>
    <row r="3" spans="1:11" x14ac:dyDescent="0.35">
      <c r="A3" s="56" t="s">
        <v>1</v>
      </c>
      <c r="B3" s="49">
        <v>0.9254</v>
      </c>
      <c r="C3" s="49">
        <v>1.044</v>
      </c>
      <c r="D3" s="49">
        <v>1.0476799999999999</v>
      </c>
      <c r="E3" s="49">
        <v>0.84772000000000003</v>
      </c>
      <c r="F3" s="44">
        <f>(C3-E3-0.55*(B3-E3))/E3</f>
        <v>0.18113999905629219</v>
      </c>
      <c r="G3" s="44">
        <f t="shared" ref="G3:G9" si="0">(D3-E3-0.28*(B3-E3))/E3</f>
        <v>0.21022224319350719</v>
      </c>
      <c r="H3" s="44">
        <f t="shared" ref="H3:H9" si="1">G3/E3</f>
        <v>0.24798547066662008</v>
      </c>
      <c r="I3" s="44">
        <f t="shared" ref="I3:I9" si="2">F3/E3</f>
        <v>0.21367904385444744</v>
      </c>
      <c r="J3" s="50">
        <f t="shared" ref="J3:J9" si="3">F3/G3</f>
        <v>0.86165952900404963</v>
      </c>
      <c r="K3" s="48"/>
    </row>
    <row r="4" spans="1:11" x14ac:dyDescent="0.35">
      <c r="A4" s="56" t="s">
        <v>2</v>
      </c>
      <c r="B4" s="49">
        <v>1.1162799999999999</v>
      </c>
      <c r="C4" s="49">
        <v>1.23708</v>
      </c>
      <c r="D4" s="49">
        <v>1.2492799999999999</v>
      </c>
      <c r="E4" s="49">
        <v>1.0460799999999999</v>
      </c>
      <c r="F4" s="44">
        <f t="shared" ref="F4:F9" si="4">(C4-E4-0.55*(B4-E4))/E4</f>
        <v>0.14567719486081374</v>
      </c>
      <c r="G4" s="44">
        <f t="shared" si="0"/>
        <v>0.1754588559192414</v>
      </c>
      <c r="H4" s="44">
        <f t="shared" si="1"/>
        <v>0.16772986379554281</v>
      </c>
      <c r="I4" s="44">
        <f t="shared" si="2"/>
        <v>0.13926008991741909</v>
      </c>
      <c r="J4" s="50">
        <f t="shared" si="3"/>
        <v>0.83026413285097844</v>
      </c>
      <c r="K4" s="48"/>
    </row>
    <row r="5" spans="1:11" x14ac:dyDescent="0.35">
      <c r="A5" s="56" t="s">
        <v>3</v>
      </c>
      <c r="B5" s="49">
        <v>1.06456</v>
      </c>
      <c r="C5" s="49">
        <v>1.1924399999999999</v>
      </c>
      <c r="D5" s="49">
        <v>1.1997199999999999</v>
      </c>
      <c r="E5" s="49">
        <v>0.98419999999999996</v>
      </c>
      <c r="F5" s="44">
        <f t="shared" si="4"/>
        <v>0.16667547246494616</v>
      </c>
      <c r="G5" s="44">
        <f t="shared" si="0"/>
        <v>0.19611786222312533</v>
      </c>
      <c r="H5" s="44">
        <f t="shared" si="1"/>
        <v>0.19926626927771321</v>
      </c>
      <c r="I5" s="44">
        <f t="shared" si="2"/>
        <v>0.16935122176889469</v>
      </c>
      <c r="J5" s="50">
        <f t="shared" si="3"/>
        <v>0.84987400217180498</v>
      </c>
      <c r="K5" s="48"/>
    </row>
    <row r="6" spans="1:11" x14ac:dyDescent="0.35">
      <c r="A6" s="56" t="s">
        <v>32</v>
      </c>
      <c r="B6" s="49">
        <v>1.0778000000000001</v>
      </c>
      <c r="C6" s="49">
        <v>1.1248800000000001</v>
      </c>
      <c r="D6" s="49">
        <v>1.1279999999999999</v>
      </c>
      <c r="E6" s="49">
        <v>0.95691999999999999</v>
      </c>
      <c r="F6" s="44">
        <f t="shared" si="4"/>
        <v>0.10604439242569917</v>
      </c>
      <c r="G6" s="44">
        <f t="shared" si="0"/>
        <v>0.1434117794590978</v>
      </c>
      <c r="H6" s="44">
        <f t="shared" si="1"/>
        <v>0.14986809708136292</v>
      </c>
      <c r="I6" s="44">
        <f t="shared" si="2"/>
        <v>0.11081845130804996</v>
      </c>
      <c r="J6" s="50">
        <f t="shared" si="3"/>
        <v>0.73943990393023384</v>
      </c>
      <c r="K6" s="48"/>
    </row>
    <row r="7" spans="1:11" x14ac:dyDescent="0.35">
      <c r="A7" s="56" t="s">
        <v>4</v>
      </c>
      <c r="B7" s="49">
        <v>1.09572</v>
      </c>
      <c r="C7" s="49">
        <v>1.1504000000000001</v>
      </c>
      <c r="D7" s="49">
        <v>1.15344</v>
      </c>
      <c r="E7" s="49">
        <v>0.96711999999999998</v>
      </c>
      <c r="F7" s="44">
        <f t="shared" si="4"/>
        <v>0.11637645793696758</v>
      </c>
      <c r="G7" s="44">
        <f t="shared" si="0"/>
        <v>0.15542228472164782</v>
      </c>
      <c r="H7" s="44">
        <f t="shared" si="1"/>
        <v>0.16070630813306294</v>
      </c>
      <c r="I7" s="44">
        <f t="shared" si="2"/>
        <v>0.12033300721416947</v>
      </c>
      <c r="J7" s="50">
        <f t="shared" si="3"/>
        <v>0.7487758795039654</v>
      </c>
      <c r="K7" s="48"/>
    </row>
    <row r="8" spans="1:11" x14ac:dyDescent="0.35">
      <c r="A8" s="56" t="s">
        <v>5</v>
      </c>
      <c r="B8" s="49">
        <v>1.1122000000000001</v>
      </c>
      <c r="C8" s="49">
        <v>1.1517200000000001</v>
      </c>
      <c r="D8" s="49">
        <v>1.1524000000000001</v>
      </c>
      <c r="E8" s="49">
        <v>0.97436</v>
      </c>
      <c r="F8" s="44">
        <f t="shared" si="4"/>
        <v>0.10422020608399363</v>
      </c>
      <c r="G8" s="44">
        <f t="shared" si="0"/>
        <v>0.14311424935342179</v>
      </c>
      <c r="H8" s="44">
        <f t="shared" si="1"/>
        <v>0.14688025919929162</v>
      </c>
      <c r="I8" s="44">
        <f t="shared" si="2"/>
        <v>0.1069627304938561</v>
      </c>
      <c r="J8" s="50">
        <f t="shared" si="3"/>
        <v>0.72823081247920318</v>
      </c>
      <c r="K8" s="48"/>
    </row>
    <row r="9" spans="1:11" ht="15" thickBot="1" x14ac:dyDescent="0.4">
      <c r="A9" s="57" t="s">
        <v>6</v>
      </c>
      <c r="B9" s="51">
        <v>1.05348</v>
      </c>
      <c r="C9" s="51">
        <v>1.0940399999999999</v>
      </c>
      <c r="D9" s="51">
        <v>1.0944799999999999</v>
      </c>
      <c r="E9" s="51">
        <v>0.92132000000000003</v>
      </c>
      <c r="F9" s="46">
        <f t="shared" si="4"/>
        <v>0.10857465375765195</v>
      </c>
      <c r="G9" s="46">
        <f t="shared" si="0"/>
        <v>0.1477827464941604</v>
      </c>
      <c r="H9" s="46">
        <f t="shared" si="1"/>
        <v>0.16040327627117656</v>
      </c>
      <c r="I9" s="46">
        <f t="shared" si="2"/>
        <v>0.11784684339605343</v>
      </c>
      <c r="J9" s="52">
        <f t="shared" si="3"/>
        <v>0.73469099968271501</v>
      </c>
      <c r="K9" s="48"/>
    </row>
    <row r="10" spans="1:11" x14ac:dyDescent="0.35">
      <c r="K10" s="60"/>
    </row>
    <row r="12" spans="1:11" ht="15" thickBot="1" x14ac:dyDescent="0.4"/>
    <row r="13" spans="1:11" x14ac:dyDescent="0.35">
      <c r="A13" s="53" t="s">
        <v>0</v>
      </c>
      <c r="B13" s="54" t="s">
        <v>19</v>
      </c>
      <c r="C13" s="54" t="s">
        <v>20</v>
      </c>
      <c r="D13" s="54" t="s">
        <v>146</v>
      </c>
      <c r="E13" s="54" t="s">
        <v>145</v>
      </c>
      <c r="F13" s="54" t="s">
        <v>21</v>
      </c>
      <c r="G13" s="55" t="s">
        <v>147</v>
      </c>
    </row>
    <row r="14" spans="1:11" x14ac:dyDescent="0.35">
      <c r="A14" s="56" t="s">
        <v>31</v>
      </c>
      <c r="B14" s="49">
        <v>0.95611999999999997</v>
      </c>
      <c r="C14" s="44">
        <v>0.17825586746433494</v>
      </c>
      <c r="D14" s="44">
        <v>0.20680918713132257</v>
      </c>
      <c r="E14" s="44">
        <v>0.21630045091758601</v>
      </c>
      <c r="F14" s="44">
        <v>0.18643671031286341</v>
      </c>
      <c r="G14" s="50">
        <v>0.86193398821853862</v>
      </c>
    </row>
    <row r="15" spans="1:11" x14ac:dyDescent="0.35">
      <c r="A15" s="56" t="s">
        <v>1</v>
      </c>
      <c r="B15" s="49">
        <v>0.84772000000000003</v>
      </c>
      <c r="C15" s="44">
        <v>0.18113999905629219</v>
      </c>
      <c r="D15" s="44">
        <v>0.21022224319350719</v>
      </c>
      <c r="E15" s="44">
        <v>0.24798547066662008</v>
      </c>
      <c r="F15" s="44">
        <v>0.21367904385444744</v>
      </c>
      <c r="G15" s="50">
        <v>0.86165952900404963</v>
      </c>
    </row>
    <row r="16" spans="1:11" x14ac:dyDescent="0.35">
      <c r="A16" s="56" t="s">
        <v>2</v>
      </c>
      <c r="B16" s="49">
        <v>1.0460799999999999</v>
      </c>
      <c r="C16" s="44">
        <v>0.14567719486081374</v>
      </c>
      <c r="D16" s="44">
        <v>0.1754588559192414</v>
      </c>
      <c r="E16" s="44">
        <v>0.16772986379554281</v>
      </c>
      <c r="F16" s="44">
        <v>0.13926008991741909</v>
      </c>
      <c r="G16" s="50">
        <v>0.83026413285097844</v>
      </c>
    </row>
    <row r="17" spans="1:8" x14ac:dyDescent="0.35">
      <c r="A17" s="56" t="s">
        <v>3</v>
      </c>
      <c r="B17" s="49">
        <v>0.98419999999999996</v>
      </c>
      <c r="C17" s="44">
        <v>0.16667547246494616</v>
      </c>
      <c r="D17" s="44">
        <v>0.19611786222312533</v>
      </c>
      <c r="E17" s="44">
        <v>0.19926626927771321</v>
      </c>
      <c r="F17" s="44">
        <v>0.16935122176889469</v>
      </c>
      <c r="G17" s="50">
        <v>0.84987400217180498</v>
      </c>
    </row>
    <row r="18" spans="1:8" x14ac:dyDescent="0.35">
      <c r="A18" s="56" t="s">
        <v>32</v>
      </c>
      <c r="B18" s="49">
        <v>0.95691999999999999</v>
      </c>
      <c r="C18" s="44">
        <v>0.10604439242569917</v>
      </c>
      <c r="D18" s="44">
        <v>0.1434117794590978</v>
      </c>
      <c r="E18" s="44">
        <v>0.14986809708136292</v>
      </c>
      <c r="F18" s="44">
        <v>0.11081845130804996</v>
      </c>
      <c r="G18" s="50">
        <v>0.73943990393023384</v>
      </c>
    </row>
    <row r="19" spans="1:8" x14ac:dyDescent="0.35">
      <c r="A19" s="56" t="s">
        <v>4</v>
      </c>
      <c r="B19" s="49">
        <v>0.96711999999999998</v>
      </c>
      <c r="C19" s="44">
        <v>0.11637645793696758</v>
      </c>
      <c r="D19" s="44">
        <v>0.15542228472164782</v>
      </c>
      <c r="E19" s="44">
        <v>0.16070630813306294</v>
      </c>
      <c r="F19" s="44">
        <v>0.12033300721416947</v>
      </c>
      <c r="G19" s="50">
        <v>0.7487758795039654</v>
      </c>
    </row>
    <row r="20" spans="1:8" x14ac:dyDescent="0.35">
      <c r="A20" s="56" t="s">
        <v>5</v>
      </c>
      <c r="B20" s="49">
        <v>0.97436</v>
      </c>
      <c r="C20" s="44">
        <v>0.10422020608399363</v>
      </c>
      <c r="D20" s="44">
        <v>0.14311424935342179</v>
      </c>
      <c r="E20" s="44">
        <v>0.14688025919929162</v>
      </c>
      <c r="F20" s="44">
        <v>0.1069627304938561</v>
      </c>
      <c r="G20" s="50">
        <v>0.72823081247920318</v>
      </c>
    </row>
    <row r="21" spans="1:8" ht="15" thickBot="1" x14ac:dyDescent="0.4">
      <c r="A21" s="57" t="s">
        <v>6</v>
      </c>
      <c r="B21" s="51">
        <v>0.92132000000000003</v>
      </c>
      <c r="C21" s="46">
        <v>0.10857465375765195</v>
      </c>
      <c r="D21" s="46">
        <v>0.1477827464941604</v>
      </c>
      <c r="E21" s="46">
        <v>0.16040327627117656</v>
      </c>
      <c r="F21" s="46">
        <v>0.11784684339605343</v>
      </c>
      <c r="G21" s="52">
        <v>0.73469099968271501</v>
      </c>
    </row>
    <row r="22" spans="1:8" x14ac:dyDescent="0.35">
      <c r="A22" s="61"/>
      <c r="B22" s="5"/>
      <c r="C22" s="5"/>
      <c r="D22" s="5"/>
      <c r="E22" s="5"/>
      <c r="F22" s="5"/>
      <c r="G22" s="5"/>
      <c r="H22" s="61"/>
    </row>
    <row r="23" spans="1:8" x14ac:dyDescent="0.35">
      <c r="A23" s="62"/>
      <c r="B23" s="5"/>
      <c r="C23" s="5"/>
      <c r="D23" s="5"/>
      <c r="E23" s="5"/>
      <c r="F23" s="5"/>
      <c r="G23" s="5"/>
      <c r="H23" s="61"/>
    </row>
    <row r="24" spans="1:8" ht="15" thickBot="1" x14ac:dyDescent="0.4">
      <c r="A24" s="58" t="s">
        <v>36</v>
      </c>
      <c r="B24" s="61"/>
      <c r="C24" s="61"/>
      <c r="D24" s="61"/>
      <c r="E24" s="61"/>
      <c r="F24" s="61"/>
      <c r="G24" s="61"/>
      <c r="H24" s="61"/>
    </row>
    <row r="25" spans="1:8" x14ac:dyDescent="0.35">
      <c r="A25" s="63" t="s">
        <v>0</v>
      </c>
      <c r="B25" s="54" t="s">
        <v>19</v>
      </c>
      <c r="C25" s="54" t="s">
        <v>20</v>
      </c>
      <c r="D25" s="54" t="s">
        <v>146</v>
      </c>
      <c r="E25" s="54" t="s">
        <v>145</v>
      </c>
      <c r="F25" s="54" t="s">
        <v>21</v>
      </c>
      <c r="G25" s="55" t="s">
        <v>147</v>
      </c>
    </row>
    <row r="26" spans="1:8" x14ac:dyDescent="0.35">
      <c r="A26" s="56" t="s">
        <v>37</v>
      </c>
      <c r="B26" s="64">
        <f>(B14+B15+B16+B17)/4</f>
        <v>0.95852999999999999</v>
      </c>
      <c r="C26" s="64">
        <f>(C14+C15+C16+C17)/4</f>
        <v>0.16793713346159678</v>
      </c>
      <c r="D26" s="64">
        <f t="shared" ref="D26:G26" si="5">(D14+D15+D16+D17)/4</f>
        <v>0.19715203711679913</v>
      </c>
      <c r="E26" s="64">
        <f>(E14+E15+E16+E17)/4</f>
        <v>0.20782051366436552</v>
      </c>
      <c r="F26" s="64">
        <f t="shared" si="5"/>
        <v>0.17718176646340617</v>
      </c>
      <c r="G26" s="65">
        <f t="shared" si="5"/>
        <v>0.850932913061343</v>
      </c>
      <c r="H26" s="66"/>
    </row>
    <row r="27" spans="1:8" ht="15" thickBot="1" x14ac:dyDescent="0.4">
      <c r="A27" s="57" t="s">
        <v>38</v>
      </c>
      <c r="B27" s="67">
        <f>(B18+B19+B20+B21)/4</f>
        <v>0.95493000000000006</v>
      </c>
      <c r="C27" s="67">
        <f t="shared" ref="C27:G27" si="6">(C18+C19+C20+C21)/4</f>
        <v>0.10880392755107808</v>
      </c>
      <c r="D27" s="67">
        <f t="shared" si="6"/>
        <v>0.14743276500708197</v>
      </c>
      <c r="E27" s="67">
        <f t="shared" si="6"/>
        <v>0.15446448517122352</v>
      </c>
      <c r="F27" s="67">
        <f t="shared" si="6"/>
        <v>0.11399025810303223</v>
      </c>
      <c r="G27" s="68">
        <f t="shared" si="6"/>
        <v>0.73778439889902936</v>
      </c>
      <c r="H27" s="66"/>
    </row>
    <row r="28" spans="1:8" x14ac:dyDescent="0.35">
      <c r="A28" s="62"/>
      <c r="B28" s="69"/>
      <c r="C28" s="70"/>
      <c r="D28" s="70"/>
      <c r="E28" s="70"/>
      <c r="F28" s="70"/>
      <c r="G28" s="70"/>
      <c r="H28" s="66"/>
    </row>
    <row r="29" spans="1:8" x14ac:dyDescent="0.35">
      <c r="A29" s="62"/>
      <c r="B29" s="69"/>
      <c r="C29" s="70"/>
      <c r="D29" s="70"/>
      <c r="E29" s="70"/>
      <c r="F29" s="70"/>
      <c r="G29" s="70"/>
      <c r="H29" s="66"/>
    </row>
    <row r="30" spans="1:8" x14ac:dyDescent="0.35">
      <c r="A30" s="60"/>
      <c r="B30" s="71"/>
      <c r="C30" s="70"/>
      <c r="D30" s="70"/>
      <c r="E30" s="70"/>
      <c r="F30" s="70"/>
      <c r="G30" s="70"/>
      <c r="H30" s="66"/>
    </row>
    <row r="31" spans="1:8" ht="15" thickBot="1" x14ac:dyDescent="0.4">
      <c r="B31" s="66"/>
      <c r="C31" s="66"/>
      <c r="D31" s="66"/>
      <c r="E31" s="66"/>
      <c r="F31" s="66"/>
      <c r="G31" s="66"/>
      <c r="H31" s="66"/>
    </row>
    <row r="32" spans="1:8" x14ac:dyDescent="0.35">
      <c r="A32" s="72" t="s">
        <v>22</v>
      </c>
      <c r="B32" s="54" t="s">
        <v>19</v>
      </c>
      <c r="C32" s="54" t="s">
        <v>20</v>
      </c>
      <c r="D32" s="54" t="s">
        <v>27</v>
      </c>
      <c r="E32" s="54" t="s">
        <v>39</v>
      </c>
      <c r="F32" s="54" t="s">
        <v>21</v>
      </c>
      <c r="G32" s="55" t="s">
        <v>40</v>
      </c>
      <c r="H32" s="66"/>
    </row>
    <row r="33" spans="1:9" x14ac:dyDescent="0.35">
      <c r="A33" s="56" t="s">
        <v>31</v>
      </c>
      <c r="B33" s="64">
        <f>B26-B14</f>
        <v>2.4100000000000232E-3</v>
      </c>
      <c r="C33" s="64">
        <f>C26-C14</f>
        <v>-1.0318734002738167E-2</v>
      </c>
      <c r="D33" s="64">
        <f>D26-D14</f>
        <v>-9.6571500145234412E-3</v>
      </c>
      <c r="E33" s="64">
        <f t="shared" ref="E33:G33" si="7">E26-E14</f>
        <v>-8.4799372532204931E-3</v>
      </c>
      <c r="F33" s="64">
        <f t="shared" si="7"/>
        <v>-9.2549438494572422E-3</v>
      </c>
      <c r="G33" s="64">
        <f t="shared" si="7"/>
        <v>-1.1001075157195617E-2</v>
      </c>
      <c r="H33" s="66"/>
    </row>
    <row r="34" spans="1:9" x14ac:dyDescent="0.35">
      <c r="A34" s="56" t="s">
        <v>1</v>
      </c>
      <c r="B34" s="64">
        <f>B26-B15</f>
        <v>0.11080999999999996</v>
      </c>
      <c r="C34" s="64">
        <f>C26-C15</f>
        <v>-1.3202865594695412E-2</v>
      </c>
      <c r="D34" s="64">
        <f>D26-D15</f>
        <v>-1.3070206076708057E-2</v>
      </c>
      <c r="E34" s="64">
        <f t="shared" ref="E34:G34" si="8">E26-E15</f>
        <v>-4.0164957002254559E-2</v>
      </c>
      <c r="F34" s="64">
        <f>F26-F15</f>
        <v>-3.6497277391041277E-2</v>
      </c>
      <c r="G34" s="64">
        <f t="shared" si="8"/>
        <v>-1.072661594270663E-2</v>
      </c>
      <c r="H34" s="66"/>
    </row>
    <row r="35" spans="1:9" x14ac:dyDescent="0.35">
      <c r="A35" s="56" t="s">
        <v>2</v>
      </c>
      <c r="B35" s="64">
        <f>B26-B16</f>
        <v>-8.7549999999999906E-2</v>
      </c>
      <c r="C35" s="64">
        <f t="shared" ref="C35:D35" si="9">C26-C16</f>
        <v>2.2259938600783041E-2</v>
      </c>
      <c r="D35" s="64">
        <f t="shared" si="9"/>
        <v>2.1693181197557726E-2</v>
      </c>
      <c r="E35" s="64">
        <f>E26-E16</f>
        <v>4.0090649868822714E-2</v>
      </c>
      <c r="F35" s="64">
        <f>F26-F16</f>
        <v>3.7921676545987076E-2</v>
      </c>
      <c r="G35" s="64">
        <f t="shared" ref="G35" si="10">G26-G16</f>
        <v>2.0668780210364557E-2</v>
      </c>
      <c r="H35" s="66"/>
    </row>
    <row r="36" spans="1:9" x14ac:dyDescent="0.35">
      <c r="A36" s="56" t="s">
        <v>3</v>
      </c>
      <c r="B36" s="64">
        <f>B26-B17</f>
        <v>-2.5669999999999971E-2</v>
      </c>
      <c r="C36" s="64">
        <f t="shared" ref="C36:D36" si="11">C26-C17</f>
        <v>1.2616609966506209E-3</v>
      </c>
      <c r="D36" s="64">
        <f t="shared" si="11"/>
        <v>1.0341748936738004E-3</v>
      </c>
      <c r="E36" s="64">
        <f t="shared" ref="E36:G36" si="12">E26-E17</f>
        <v>8.5542443866523099E-3</v>
      </c>
      <c r="F36" s="64">
        <f t="shared" si="12"/>
        <v>7.8305446945114709E-3</v>
      </c>
      <c r="G36" s="64">
        <f t="shared" si="12"/>
        <v>1.0589108895380228E-3</v>
      </c>
      <c r="H36" s="66"/>
    </row>
    <row r="37" spans="1:9" x14ac:dyDescent="0.35">
      <c r="A37" s="56" t="s">
        <v>32</v>
      </c>
      <c r="B37" s="64">
        <f>B27-B18</f>
        <v>-1.9899999999999363E-3</v>
      </c>
      <c r="C37" s="64">
        <f>C27-C18</f>
        <v>2.7595351253789091E-3</v>
      </c>
      <c r="D37" s="64">
        <f>D27-D18</f>
        <v>4.0209855479841627E-3</v>
      </c>
      <c r="E37" s="64">
        <f t="shared" ref="E37:G37" si="13">E27-E18</f>
        <v>4.596388089860598E-3</v>
      </c>
      <c r="F37" s="64">
        <f t="shared" si="13"/>
        <v>3.1718067949822737E-3</v>
      </c>
      <c r="G37" s="64">
        <f t="shared" si="13"/>
        <v>-1.655505031204485E-3</v>
      </c>
      <c r="H37" s="66"/>
    </row>
    <row r="38" spans="1:9" x14ac:dyDescent="0.35">
      <c r="A38" s="56" t="s">
        <v>4</v>
      </c>
      <c r="B38" s="64">
        <f>B27-B19</f>
        <v>-1.2189999999999923E-2</v>
      </c>
      <c r="C38" s="64">
        <f t="shared" ref="C38:D38" si="14">C27-C19</f>
        <v>-7.5725303858894949E-3</v>
      </c>
      <c r="D38" s="64">
        <f t="shared" si="14"/>
        <v>-7.9895197145658514E-3</v>
      </c>
      <c r="E38" s="64">
        <f t="shared" ref="E38:G38" si="15">E27-E19</f>
        <v>-6.2418229618394216E-3</v>
      </c>
      <c r="F38" s="64">
        <f t="shared" si="15"/>
        <v>-6.3427491111372331E-3</v>
      </c>
      <c r="G38" s="64">
        <f t="shared" si="15"/>
        <v>-1.0991480604936044E-2</v>
      </c>
      <c r="H38" s="66"/>
    </row>
    <row r="39" spans="1:9" x14ac:dyDescent="0.35">
      <c r="A39" s="56" t="s">
        <v>5</v>
      </c>
      <c r="B39" s="64">
        <f>B27-B20</f>
        <v>-1.9429999999999947E-2</v>
      </c>
      <c r="C39" s="64">
        <f t="shared" ref="C39:D39" si="16">C27-C20</f>
        <v>4.5837214670844534E-3</v>
      </c>
      <c r="D39" s="64">
        <f t="shared" si="16"/>
        <v>4.3185156536601765E-3</v>
      </c>
      <c r="E39" s="64">
        <f t="shared" ref="E39:G39" si="17">E27-E20</f>
        <v>7.5842259719318961E-3</v>
      </c>
      <c r="F39" s="64">
        <f t="shared" si="17"/>
        <v>7.0275276091761318E-3</v>
      </c>
      <c r="G39" s="64">
        <f t="shared" si="17"/>
        <v>9.5535864198261766E-3</v>
      </c>
      <c r="H39" s="66"/>
    </row>
    <row r="40" spans="1:9" ht="15" thickBot="1" x14ac:dyDescent="0.4">
      <c r="A40" s="57" t="s">
        <v>6</v>
      </c>
      <c r="B40" s="64">
        <f>B27-B21</f>
        <v>3.3610000000000029E-2</v>
      </c>
      <c r="C40" s="64">
        <f t="shared" ref="C40:D40" si="18">C27-C21</f>
        <v>2.2927379342613241E-4</v>
      </c>
      <c r="D40" s="64">
        <f t="shared" si="18"/>
        <v>-3.4998148707843235E-4</v>
      </c>
      <c r="E40" s="64">
        <f t="shared" ref="E40:G40" si="19">E27-E21</f>
        <v>-5.9387910999530447E-3</v>
      </c>
      <c r="F40" s="64">
        <f t="shared" si="19"/>
        <v>-3.8565852930212002E-3</v>
      </c>
      <c r="G40" s="64">
        <f t="shared" si="19"/>
        <v>3.093399216314352E-3</v>
      </c>
      <c r="H40" s="66"/>
    </row>
    <row r="41" spans="1:9" x14ac:dyDescent="0.35">
      <c r="A41" s="62"/>
      <c r="B41" s="69"/>
      <c r="C41" s="69"/>
      <c r="D41" s="69"/>
      <c r="E41" s="73"/>
      <c r="F41" s="66"/>
      <c r="G41" s="66"/>
      <c r="H41" s="66"/>
    </row>
    <row r="42" spans="1:9" x14ac:dyDescent="0.35">
      <c r="A42" s="62"/>
      <c r="B42" s="69"/>
      <c r="C42" s="69"/>
      <c r="D42" s="69"/>
      <c r="E42" s="73"/>
      <c r="F42" s="66"/>
      <c r="G42" s="66"/>
      <c r="H42" s="66"/>
    </row>
    <row r="43" spans="1:9" x14ac:dyDescent="0.35">
      <c r="A43" s="61"/>
      <c r="B43" s="5"/>
      <c r="C43" s="61"/>
      <c r="D43" s="61"/>
      <c r="E43" s="61"/>
      <c r="F43" s="74"/>
      <c r="G43" s="74"/>
      <c r="H43" s="74"/>
      <c r="I43" s="74"/>
    </row>
    <row r="44" spans="1:9" x14ac:dyDescent="0.35">
      <c r="A44" s="62"/>
      <c r="B44" s="5"/>
      <c r="C44" s="5"/>
      <c r="D44" s="5"/>
      <c r="E44" s="5"/>
      <c r="F44" s="74"/>
      <c r="G44" s="74"/>
      <c r="H44" s="74"/>
      <c r="I44" s="74"/>
    </row>
    <row r="45" spans="1:9" x14ac:dyDescent="0.35">
      <c r="A45" s="74"/>
      <c r="B45" s="74"/>
      <c r="C45" s="74"/>
      <c r="D45" s="74"/>
      <c r="E45" s="74"/>
      <c r="F45" s="74"/>
      <c r="G45" s="74"/>
      <c r="H45" s="74"/>
      <c r="I45" s="74"/>
    </row>
    <row r="46" spans="1:9" x14ac:dyDescent="0.35">
      <c r="A46" s="74"/>
      <c r="B46" s="74"/>
      <c r="C46" s="74"/>
      <c r="D46" s="74"/>
      <c r="E46" s="74"/>
      <c r="F46" s="74"/>
      <c r="G46" s="74"/>
      <c r="H46" s="74"/>
      <c r="I46" s="74"/>
    </row>
    <row r="47" spans="1:9" x14ac:dyDescent="0.35">
      <c r="A47" s="74"/>
      <c r="B47" s="74"/>
      <c r="C47" s="74"/>
      <c r="D47" s="74"/>
      <c r="E47" s="74"/>
      <c r="F47" s="74"/>
      <c r="G47" s="74"/>
      <c r="H47" s="74"/>
      <c r="I47" s="74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6"/>
  <sheetViews>
    <sheetView topLeftCell="A8" zoomScale="53" workbookViewId="0">
      <selection activeCell="G45" sqref="G45"/>
    </sheetView>
  </sheetViews>
  <sheetFormatPr defaultRowHeight="14.5" x14ac:dyDescent="0.35"/>
  <cols>
    <col min="1" max="1" width="11.453125" customWidth="1"/>
    <col min="2" max="2" width="7.54296875" customWidth="1"/>
    <col min="3" max="3" width="4.54296875" customWidth="1"/>
    <col min="4" max="4" width="13.81640625" customWidth="1"/>
    <col min="5" max="6" width="9.453125" customWidth="1"/>
    <col min="8" max="8" width="17.7265625" customWidth="1"/>
    <col min="10" max="11" width="9.81640625" customWidth="1"/>
    <col min="12" max="12" width="18.54296875" customWidth="1"/>
    <col min="13" max="13" width="8.1796875" customWidth="1"/>
    <col min="14" max="18" width="12.1796875" customWidth="1"/>
    <col min="19" max="19" width="11.81640625" customWidth="1"/>
  </cols>
  <sheetData>
    <row r="1" spans="1:20" x14ac:dyDescent="0.35">
      <c r="A1" t="s">
        <v>104</v>
      </c>
    </row>
    <row r="2" spans="1:20" ht="30" x14ac:dyDescent="0.8">
      <c r="A2" s="81" t="s">
        <v>60</v>
      </c>
    </row>
    <row r="3" spans="1:20" ht="21" x14ac:dyDescent="0.5">
      <c r="A3" s="82" t="s">
        <v>61</v>
      </c>
      <c r="B3" s="83"/>
      <c r="C3" s="83"/>
      <c r="D3" s="83"/>
      <c r="E3" s="83"/>
      <c r="F3" s="83"/>
    </row>
    <row r="4" spans="1:20" ht="21" x14ac:dyDescent="0.5">
      <c r="A4" s="84" t="s">
        <v>62</v>
      </c>
      <c r="B4" s="85"/>
      <c r="C4" s="85"/>
      <c r="D4" s="85"/>
      <c r="E4" s="85"/>
      <c r="F4" s="85"/>
    </row>
    <row r="5" spans="1:20" x14ac:dyDescent="0.35">
      <c r="A5" s="14"/>
    </row>
    <row r="6" spans="1:20" ht="24" x14ac:dyDescent="0.65">
      <c r="A6" s="86" t="s">
        <v>63</v>
      </c>
    </row>
    <row r="8" spans="1:20" ht="18.649999999999999" customHeight="1" x14ac:dyDescent="0.45">
      <c r="A8" s="87" t="s">
        <v>64</v>
      </c>
      <c r="B8" s="88">
        <v>30</v>
      </c>
      <c r="D8" s="89" t="s">
        <v>65</v>
      </c>
      <c r="E8" s="90">
        <f>P10</f>
        <v>2.7407637656582849E-2</v>
      </c>
      <c r="P8" s="91" t="s">
        <v>66</v>
      </c>
      <c r="Q8" s="144" t="s">
        <v>67</v>
      </c>
      <c r="R8" s="144"/>
    </row>
    <row r="9" spans="1:20" ht="18.649999999999999" customHeight="1" x14ac:dyDescent="0.45">
      <c r="A9" s="92" t="s">
        <v>68</v>
      </c>
      <c r="B9" s="93">
        <v>20</v>
      </c>
      <c r="D9" s="94" t="s">
        <v>69</v>
      </c>
      <c r="E9" s="95">
        <v>6.09</v>
      </c>
      <c r="M9" s="96" t="s">
        <v>70</v>
      </c>
      <c r="N9" s="97" t="s">
        <v>71</v>
      </c>
      <c r="O9" s="97"/>
      <c r="P9" s="97" t="s">
        <v>72</v>
      </c>
      <c r="Q9" s="97" t="s">
        <v>73</v>
      </c>
      <c r="R9" s="97" t="s">
        <v>74</v>
      </c>
      <c r="S9" s="97" t="s">
        <v>75</v>
      </c>
    </row>
    <row r="10" spans="1:20" ht="16.5" x14ac:dyDescent="0.45">
      <c r="D10" s="98" t="s">
        <v>76</v>
      </c>
      <c r="E10" s="95">
        <v>9.36</v>
      </c>
      <c r="M10">
        <f>B9</f>
        <v>20</v>
      </c>
      <c r="N10">
        <f>B8</f>
        <v>30</v>
      </c>
      <c r="P10">
        <f>EXP(-58.0931+90.5069*(100/(N10+273.15))+22.294*LN((N10+273.15)/100)+M10*(0.027766-0.025888*((N10+273.15)/100)+0.0050578*(((N10+273.15)/100)^2)))</f>
        <v>2.7407637656582849E-2</v>
      </c>
      <c r="Q10">
        <f>-126.34048+6320.813/(N10+273.15)+19.568224*LN(N10+273.15)+13.4191*(M10^0.5)+0.0331*M10-0.0000533*(M10^2)+(-530.123*(M10^0.5)-6.103*M10)/(N10+273.15)-2.0695*(M10^0.5)*LN(N10+273.15)</f>
        <v>5.871178511038984</v>
      </c>
      <c r="R10">
        <f>-90.18333+5143.692/(N10+273.15)+14.613358*LN(N10+273.15)+21.0894*(M10^0.5)+0.1248*M10-0.0003687*(M10^2)+(-772.483*(M10^0.5)-20.051*M10)/(N10+273.15)-3.3336*(M10^0.5)*LN(N10+273.15)</f>
        <v>9.0432149136188684</v>
      </c>
      <c r="S10">
        <f>AVERAGE(Q10:R10)</f>
        <v>7.4571967123289262</v>
      </c>
    </row>
    <row r="11" spans="1:20" x14ac:dyDescent="0.35">
      <c r="N11" s="45"/>
      <c r="O11" s="45"/>
      <c r="P11" s="45"/>
      <c r="Q11" s="45"/>
      <c r="R11" s="45"/>
      <c r="S11" s="45"/>
    </row>
    <row r="12" spans="1:20" ht="17.5" x14ac:dyDescent="0.45">
      <c r="M12" s="99" t="s">
        <v>15</v>
      </c>
      <c r="N12" s="100" t="s">
        <v>77</v>
      </c>
      <c r="O12" s="100" t="s">
        <v>78</v>
      </c>
      <c r="P12" s="100" t="s">
        <v>79</v>
      </c>
      <c r="Q12" s="100" t="s">
        <v>80</v>
      </c>
      <c r="R12" s="100" t="s">
        <v>81</v>
      </c>
      <c r="S12" s="45"/>
      <c r="T12" s="101" t="s">
        <v>82</v>
      </c>
    </row>
    <row r="13" spans="1:20" x14ac:dyDescent="0.35">
      <c r="M13" s="102">
        <v>4</v>
      </c>
      <c r="N13" s="45">
        <f>(1+Q13*(1+R13))^(-1)</f>
        <v>0.98672539140728677</v>
      </c>
      <c r="O13" s="45">
        <f>Q13*N13</f>
        <v>1.3274488420826612E-2</v>
      </c>
      <c r="P13" s="45">
        <f>R13*O13</f>
        <v>1.2017188662671601E-7</v>
      </c>
      <c r="Q13" s="45">
        <f>10^(M13-$Q$10)</f>
        <v>1.3453072695225042E-2</v>
      </c>
      <c r="R13" s="45">
        <f>10^(M13-$R$10)</f>
        <v>9.0528450375666385E-6</v>
      </c>
      <c r="S13" s="45"/>
      <c r="T13">
        <f>O13+2*P13</f>
        <v>1.3274728764599866E-2</v>
      </c>
    </row>
    <row r="14" spans="1:20" x14ac:dyDescent="0.35">
      <c r="M14" s="102">
        <f>M13+0.1</f>
        <v>4.0999999999999996</v>
      </c>
      <c r="N14" s="45">
        <f t="shared" ref="N14:N78" si="0">(1+Q14*(1+R14))^(-1)</f>
        <v>0.98334546325734618</v>
      </c>
      <c r="O14" s="45">
        <f t="shared" ref="O14:P29" si="1">Q14*N14</f>
        <v>1.6654346935448823E-2</v>
      </c>
      <c r="P14" s="45">
        <f t="shared" si="1"/>
        <v>1.8980720490292563E-7</v>
      </c>
      <c r="Q14" s="45">
        <f t="shared" ref="Q14:Q78" si="2">10^(M14-$Q$10)</f>
        <v>1.6936415082733036E-2</v>
      </c>
      <c r="R14" s="45">
        <f t="shared" ref="R14:R78" si="3">10^(M14-$R$10)</f>
        <v>1.1396856666827354E-5</v>
      </c>
      <c r="S14" s="45"/>
      <c r="T14">
        <f t="shared" ref="T14:T77" si="4">O14+2*P14</f>
        <v>1.6654726549858629E-2</v>
      </c>
    </row>
    <row r="15" spans="1:20" x14ac:dyDescent="0.35">
      <c r="M15" s="102">
        <f t="shared" ref="M15:M78" si="5">M14+0.1</f>
        <v>4.1999999999999993</v>
      </c>
      <c r="N15" s="45">
        <f t="shared" si="0"/>
        <v>0.97912314678834833</v>
      </c>
      <c r="O15" s="45">
        <f t="shared" si="1"/>
        <v>2.0876553679191889E-2</v>
      </c>
      <c r="P15" s="45">
        <f t="shared" si="1"/>
        <v>2.9953245972889738E-7</v>
      </c>
      <c r="Q15" s="45">
        <f t="shared" si="2"/>
        <v>2.132168333234661E-2</v>
      </c>
      <c r="R15" s="45">
        <f t="shared" si="3"/>
        <v>1.4347792472444713E-5</v>
      </c>
      <c r="S15" s="45"/>
      <c r="T15">
        <f t="shared" si="4"/>
        <v>2.0877152744111348E-2</v>
      </c>
    </row>
    <row r="16" spans="1:20" x14ac:dyDescent="0.35">
      <c r="M16" s="102">
        <f t="shared" si="5"/>
        <v>4.2999999999999989</v>
      </c>
      <c r="N16" s="45">
        <f t="shared" si="0"/>
        <v>0.97385881133326913</v>
      </c>
      <c r="O16" s="45">
        <f t="shared" si="1"/>
        <v>2.6140716492182751E-2</v>
      </c>
      <c r="P16" s="45">
        <f t="shared" si="1"/>
        <v>4.721745481463817E-7</v>
      </c>
      <c r="Q16" s="45">
        <f t="shared" si="2"/>
        <v>2.6842408969319276E-2</v>
      </c>
      <c r="R16" s="45">
        <f t="shared" si="3"/>
        <v>1.8062800546709693E-5</v>
      </c>
      <c r="S16" s="45"/>
      <c r="T16">
        <f t="shared" si="4"/>
        <v>2.6141660841279044E-2</v>
      </c>
    </row>
    <row r="17" spans="1:20" x14ac:dyDescent="0.35">
      <c r="M17" s="102">
        <f t="shared" si="5"/>
        <v>4.3999999999999986</v>
      </c>
      <c r="N17" s="45">
        <f t="shared" si="0"/>
        <v>0.96731130172336532</v>
      </c>
      <c r="O17" s="45">
        <f t="shared" si="1"/>
        <v>3.2687954961736709E-2</v>
      </c>
      <c r="P17" s="45">
        <f t="shared" si="1"/>
        <v>7.4331489797618078E-7</v>
      </c>
      <c r="Q17" s="45">
        <f t="shared" si="2"/>
        <v>3.3792590765247682E-2</v>
      </c>
      <c r="R17" s="45">
        <f t="shared" si="3"/>
        <v>2.2739718616422387E-5</v>
      </c>
      <c r="S17" s="45"/>
      <c r="T17">
        <f t="shared" si="4"/>
        <v>3.2689441591532663E-2</v>
      </c>
    </row>
    <row r="18" spans="1:20" x14ac:dyDescent="0.35">
      <c r="M18" s="102">
        <f t="shared" si="5"/>
        <v>4.4999999999999982</v>
      </c>
      <c r="N18" s="45">
        <f t="shared" si="0"/>
        <v>0.95919252644181097</v>
      </c>
      <c r="O18" s="45">
        <f t="shared" si="1"/>
        <v>4.0806305371208614E-2</v>
      </c>
      <c r="P18" s="45">
        <f t="shared" si="1"/>
        <v>1.1681869803346211E-6</v>
      </c>
      <c r="Q18" s="45">
        <f t="shared" si="2"/>
        <v>4.2542351244731172E-2</v>
      </c>
      <c r="R18" s="45">
        <f t="shared" si="3"/>
        <v>2.8627609623263019E-5</v>
      </c>
      <c r="S18" s="45"/>
      <c r="T18">
        <f t="shared" si="4"/>
        <v>4.080864174516928E-2</v>
      </c>
    </row>
    <row r="19" spans="1:20" x14ac:dyDescent="0.35">
      <c r="M19" s="102">
        <f t="shared" si="5"/>
        <v>4.5999999999999979</v>
      </c>
      <c r="N19" s="45">
        <f t="shared" si="0"/>
        <v>0.9491632192108459</v>
      </c>
      <c r="O19" s="45">
        <f t="shared" si="1"/>
        <v>5.0834948696320346E-2</v>
      </c>
      <c r="P19" s="45">
        <f t="shared" si="1"/>
        <v>1.8320928337666389E-6</v>
      </c>
      <c r="Q19" s="45">
        <f t="shared" si="2"/>
        <v>5.3557647059465266E-2</v>
      </c>
      <c r="R19" s="45">
        <f t="shared" si="3"/>
        <v>3.6040025233649026E-5</v>
      </c>
      <c r="S19" s="45"/>
      <c r="T19">
        <f t="shared" si="4"/>
        <v>5.0838612881987877E-2</v>
      </c>
    </row>
    <row r="20" spans="1:20" x14ac:dyDescent="0.35">
      <c r="M20" s="102">
        <f t="shared" si="5"/>
        <v>4.6999999999999975</v>
      </c>
      <c r="N20" s="45">
        <f t="shared" si="0"/>
        <v>0.93683121194539198</v>
      </c>
      <c r="O20" s="45">
        <f t="shared" si="1"/>
        <v>6.3165922109111955E-2</v>
      </c>
      <c r="P20" s="45">
        <f t="shared" si="1"/>
        <v>2.8659454960823543E-6</v>
      </c>
      <c r="Q20" s="45">
        <f t="shared" si="2"/>
        <v>6.7425082879063916E-2</v>
      </c>
      <c r="R20" s="45">
        <f t="shared" si="3"/>
        <v>4.5371703608343738E-5</v>
      </c>
      <c r="S20" s="45"/>
      <c r="T20">
        <f t="shared" si="4"/>
        <v>6.3171654000104119E-2</v>
      </c>
    </row>
    <row r="21" spans="1:20" ht="24" x14ac:dyDescent="0.65">
      <c r="A21" s="86" t="s">
        <v>83</v>
      </c>
      <c r="M21" s="102">
        <f t="shared" si="5"/>
        <v>4.7999999999999972</v>
      </c>
      <c r="N21" s="45">
        <f t="shared" si="0"/>
        <v>0.92175413607693757</v>
      </c>
      <c r="O21" s="45">
        <f t="shared" si="1"/>
        <v>7.8241394806619249E-2</v>
      </c>
      <c r="P21" s="45">
        <f t="shared" si="1"/>
        <v>4.4691164431559554E-6</v>
      </c>
      <c r="Q21" s="45">
        <f t="shared" si="2"/>
        <v>8.4883150228781346E-2</v>
      </c>
      <c r="R21" s="45">
        <f t="shared" si="3"/>
        <v>5.7119590648936986E-5</v>
      </c>
      <c r="S21" s="45"/>
      <c r="T21">
        <f t="shared" si="4"/>
        <v>7.8250333039505557E-2</v>
      </c>
    </row>
    <row r="22" spans="1:20" x14ac:dyDescent="0.35">
      <c r="M22" s="102">
        <f t="shared" si="5"/>
        <v>4.8999999999999968</v>
      </c>
      <c r="N22" s="45">
        <f t="shared" si="0"/>
        <v>0.90344908376547284</v>
      </c>
      <c r="O22" s="45">
        <f t="shared" si="1"/>
        <v>9.6543973824546686E-2</v>
      </c>
      <c r="P22" s="45">
        <f t="shared" si="1"/>
        <v>6.9424099804206747E-6</v>
      </c>
      <c r="Q22" s="45">
        <f t="shared" si="2"/>
        <v>0.1068615548561546</v>
      </c>
      <c r="R22" s="45">
        <f t="shared" si="3"/>
        <v>7.1909304179227181E-5</v>
      </c>
      <c r="T22">
        <f t="shared" si="4"/>
        <v>9.6557858644507527E-2</v>
      </c>
    </row>
    <row r="23" spans="1:20" ht="14.5" customHeight="1" x14ac:dyDescent="0.35">
      <c r="A23" s="87" t="s">
        <v>84</v>
      </c>
      <c r="B23" s="88">
        <v>15</v>
      </c>
      <c r="D23" s="103"/>
      <c r="E23" s="104" t="s">
        <v>85</v>
      </c>
      <c r="F23" s="105" t="s">
        <v>86</v>
      </c>
      <c r="H23" s="18"/>
      <c r="I23" s="18"/>
      <c r="J23" s="18"/>
      <c r="K23" s="18"/>
      <c r="M23" s="102">
        <f t="shared" si="5"/>
        <v>4.9999999999999964</v>
      </c>
      <c r="N23" s="45">
        <f t="shared" si="0"/>
        <v>0.88141223648622247</v>
      </c>
      <c r="O23" s="45">
        <f t="shared" si="1"/>
        <v>0.11857702891909938</v>
      </c>
      <c r="P23" s="45">
        <f t="shared" si="1"/>
        <v>1.0734594678196544E-5</v>
      </c>
      <c r="Q23" s="45">
        <f t="shared" si="2"/>
        <v>0.1345307269522493</v>
      </c>
      <c r="R23" s="45">
        <f t="shared" si="3"/>
        <v>9.0528450375665525E-5</v>
      </c>
      <c r="T23">
        <f t="shared" si="4"/>
        <v>0.11859849810845577</v>
      </c>
    </row>
    <row r="24" spans="1:20" ht="14.5" customHeight="1" thickBot="1" x14ac:dyDescent="0.5">
      <c r="A24" s="92" t="s">
        <v>87</v>
      </c>
      <c r="B24" s="75">
        <v>7.6420000000000003</v>
      </c>
      <c r="D24" s="106" t="s">
        <v>88</v>
      </c>
      <c r="E24" s="107">
        <f>P10*(B23/100)*1000</f>
        <v>4.1111456484874269</v>
      </c>
      <c r="F24" s="108">
        <f>E24*12.0107</f>
        <v>49.37773704028794</v>
      </c>
      <c r="H24" s="15" t="s">
        <v>89</v>
      </c>
      <c r="I24" s="18">
        <f>10^(B24-E9)</f>
        <v>35.64511334262447</v>
      </c>
      <c r="J24" s="18"/>
      <c r="K24" s="18"/>
      <c r="M24" s="102">
        <f t="shared" si="5"/>
        <v>5.0999999999999961</v>
      </c>
      <c r="N24" s="45">
        <f t="shared" si="0"/>
        <v>0.85515148809412467</v>
      </c>
      <c r="O24" s="45">
        <f t="shared" si="1"/>
        <v>0.14483200560978818</v>
      </c>
      <c r="P24" s="45">
        <f t="shared" si="1"/>
        <v>1.6506296087038782E-5</v>
      </c>
      <c r="Q24" s="45">
        <f t="shared" si="2"/>
        <v>0.169364150827329</v>
      </c>
      <c r="R24" s="45">
        <f t="shared" si="3"/>
        <v>1.1396856666827264E-4</v>
      </c>
      <c r="T24">
        <f t="shared" si="4"/>
        <v>0.14486501820196226</v>
      </c>
    </row>
    <row r="25" spans="1:20" s="109" customFormat="1" ht="16" customHeight="1" x14ac:dyDescent="0.45">
      <c r="D25" s="106" t="s">
        <v>90</v>
      </c>
      <c r="E25" s="107">
        <f>I24*E24</f>
        <v>146.54225260837171</v>
      </c>
      <c r="F25" s="108">
        <f>E25*12.0107</f>
        <v>1760.0750334033701</v>
      </c>
      <c r="H25" s="15" t="s">
        <v>91</v>
      </c>
      <c r="I25" s="110">
        <f>10^(B24-E10)</f>
        <v>1.9142559250210894E-2</v>
      </c>
      <c r="J25" s="110"/>
      <c r="K25" s="110"/>
      <c r="M25" s="102">
        <f t="shared" si="5"/>
        <v>5.1999999999999957</v>
      </c>
      <c r="N25" s="45">
        <f t="shared" si="0"/>
        <v>0.82423418274190141</v>
      </c>
      <c r="O25" s="45">
        <f t="shared" si="1"/>
        <v>0.17574060236118194</v>
      </c>
      <c r="P25" s="45">
        <f t="shared" si="1"/>
        <v>2.5214896916606462E-5</v>
      </c>
      <c r="Q25" s="45">
        <f t="shared" si="2"/>
        <v>0.21321683332346447</v>
      </c>
      <c r="R25" s="45">
        <f t="shared" si="3"/>
        <v>1.4347792472444601E-4</v>
      </c>
      <c r="T25">
        <f t="shared" si="4"/>
        <v>0.17579103215501515</v>
      </c>
    </row>
    <row r="26" spans="1:20" s="109" customFormat="1" ht="16" customHeight="1" x14ac:dyDescent="0.35">
      <c r="D26" s="106" t="s">
        <v>92</v>
      </c>
      <c r="E26" s="107">
        <f>I25*E25</f>
        <v>2.8051937532151272</v>
      </c>
      <c r="F26" s="108">
        <f>E26*12.0107</f>
        <v>33.692340611740931</v>
      </c>
      <c r="H26" s="18"/>
      <c r="I26" s="110"/>
      <c r="J26" s="110"/>
      <c r="K26" s="110"/>
      <c r="M26" s="102">
        <f t="shared" si="5"/>
        <v>5.2999999999999954</v>
      </c>
      <c r="N26" s="45">
        <f t="shared" si="0"/>
        <v>0.78834972077693377</v>
      </c>
      <c r="O26" s="45">
        <f t="shared" si="1"/>
        <v>0.21161205615942943</v>
      </c>
      <c r="P26" s="45">
        <f t="shared" si="1"/>
        <v>3.8223063636868747E-5</v>
      </c>
      <c r="Q26" s="45">
        <f t="shared" si="2"/>
        <v>0.26842408969319059</v>
      </c>
      <c r="R26" s="45">
        <f t="shared" si="3"/>
        <v>1.8062800546709553E-4</v>
      </c>
      <c r="T26">
        <f t="shared" si="4"/>
        <v>0.21168850228670316</v>
      </c>
    </row>
    <row r="27" spans="1:20" s="109" customFormat="1" ht="16" customHeight="1" x14ac:dyDescent="0.35">
      <c r="D27" s="106"/>
      <c r="E27" s="107"/>
      <c r="F27" s="108"/>
      <c r="H27" s="111" t="s">
        <v>93</v>
      </c>
      <c r="I27" s="110">
        <f>(1+I24*(1+I25))^(-1)</f>
        <v>2.6789934630819096E-2</v>
      </c>
      <c r="J27" s="110"/>
      <c r="K27" s="110"/>
      <c r="M27" s="102">
        <f t="shared" si="5"/>
        <v>5.399999999999995</v>
      </c>
      <c r="N27" s="45">
        <f t="shared" si="0"/>
        <v>0.74738261876741385</v>
      </c>
      <c r="O27" s="45">
        <f t="shared" si="1"/>
        <v>0.25255994981066138</v>
      </c>
      <c r="P27" s="45">
        <f t="shared" si="1"/>
        <v>5.743142192472156E-5</v>
      </c>
      <c r="Q27" s="45">
        <f t="shared" si="2"/>
        <v>0.3379259076524741</v>
      </c>
      <c r="R27" s="45">
        <f t="shared" si="3"/>
        <v>2.2739718616422212E-4</v>
      </c>
      <c r="T27">
        <f t="shared" si="4"/>
        <v>0.25267481265451081</v>
      </c>
    </row>
    <row r="28" spans="1:20" s="109" customFormat="1" ht="16" customHeight="1" x14ac:dyDescent="0.35">
      <c r="D28" s="112" t="s">
        <v>94</v>
      </c>
      <c r="E28" s="113">
        <f>SUM(E24:E26)</f>
        <v>153.45859201007426</v>
      </c>
      <c r="F28" s="114">
        <f>SUM(F24:F26)</f>
        <v>1843.145111055399</v>
      </c>
      <c r="H28" s="111" t="s">
        <v>95</v>
      </c>
      <c r="I28" s="110">
        <f>I24*I27</f>
        <v>0.95493025635704709</v>
      </c>
      <c r="J28" s="110"/>
      <c r="K28" s="110"/>
      <c r="M28" s="102">
        <f t="shared" si="5"/>
        <v>5.4999999999999947</v>
      </c>
      <c r="N28" s="45">
        <f t="shared" si="0"/>
        <v>0.70148595016775817</v>
      </c>
      <c r="O28" s="45">
        <f t="shared" si="1"/>
        <v>0.2984286168528052</v>
      </c>
      <c r="P28" s="45">
        <f t="shared" si="1"/>
        <v>8.5432979436723719E-5</v>
      </c>
      <c r="Q28" s="45">
        <f t="shared" si="2"/>
        <v>0.42542351244730836</v>
      </c>
      <c r="R28" s="45">
        <f t="shared" si="3"/>
        <v>2.8627609623262795E-4</v>
      </c>
      <c r="T28">
        <f t="shared" si="4"/>
        <v>0.29859948281167864</v>
      </c>
    </row>
    <row r="29" spans="1:20" s="109" customFormat="1" ht="16" customHeight="1" x14ac:dyDescent="0.35">
      <c r="H29" s="111" t="s">
        <v>96</v>
      </c>
      <c r="I29" s="110">
        <f>I25*I28</f>
        <v>1.8279809012133851E-2</v>
      </c>
      <c r="J29" s="110"/>
      <c r="K29" s="110"/>
      <c r="M29" s="102">
        <f t="shared" si="5"/>
        <v>5.5999999999999943</v>
      </c>
      <c r="N29" s="45">
        <f t="shared" si="0"/>
        <v>0.65113938314974318</v>
      </c>
      <c r="O29" s="45">
        <f t="shared" si="1"/>
        <v>0.34873493269251588</v>
      </c>
      <c r="P29" s="45">
        <f t="shared" si="1"/>
        <v>1.2568415774093068E-4</v>
      </c>
      <c r="Q29" s="45">
        <f t="shared" si="2"/>
        <v>0.5355764705946483</v>
      </c>
      <c r="R29" s="45">
        <f t="shared" si="3"/>
        <v>3.6040025233648746E-4</v>
      </c>
      <c r="T29">
        <f t="shared" si="4"/>
        <v>0.34898630100799771</v>
      </c>
    </row>
    <row r="30" spans="1:20" x14ac:dyDescent="0.35">
      <c r="H30" s="18"/>
      <c r="I30" s="18"/>
      <c r="J30" s="18"/>
      <c r="K30" s="18"/>
      <c r="M30" s="102">
        <f t="shared" si="5"/>
        <v>5.699999999999994</v>
      </c>
      <c r="N30" s="45">
        <f t="shared" si="0"/>
        <v>0.59717295413670035</v>
      </c>
      <c r="O30" s="45">
        <f t="shared" ref="O30:P45" si="6">Q30*N30</f>
        <v>0.40264435925802128</v>
      </c>
      <c r="P30" s="45">
        <f t="shared" si="6"/>
        <v>1.8268660527826275E-4</v>
      </c>
      <c r="Q30" s="45">
        <f t="shared" si="2"/>
        <v>0.67425082879063369</v>
      </c>
      <c r="R30" s="45">
        <f t="shared" si="3"/>
        <v>4.5371703608343384E-4</v>
      </c>
      <c r="T30">
        <f t="shared" si="4"/>
        <v>0.4030097324685778</v>
      </c>
    </row>
    <row r="31" spans="1:20" ht="21" x14ac:dyDescent="0.5">
      <c r="A31" s="86" t="s">
        <v>97</v>
      </c>
      <c r="H31" s="18"/>
      <c r="I31" s="18"/>
      <c r="J31" s="18"/>
      <c r="K31" s="18"/>
      <c r="M31" s="102">
        <f t="shared" si="5"/>
        <v>5.7999999999999936</v>
      </c>
      <c r="N31" s="45">
        <f t="shared" si="0"/>
        <v>0.54074036562792138</v>
      </c>
      <c r="O31" s="45">
        <f t="shared" si="6"/>
        <v>0.45899745690360627</v>
      </c>
      <c r="P31" s="45">
        <f t="shared" si="6"/>
        <v>2.621774684723688E-4</v>
      </c>
      <c r="Q31" s="45">
        <f t="shared" si="2"/>
        <v>0.84883150228780646</v>
      </c>
      <c r="R31" s="45">
        <f t="shared" si="3"/>
        <v>5.7119590648936538E-4</v>
      </c>
      <c r="T31">
        <f t="shared" si="4"/>
        <v>0.45952181184055102</v>
      </c>
    </row>
    <row r="32" spans="1:20" x14ac:dyDescent="0.35">
      <c r="H32" s="18"/>
      <c r="I32" s="18"/>
      <c r="J32" s="18"/>
      <c r="K32" s="18"/>
      <c r="M32" s="102">
        <f t="shared" si="5"/>
        <v>5.8999999999999932</v>
      </c>
      <c r="N32" s="45">
        <f t="shared" si="0"/>
        <v>0.48323559495207952</v>
      </c>
      <c r="O32" s="45">
        <f t="shared" si="6"/>
        <v>0.51639307038417748</v>
      </c>
      <c r="P32" s="45">
        <f t="shared" si="6"/>
        <v>3.7133466374300632E-4</v>
      </c>
      <c r="Q32" s="45">
        <f t="shared" si="2"/>
        <v>1.0686155485615376</v>
      </c>
      <c r="R32" s="45">
        <f t="shared" si="3"/>
        <v>7.1909304179226688E-4</v>
      </c>
      <c r="T32">
        <f t="shared" si="4"/>
        <v>0.51713573971166349</v>
      </c>
    </row>
    <row r="33" spans="1:20" ht="16.5" x14ac:dyDescent="0.35">
      <c r="A33" s="87" t="s">
        <v>98</v>
      </c>
      <c r="B33" s="88">
        <v>153</v>
      </c>
      <c r="D33" s="103"/>
      <c r="E33" s="104" t="s">
        <v>85</v>
      </c>
      <c r="F33" s="105" t="s">
        <v>86</v>
      </c>
      <c r="H33" s="18"/>
      <c r="I33" s="18"/>
      <c r="J33" s="18"/>
      <c r="K33" s="18"/>
      <c r="M33" s="102">
        <f t="shared" si="5"/>
        <v>5.9999999999999929</v>
      </c>
      <c r="N33" s="45">
        <f t="shared" si="0"/>
        <v>0.42616206253812322</v>
      </c>
      <c r="O33" s="45">
        <f t="shared" si="6"/>
        <v>0.5733189207272319</v>
      </c>
      <c r="P33" s="45">
        <f t="shared" si="6"/>
        <v>5.1901673464484969E-4</v>
      </c>
      <c r="Q33" s="45">
        <f t="shared" si="2"/>
        <v>1.3453072695224824</v>
      </c>
      <c r="R33" s="45">
        <f t="shared" si="3"/>
        <v>9.0528450375664904E-4</v>
      </c>
      <c r="T33">
        <f t="shared" si="4"/>
        <v>0.57435695419652155</v>
      </c>
    </row>
    <row r="34" spans="1:20" ht="17.5" x14ac:dyDescent="0.45">
      <c r="A34" s="92" t="s">
        <v>87</v>
      </c>
      <c r="B34" s="93">
        <v>7.64</v>
      </c>
      <c r="D34" s="106" t="s">
        <v>88</v>
      </c>
      <c r="E34" s="107">
        <f>I37*B33</f>
        <v>4.117616136472293</v>
      </c>
      <c r="F34" s="108">
        <f>E34*12.0107</f>
        <v>49.455452130327771</v>
      </c>
      <c r="H34" s="15" t="s">
        <v>89</v>
      </c>
      <c r="I34" s="18">
        <f>10^(B34-E9)</f>
        <v>35.481338923357541</v>
      </c>
      <c r="J34" s="18"/>
      <c r="K34" s="18"/>
      <c r="M34" s="102">
        <f t="shared" si="5"/>
        <v>6.0999999999999925</v>
      </c>
      <c r="N34" s="45">
        <f t="shared" si="0"/>
        <v>0.37097881310305825</v>
      </c>
      <c r="O34" s="45">
        <f t="shared" si="6"/>
        <v>0.62830511656129351</v>
      </c>
      <c r="P34" s="45">
        <f t="shared" si="6"/>
        <v>7.1607033564831965E-4</v>
      </c>
      <c r="Q34" s="45">
        <f t="shared" si="2"/>
        <v>1.6936415082732765</v>
      </c>
      <c r="R34" s="45">
        <f t="shared" si="3"/>
        <v>1.1396856666827165E-3</v>
      </c>
      <c r="T34">
        <f t="shared" si="4"/>
        <v>0.62973725723259011</v>
      </c>
    </row>
    <row r="35" spans="1:20" ht="17.5" x14ac:dyDescent="0.45">
      <c r="D35" s="106" t="s">
        <v>90</v>
      </c>
      <c r="E35" s="107">
        <f>I38*B33</f>
        <v>146.09853369445946</v>
      </c>
      <c r="F35" s="108">
        <f>E35*12.0107</f>
        <v>1754.7456586440442</v>
      </c>
      <c r="H35" s="15" t="s">
        <v>91</v>
      </c>
      <c r="I35" s="18">
        <f>10^(B34-E10)</f>
        <v>1.9054607179632473E-2</v>
      </c>
      <c r="J35" s="18"/>
      <c r="K35" s="18"/>
      <c r="M35" s="102">
        <f t="shared" si="5"/>
        <v>6.1999999999999922</v>
      </c>
      <c r="N35" s="45">
        <f t="shared" si="0"/>
        <v>0.31895611795626244</v>
      </c>
      <c r="O35" s="45">
        <f t="shared" si="6"/>
        <v>0.68006813439779135</v>
      </c>
      <c r="P35" s="45">
        <f t="shared" si="6"/>
        <v>9.7574764594619899E-4</v>
      </c>
      <c r="Q35" s="45">
        <f t="shared" si="2"/>
        <v>2.1321683332346275</v>
      </c>
      <c r="R35" s="45">
        <f t="shared" si="3"/>
        <v>1.4347792472444477E-3</v>
      </c>
      <c r="T35">
        <f t="shared" si="4"/>
        <v>0.68201962968968377</v>
      </c>
    </row>
    <row r="36" spans="1:20" ht="16.5" x14ac:dyDescent="0.35">
      <c r="A36" s="3" t="s">
        <v>99</v>
      </c>
      <c r="D36" s="106" t="s">
        <v>92</v>
      </c>
      <c r="E36" s="107">
        <f>I39*B33</f>
        <v>2.7838501690682245</v>
      </c>
      <c r="F36" s="108">
        <f>E36*12.0107</f>
        <v>33.435989225627722</v>
      </c>
      <c r="H36" s="18"/>
      <c r="I36" s="18"/>
      <c r="J36" s="18"/>
      <c r="K36" s="18"/>
      <c r="M36" s="102">
        <f t="shared" si="5"/>
        <v>6.2999999999999918</v>
      </c>
      <c r="N36" s="45">
        <f t="shared" si="0"/>
        <v>0.27106960414868869</v>
      </c>
      <c r="O36" s="45">
        <f t="shared" si="6"/>
        <v>0.72761611737104692</v>
      </c>
      <c r="P36" s="45">
        <f t="shared" si="6"/>
        <v>1.3142784802644316E-3</v>
      </c>
      <c r="Q36" s="45">
        <f t="shared" si="2"/>
        <v>2.6842408969318843</v>
      </c>
      <c r="R36" s="45">
        <f t="shared" si="3"/>
        <v>1.8062800546709398E-3</v>
      </c>
      <c r="T36">
        <f t="shared" si="4"/>
        <v>0.7302446743315758</v>
      </c>
    </row>
    <row r="37" spans="1:20" ht="16.5" x14ac:dyDescent="0.35">
      <c r="A37" t="s">
        <v>100</v>
      </c>
      <c r="B37" s="83">
        <v>500</v>
      </c>
      <c r="D37" s="106"/>
      <c r="E37" s="107"/>
      <c r="F37" s="108"/>
      <c r="H37" s="111" t="s">
        <v>93</v>
      </c>
      <c r="I37" s="110">
        <f>(1+I34*(1+I35))^(-1)</f>
        <v>2.6912523767792764E-2</v>
      </c>
      <c r="J37" s="18"/>
      <c r="K37" s="18"/>
      <c r="M37" s="102">
        <f t="shared" si="5"/>
        <v>6.3999999999999915</v>
      </c>
      <c r="N37" s="45">
        <f t="shared" si="0"/>
        <v>0.2279491447783609</v>
      </c>
      <c r="O37" s="45">
        <f t="shared" si="6"/>
        <v>0.77029921647832222</v>
      </c>
      <c r="P37" s="45">
        <f t="shared" si="6"/>
        <v>1.7516387433167398E-3</v>
      </c>
      <c r="Q37" s="45">
        <f t="shared" si="2"/>
        <v>3.3792590765247144</v>
      </c>
      <c r="R37" s="45">
        <f t="shared" si="3"/>
        <v>2.2739718616422017E-3</v>
      </c>
      <c r="T37">
        <f t="shared" si="4"/>
        <v>0.77380249396495571</v>
      </c>
    </row>
    <row r="38" spans="1:20" ht="16.5" x14ac:dyDescent="0.35">
      <c r="A38" t="s">
        <v>101</v>
      </c>
      <c r="B38" s="85">
        <f>B37/12.0107</f>
        <v>41.629546987269684</v>
      </c>
      <c r="D38" s="112" t="s">
        <v>94</v>
      </c>
      <c r="E38" s="113">
        <f>SUM(E34:E36)</f>
        <v>152.99999999999997</v>
      </c>
      <c r="F38" s="114">
        <f>SUM(F34:F36)</f>
        <v>1837.6370999999997</v>
      </c>
      <c r="H38" s="111" t="s">
        <v>95</v>
      </c>
      <c r="I38" s="110">
        <f>I34*I37</f>
        <v>0.95489237708797037</v>
      </c>
      <c r="J38" s="18"/>
      <c r="K38" s="18"/>
      <c r="M38" s="102">
        <f t="shared" si="5"/>
        <v>6.4999999999999911</v>
      </c>
      <c r="N38" s="45">
        <f t="shared" si="0"/>
        <v>0.18988252789900281</v>
      </c>
      <c r="O38" s="45">
        <f t="shared" si="6"/>
        <v>0.80780491971167168</v>
      </c>
      <c r="P38" s="45">
        <f t="shared" si="6"/>
        <v>2.3125523893256705E-3</v>
      </c>
      <c r="Q38" s="45">
        <f t="shared" si="2"/>
        <v>4.2542351244730501</v>
      </c>
      <c r="R38" s="45">
        <f t="shared" si="3"/>
        <v>2.8627609623262575E-3</v>
      </c>
      <c r="T38">
        <f t="shared" si="4"/>
        <v>0.81243002449032298</v>
      </c>
    </row>
    <row r="39" spans="1:20" ht="16.5" x14ac:dyDescent="0.35">
      <c r="H39" s="111" t="s">
        <v>96</v>
      </c>
      <c r="I39" s="110">
        <f>I35*I38</f>
        <v>1.8195099144236761E-2</v>
      </c>
      <c r="J39" s="18"/>
      <c r="K39" s="18"/>
      <c r="M39" s="102">
        <f t="shared" si="5"/>
        <v>6.5999999999999908</v>
      </c>
      <c r="N39" s="45">
        <f t="shared" si="0"/>
        <v>0.15686109909089083</v>
      </c>
      <c r="O39" s="45">
        <f t="shared" si="6"/>
        <v>0.84011113824696038</v>
      </c>
      <c r="P39" s="45">
        <f t="shared" si="6"/>
        <v>3.0277626621489592E-3</v>
      </c>
      <c r="Q39" s="45">
        <f t="shared" si="2"/>
        <v>5.3557647059464406</v>
      </c>
      <c r="R39" s="45">
        <f t="shared" si="3"/>
        <v>3.6040025233648469E-3</v>
      </c>
      <c r="T39">
        <f t="shared" si="4"/>
        <v>0.84616666357125825</v>
      </c>
    </row>
    <row r="40" spans="1:20" x14ac:dyDescent="0.35">
      <c r="H40" s="18"/>
      <c r="I40" s="18"/>
      <c r="J40" s="18"/>
      <c r="K40" s="18"/>
      <c r="M40" s="102">
        <f t="shared" si="5"/>
        <v>6.6999999999999904</v>
      </c>
      <c r="N40" s="45">
        <f t="shared" si="0"/>
        <v>0.12864879838145876</v>
      </c>
      <c r="O40" s="45">
        <f t="shared" si="6"/>
        <v>0.86741558931617035</v>
      </c>
      <c r="P40" s="45">
        <f t="shared" si="6"/>
        <v>3.9356123023709475E-3</v>
      </c>
      <c r="Q40" s="45">
        <f t="shared" si="2"/>
        <v>6.7425082879062845</v>
      </c>
      <c r="R40" s="45">
        <f t="shared" si="3"/>
        <v>4.5371703608343026E-3</v>
      </c>
      <c r="T40">
        <f t="shared" si="4"/>
        <v>0.87528681392091223</v>
      </c>
    </row>
    <row r="41" spans="1:20" x14ac:dyDescent="0.35">
      <c r="H41" s="18"/>
      <c r="I41" s="18"/>
      <c r="J41" s="18"/>
      <c r="K41" s="18"/>
      <c r="M41" s="102">
        <f t="shared" si="5"/>
        <v>6.7999999999999901</v>
      </c>
      <c r="N41" s="45">
        <f t="shared" si="0"/>
        <v>0.10485697584663123</v>
      </c>
      <c r="O41" s="45">
        <f t="shared" si="6"/>
        <v>0.89005904333251529</v>
      </c>
      <c r="P41" s="45">
        <f t="shared" si="6"/>
        <v>5.0839808208536941E-3</v>
      </c>
      <c r="Q41" s="45">
        <f t="shared" si="2"/>
        <v>8.4883150228779982</v>
      </c>
      <c r="R41" s="45">
        <f t="shared" si="3"/>
        <v>5.7119590648936087E-3</v>
      </c>
      <c r="T41">
        <f t="shared" si="4"/>
        <v>0.9002270049742227</v>
      </c>
    </row>
    <row r="42" spans="1:20" x14ac:dyDescent="0.35">
      <c r="H42" s="18"/>
      <c r="I42" s="18"/>
      <c r="J42" s="18"/>
      <c r="K42" s="18"/>
      <c r="M42" s="102">
        <f t="shared" si="5"/>
        <v>6.8999999999999897</v>
      </c>
      <c r="N42" s="45">
        <f t="shared" si="0"/>
        <v>8.5012334837303916E-2</v>
      </c>
      <c r="O42" s="45">
        <f t="shared" si="6"/>
        <v>0.90845502826661906</v>
      </c>
      <c r="P42" s="45">
        <f t="shared" si="6"/>
        <v>6.5326368960771731E-3</v>
      </c>
      <c r="Q42" s="45">
        <f t="shared" si="2"/>
        <v>10.68615548561529</v>
      </c>
      <c r="R42" s="45">
        <f t="shared" si="3"/>
        <v>7.190930417922607E-3</v>
      </c>
      <c r="T42">
        <f t="shared" si="4"/>
        <v>0.92152030205877344</v>
      </c>
    </row>
    <row r="43" spans="1:20" x14ac:dyDescent="0.35">
      <c r="H43" s="18"/>
      <c r="I43" s="18"/>
      <c r="J43" s="18"/>
      <c r="K43" s="18"/>
      <c r="M43" s="102">
        <f t="shared" si="5"/>
        <v>6.9999999999999893</v>
      </c>
      <c r="N43" s="45">
        <f t="shared" si="0"/>
        <v>6.8611287679008842E-2</v>
      </c>
      <c r="O43" s="45">
        <f t="shared" si="6"/>
        <v>0.92303264085868186</v>
      </c>
      <c r="P43" s="45">
        <f t="shared" si="6"/>
        <v>8.3560714623093363E-3</v>
      </c>
      <c r="Q43" s="45">
        <f t="shared" si="2"/>
        <v>13.453072695224716</v>
      </c>
      <c r="R43" s="45">
        <f t="shared" si="3"/>
        <v>9.0528450375664104E-3</v>
      </c>
      <c r="T43">
        <f t="shared" si="4"/>
        <v>0.93974478378330051</v>
      </c>
    </row>
    <row r="44" spans="1:20" x14ac:dyDescent="0.35">
      <c r="M44" s="102">
        <f t="shared" si="5"/>
        <v>7.099999999999989</v>
      </c>
      <c r="N44" s="45">
        <f t="shared" si="0"/>
        <v>5.5158910959016087E-2</v>
      </c>
      <c r="O44" s="45">
        <f t="shared" si="6"/>
        <v>0.93419421151338644</v>
      </c>
      <c r="P44" s="45">
        <f t="shared" si="6"/>
        <v>1.0646877527597604E-2</v>
      </c>
      <c r="Q44" s="45">
        <f t="shared" si="2"/>
        <v>16.936415082732633</v>
      </c>
      <c r="R44" s="45">
        <f t="shared" si="3"/>
        <v>1.1396856666827078E-2</v>
      </c>
      <c r="T44">
        <f t="shared" si="4"/>
        <v>0.95548796656858159</v>
      </c>
    </row>
    <row r="45" spans="1:20" x14ac:dyDescent="0.35">
      <c r="M45" s="102">
        <f t="shared" si="5"/>
        <v>7.1999999999999886</v>
      </c>
      <c r="N45" s="45">
        <f t="shared" si="0"/>
        <v>4.4193811674798238E-2</v>
      </c>
      <c r="O45" s="45">
        <f t="shared" si="6"/>
        <v>0.94228645777938824</v>
      </c>
      <c r="P45" s="45">
        <f t="shared" si="6"/>
        <v>1.3519730545813369E-2</v>
      </c>
      <c r="Q45" s="45">
        <f t="shared" si="2"/>
        <v>21.321683332346105</v>
      </c>
      <c r="R45" s="45">
        <f t="shared" si="3"/>
        <v>1.4347792472444363E-2</v>
      </c>
      <c r="T45">
        <f t="shared" si="4"/>
        <v>0.96932591887101494</v>
      </c>
    </row>
    <row r="46" spans="1:20" x14ac:dyDescent="0.35">
      <c r="M46" s="102">
        <f t="shared" si="5"/>
        <v>7.2999999999999883</v>
      </c>
      <c r="N46" s="45">
        <f t="shared" si="0"/>
        <v>3.5301687098692663E-2</v>
      </c>
      <c r="O46" s="45">
        <f t="shared" ref="O46:P61" si="7">Q46*N46</f>
        <v>0.94758232241002749</v>
      </c>
      <c r="P46" s="45">
        <f t="shared" si="7"/>
        <v>1.7115990491279869E-2</v>
      </c>
      <c r="Q46" s="45">
        <f t="shared" si="2"/>
        <v>26.842408969318623</v>
      </c>
      <c r="R46" s="45">
        <f t="shared" si="3"/>
        <v>1.8062800546709255E-2</v>
      </c>
      <c r="T46">
        <f t="shared" si="4"/>
        <v>0.98181430339258724</v>
      </c>
    </row>
    <row r="47" spans="1:20" x14ac:dyDescent="0.35">
      <c r="M47" s="102">
        <f t="shared" si="5"/>
        <v>7.3999999999999879</v>
      </c>
      <c r="N47" s="45">
        <f t="shared" si="0"/>
        <v>2.8120674430834568E-2</v>
      </c>
      <c r="O47" s="45">
        <f t="shared" si="7"/>
        <v>0.95027044308393427</v>
      </c>
      <c r="P47" s="45">
        <f t="shared" si="7"/>
        <v>2.1608882485231167E-2</v>
      </c>
      <c r="Q47" s="45">
        <f t="shared" si="2"/>
        <v>33.792590765246878</v>
      </c>
      <c r="R47" s="45">
        <f t="shared" si="3"/>
        <v>2.2739718616421836E-2</v>
      </c>
      <c r="T47">
        <f t="shared" si="4"/>
        <v>0.99348820805439664</v>
      </c>
    </row>
    <row r="48" spans="1:20" x14ac:dyDescent="0.35">
      <c r="M48" s="102">
        <f t="shared" si="5"/>
        <v>7.4999999999999876</v>
      </c>
      <c r="N48" s="45">
        <f t="shared" si="0"/>
        <v>2.2341257899660873E-2</v>
      </c>
      <c r="O48" s="45">
        <f t="shared" si="7"/>
        <v>0.95044964081647521</v>
      </c>
      <c r="P48" s="45">
        <f t="shared" si="7"/>
        <v>2.720910128386396E-2</v>
      </c>
      <c r="Q48" s="45">
        <f t="shared" si="2"/>
        <v>42.542351244730156</v>
      </c>
      <c r="R48" s="45">
        <f t="shared" si="3"/>
        <v>2.8627609623262339E-2</v>
      </c>
      <c r="T48">
        <f t="shared" si="4"/>
        <v>1.0048678433842031</v>
      </c>
    </row>
    <row r="49" spans="13:20" x14ac:dyDescent="0.35">
      <c r="M49" s="102">
        <f t="shared" si="5"/>
        <v>7.5999999999999872</v>
      </c>
      <c r="N49" s="45">
        <f t="shared" si="0"/>
        <v>1.7702916938060583E-2</v>
      </c>
      <c r="O49" s="45">
        <f t="shared" si="7"/>
        <v>0.94812657729165561</v>
      </c>
      <c r="P49" s="45">
        <f t="shared" si="7"/>
        <v>3.4170505770283743E-2</v>
      </c>
      <c r="Q49" s="45">
        <f t="shared" si="2"/>
        <v>53.557647059463989</v>
      </c>
      <c r="R49" s="45">
        <f t="shared" si="3"/>
        <v>3.6040025233648174E-2</v>
      </c>
      <c r="T49">
        <f t="shared" si="4"/>
        <v>1.016467588832223</v>
      </c>
    </row>
    <row r="50" spans="13:20" x14ac:dyDescent="0.35">
      <c r="M50" s="102">
        <f t="shared" si="5"/>
        <v>7.6999999999999869</v>
      </c>
      <c r="N50" s="45">
        <f t="shared" si="0"/>
        <v>1.398909085128658E-2</v>
      </c>
      <c r="O50" s="45">
        <f t="shared" si="7"/>
        <v>0.94321561005072951</v>
      </c>
      <c r="P50" s="45">
        <f t="shared" si="7"/>
        <v>4.2795299097983804E-2</v>
      </c>
      <c r="Q50" s="45">
        <f t="shared" si="2"/>
        <v>67.425082879062273</v>
      </c>
      <c r="R50" s="45">
        <f t="shared" si="3"/>
        <v>4.5371703608342653E-2</v>
      </c>
      <c r="T50">
        <f t="shared" si="4"/>
        <v>1.0288062082466971</v>
      </c>
    </row>
    <row r="51" spans="13:20" x14ac:dyDescent="0.35">
      <c r="M51" s="102">
        <f t="shared" si="5"/>
        <v>7.7999999999999865</v>
      </c>
      <c r="N51" s="45">
        <f t="shared" si="0"/>
        <v>1.1021513429347941E-2</v>
      </c>
      <c r="O51" s="45">
        <f t="shared" si="7"/>
        <v>0.93554078017185016</v>
      </c>
      <c r="P51" s="45">
        <f t="shared" si="7"/>
        <v>5.3437706398801972E-2</v>
      </c>
      <c r="Q51" s="45">
        <f t="shared" si="2"/>
        <v>84.883150228779328</v>
      </c>
      <c r="R51" s="45">
        <f t="shared" si="3"/>
        <v>5.7119590648935646E-2</v>
      </c>
      <c r="T51">
        <f t="shared" si="4"/>
        <v>1.0424161929694542</v>
      </c>
    </row>
    <row r="52" spans="13:20" x14ac:dyDescent="0.35">
      <c r="M52" s="102">
        <f t="shared" si="5"/>
        <v>7.8999999999999861</v>
      </c>
      <c r="N52" s="45">
        <f t="shared" si="0"/>
        <v>8.6545696909819253E-3</v>
      </c>
      <c r="O52" s="45">
        <f t="shared" si="7"/>
        <v>0.92484077378925611</v>
      </c>
      <c r="P52" s="45">
        <f t="shared" si="7"/>
        <v>6.6504656519761896E-2</v>
      </c>
      <c r="Q52" s="45">
        <f t="shared" si="2"/>
        <v>106.86155485615207</v>
      </c>
      <c r="R52" s="45">
        <f t="shared" si="3"/>
        <v>7.1909304179225503E-2</v>
      </c>
      <c r="T52">
        <f t="shared" si="4"/>
        <v>1.0578500868287799</v>
      </c>
    </row>
    <row r="53" spans="13:20" x14ac:dyDescent="0.35">
      <c r="M53" s="102">
        <f t="shared" si="5"/>
        <v>7.9999999999999858</v>
      </c>
      <c r="N53" s="45">
        <f t="shared" si="0"/>
        <v>6.7700413531453915E-3</v>
      </c>
      <c r="O53" s="45">
        <f t="shared" si="7"/>
        <v>0.91077858473541751</v>
      </c>
      <c r="P53" s="45">
        <f t="shared" si="7"/>
        <v>8.245137391143724E-2</v>
      </c>
      <c r="Q53" s="45">
        <f t="shared" si="2"/>
        <v>134.53072695224611</v>
      </c>
      <c r="R53" s="45">
        <f t="shared" si="3"/>
        <v>9.0528450375663455E-2</v>
      </c>
      <c r="T53">
        <f t="shared" si="4"/>
        <v>1.0756813325582919</v>
      </c>
    </row>
    <row r="54" spans="13:20" x14ac:dyDescent="0.35">
      <c r="M54" s="102">
        <f t="shared" si="5"/>
        <v>8.0999999999999854</v>
      </c>
      <c r="N54" s="45">
        <f t="shared" si="0"/>
        <v>5.2724168041429278E-3</v>
      </c>
      <c r="O54" s="45">
        <f t="shared" si="7"/>
        <v>0.89295839484138528</v>
      </c>
      <c r="P54" s="45">
        <f t="shared" si="7"/>
        <v>0.10176918835447166</v>
      </c>
      <c r="Q54" s="45">
        <f t="shared" si="2"/>
        <v>169.36415082732492</v>
      </c>
      <c r="R54" s="45">
        <f t="shared" si="3"/>
        <v>0.11396856666826985</v>
      </c>
      <c r="T54">
        <f t="shared" si="4"/>
        <v>1.0964967715503287</v>
      </c>
    </row>
    <row r="55" spans="13:20" x14ac:dyDescent="0.35">
      <c r="M55" s="102">
        <f t="shared" si="5"/>
        <v>8.1999999999999851</v>
      </c>
      <c r="N55" s="45">
        <f t="shared" si="0"/>
        <v>4.084821446665012E-3</v>
      </c>
      <c r="O55" s="45">
        <f t="shared" si="7"/>
        <v>0.87095269354966565</v>
      </c>
      <c r="P55" s="45">
        <f t="shared" si="7"/>
        <v>0.12496248500366933</v>
      </c>
      <c r="Q55" s="45">
        <f t="shared" si="2"/>
        <v>213.21683332345927</v>
      </c>
      <c r="R55" s="45">
        <f t="shared" si="3"/>
        <v>0.14347792472444246</v>
      </c>
      <c r="T55">
        <f t="shared" si="4"/>
        <v>1.1208776635570044</v>
      </c>
    </row>
    <row r="56" spans="13:20" x14ac:dyDescent="0.35">
      <c r="M56" s="102">
        <f t="shared" si="5"/>
        <v>8.2999999999999847</v>
      </c>
      <c r="N56" s="45">
        <f t="shared" si="0"/>
        <v>3.145554254340272E-3</v>
      </c>
      <c r="O56" s="45">
        <f t="shared" si="7"/>
        <v>0.84434253730181053</v>
      </c>
      <c r="P56" s="45">
        <f t="shared" si="7"/>
        <v>0.15251190844384901</v>
      </c>
      <c r="Q56" s="45">
        <f t="shared" si="2"/>
        <v>268.42408969318427</v>
      </c>
      <c r="R56" s="45">
        <f t="shared" si="3"/>
        <v>0.18062800546709112</v>
      </c>
      <c r="T56">
        <f t="shared" si="4"/>
        <v>1.1493663541895085</v>
      </c>
    </row>
    <row r="57" spans="13:20" x14ac:dyDescent="0.35">
      <c r="M57" s="102">
        <f t="shared" si="5"/>
        <v>8.3999999999999844</v>
      </c>
      <c r="N57" s="45">
        <f t="shared" si="0"/>
        <v>2.4051799406894689E-3</v>
      </c>
      <c r="O57" s="45">
        <f t="shared" si="7"/>
        <v>0.8127726145249935</v>
      </c>
      <c r="P57" s="45">
        <f t="shared" si="7"/>
        <v>0.18482220553431702</v>
      </c>
      <c r="Q57" s="45">
        <f t="shared" si="2"/>
        <v>337.92590765246615</v>
      </c>
      <c r="R57" s="45">
        <f t="shared" si="3"/>
        <v>0.22739718616421664</v>
      </c>
      <c r="T57">
        <f t="shared" si="4"/>
        <v>1.1824170255936275</v>
      </c>
    </row>
    <row r="58" spans="13:20" x14ac:dyDescent="0.35">
      <c r="M58" s="102">
        <f t="shared" si="5"/>
        <v>8.499999999999984</v>
      </c>
      <c r="N58" s="45">
        <f t="shared" si="0"/>
        <v>1.8241115243884619E-3</v>
      </c>
      <c r="O58" s="45">
        <f t="shared" si="7"/>
        <v>0.77601993180093509</v>
      </c>
      <c r="P58" s="45">
        <f t="shared" si="7"/>
        <v>0.22215595667467652</v>
      </c>
      <c r="Q58" s="45">
        <f t="shared" si="2"/>
        <v>425.42351244729826</v>
      </c>
      <c r="R58" s="45">
        <f t="shared" si="3"/>
        <v>0.28627609623262107</v>
      </c>
      <c r="T58">
        <f t="shared" si="4"/>
        <v>1.2203318451502883</v>
      </c>
    </row>
    <row r="59" spans="13:20" x14ac:dyDescent="0.35">
      <c r="M59" s="102">
        <f t="shared" si="5"/>
        <v>8.5999999999999837</v>
      </c>
      <c r="N59" s="45">
        <f t="shared" si="0"/>
        <v>1.3706171051828255E-3</v>
      </c>
      <c r="O59" s="45">
        <f t="shared" si="7"/>
        <v>0.73407027173045392</v>
      </c>
      <c r="P59" s="45">
        <f t="shared" si="7"/>
        <v>0.26455911116436315</v>
      </c>
      <c r="Q59" s="45">
        <f t="shared" si="2"/>
        <v>535.57647059463545</v>
      </c>
      <c r="R59" s="45">
        <f t="shared" si="3"/>
        <v>0.36040025233647882</v>
      </c>
      <c r="T59">
        <f t="shared" si="4"/>
        <v>1.2631884940591802</v>
      </c>
    </row>
    <row r="60" spans="13:20" x14ac:dyDescent="0.35">
      <c r="M60" s="102">
        <f t="shared" si="5"/>
        <v>8.6999999999999833</v>
      </c>
      <c r="N60" s="45">
        <f t="shared" si="0"/>
        <v>1.019191460397278E-3</v>
      </c>
      <c r="O60" s="45">
        <f t="shared" si="7"/>
        <v>0.68719068686918461</v>
      </c>
      <c r="P60" s="45">
        <f t="shared" si="7"/>
        <v>0.31179012167041809</v>
      </c>
      <c r="Q60" s="45">
        <f t="shared" si="2"/>
        <v>674.25082879061756</v>
      </c>
      <c r="R60" s="45">
        <f t="shared" si="3"/>
        <v>0.45371703608342301</v>
      </c>
      <c r="T60">
        <f t="shared" si="4"/>
        <v>1.3107709302100208</v>
      </c>
    </row>
    <row r="61" spans="13:20" x14ac:dyDescent="0.35">
      <c r="M61" s="102">
        <f t="shared" si="5"/>
        <v>8.7999999999999829</v>
      </c>
      <c r="N61" s="45">
        <f t="shared" si="0"/>
        <v>7.4924293776039679E-4</v>
      </c>
      <c r="O61" s="45">
        <f t="shared" si="7"/>
        <v>0.63598100843767158</v>
      </c>
      <c r="P61" s="45">
        <f t="shared" si="7"/>
        <v>0.36326974862456801</v>
      </c>
      <c r="Q61" s="45">
        <f t="shared" si="2"/>
        <v>848.83150228778584</v>
      </c>
      <c r="R61" s="45">
        <f t="shared" si="3"/>
        <v>0.57119590648935192</v>
      </c>
      <c r="T61">
        <f t="shared" si="4"/>
        <v>1.3625205056868075</v>
      </c>
    </row>
    <row r="62" spans="13:20" x14ac:dyDescent="0.35">
      <c r="M62" s="102">
        <f t="shared" si="5"/>
        <v>8.8999999999999826</v>
      </c>
      <c r="N62" s="45">
        <f t="shared" si="0"/>
        <v>5.4405497277664697E-4</v>
      </c>
      <c r="O62" s="45">
        <f t="shared" ref="O62:P77" si="8">Q62*N62</f>
        <v>0.58138560318133536</v>
      </c>
      <c r="P62" s="45">
        <f t="shared" si="8"/>
        <v>0.41807034184588804</v>
      </c>
      <c r="Q62" s="45">
        <f t="shared" si="2"/>
        <v>1068.6155485615125</v>
      </c>
      <c r="R62" s="45">
        <f t="shared" si="3"/>
        <v>0.71909304179224931</v>
      </c>
      <c r="T62">
        <f t="shared" si="4"/>
        <v>1.4175262868731116</v>
      </c>
    </row>
    <row r="63" spans="13:20" x14ac:dyDescent="0.35">
      <c r="M63" s="102">
        <f t="shared" si="5"/>
        <v>8.9999999999999822</v>
      </c>
      <c r="N63" s="45">
        <f t="shared" si="0"/>
        <v>3.8998623097812946E-4</v>
      </c>
      <c r="O63" s="45">
        <f t="shared" si="8"/>
        <v>0.52465131154853906</v>
      </c>
      <c r="P63" s="45">
        <f t="shared" si="8"/>
        <v>0.47495870222048275</v>
      </c>
      <c r="Q63" s="45">
        <f t="shared" si="2"/>
        <v>1345.3072695224505</v>
      </c>
      <c r="R63" s="45">
        <f t="shared" si="3"/>
        <v>0.90528450375662717</v>
      </c>
      <c r="T63">
        <f t="shared" si="4"/>
        <v>1.4745687159895047</v>
      </c>
    </row>
    <row r="64" spans="13:20" x14ac:dyDescent="0.35">
      <c r="M64" s="102">
        <f t="shared" si="5"/>
        <v>9.0999999999999819</v>
      </c>
      <c r="N64" s="45">
        <f t="shared" si="0"/>
        <v>2.7587268837064865E-4</v>
      </c>
      <c r="O64" s="45">
        <f t="shared" si="8"/>
        <v>0.46722943602345784</v>
      </c>
      <c r="P64" s="45">
        <f t="shared" si="8"/>
        <v>0.5324946912881714</v>
      </c>
      <c r="Q64" s="45">
        <f t="shared" si="2"/>
        <v>1693.6415082732362</v>
      </c>
      <c r="R64" s="45">
        <f t="shared" si="3"/>
        <v>1.1396856666826891</v>
      </c>
      <c r="T64">
        <f t="shared" si="4"/>
        <v>1.5322188185998007</v>
      </c>
    </row>
    <row r="65" spans="13:20" x14ac:dyDescent="0.35">
      <c r="M65" s="102">
        <f t="shared" si="5"/>
        <v>9.1999999999999815</v>
      </c>
      <c r="N65" s="45">
        <f t="shared" si="0"/>
        <v>1.9259068174469352E-4</v>
      </c>
      <c r="O65" s="45">
        <f t="shared" si="8"/>
        <v>0.41063575289209386</v>
      </c>
      <c r="P65" s="45">
        <f t="shared" si="8"/>
        <v>0.58917165642616143</v>
      </c>
      <c r="Q65" s="45">
        <f t="shared" si="2"/>
        <v>2132.168333234576</v>
      </c>
      <c r="R65" s="45">
        <f t="shared" si="3"/>
        <v>1.4347792472444134</v>
      </c>
      <c r="T65">
        <f t="shared" si="4"/>
        <v>1.5889790657444167</v>
      </c>
    </row>
    <row r="66" spans="13:20" x14ac:dyDescent="0.35">
      <c r="M66" s="102">
        <f t="shared" si="5"/>
        <v>9.2999999999999812</v>
      </c>
      <c r="N66" s="45">
        <f t="shared" si="0"/>
        <v>1.3273634382224295E-4</v>
      </c>
      <c r="O66" s="45">
        <f t="shared" si="8"/>
        <v>0.35629632259686778</v>
      </c>
      <c r="P66" s="45">
        <f t="shared" si="8"/>
        <v>0.6435709410593099</v>
      </c>
      <c r="Q66" s="45">
        <f t="shared" si="2"/>
        <v>2684.2408969318194</v>
      </c>
      <c r="R66" s="45">
        <f t="shared" si="3"/>
        <v>1.806280054670897</v>
      </c>
      <c r="T66">
        <f t="shared" si="4"/>
        <v>1.6434382047154876</v>
      </c>
    </row>
    <row r="67" spans="13:20" x14ac:dyDescent="0.35">
      <c r="M67" s="102">
        <f t="shared" si="5"/>
        <v>9.3999999999999808</v>
      </c>
      <c r="N67" s="45">
        <f t="shared" si="0"/>
        <v>9.0378330771343049E-5</v>
      </c>
      <c r="O67" s="45">
        <f t="shared" si="8"/>
        <v>0.30541179458020673</v>
      </c>
      <c r="P67" s="45">
        <f t="shared" si="8"/>
        <v>0.69449782708902197</v>
      </c>
      <c r="Q67" s="45">
        <f t="shared" si="2"/>
        <v>3379.2590765246355</v>
      </c>
      <c r="R67" s="45">
        <f t="shared" si="3"/>
        <v>2.2739718616421478</v>
      </c>
      <c r="T67">
        <f t="shared" si="4"/>
        <v>1.6944074487582506</v>
      </c>
    </row>
    <row r="68" spans="13:20" x14ac:dyDescent="0.35">
      <c r="M68" s="102">
        <f t="shared" si="5"/>
        <v>9.4999999999999805</v>
      </c>
      <c r="N68" s="45">
        <f t="shared" si="0"/>
        <v>6.0849112749282661E-5</v>
      </c>
      <c r="O68" s="45">
        <f t="shared" si="8"/>
        <v>0.25886643275101306</v>
      </c>
      <c r="P68" s="45">
        <f t="shared" si="8"/>
        <v>0.74107271813623754</v>
      </c>
      <c r="Q68" s="45">
        <f t="shared" si="2"/>
        <v>4254.2351244729498</v>
      </c>
      <c r="R68" s="45">
        <f t="shared" si="3"/>
        <v>2.8627609623261878</v>
      </c>
      <c r="T68">
        <f t="shared" si="4"/>
        <v>1.7410118690234881</v>
      </c>
    </row>
    <row r="69" spans="13:20" x14ac:dyDescent="0.35">
      <c r="M69" s="102">
        <f t="shared" si="5"/>
        <v>9.5999999999999801</v>
      </c>
      <c r="N69" s="45">
        <f t="shared" si="0"/>
        <v>4.0553220183179736E-5</v>
      </c>
      <c r="O69" s="45">
        <f t="shared" si="8"/>
        <v>0.21719350536954371</v>
      </c>
      <c r="P69" s="45">
        <f t="shared" si="8"/>
        <v>0.78276594141027311</v>
      </c>
      <c r="Q69" s="45">
        <f t="shared" si="2"/>
        <v>5355.7647059463134</v>
      </c>
      <c r="R69" s="45">
        <f t="shared" si="3"/>
        <v>3.6040025233647599</v>
      </c>
      <c r="T69">
        <f t="shared" si="4"/>
        <v>1.78272538819009</v>
      </c>
    </row>
    <row r="70" spans="13:20" x14ac:dyDescent="0.35">
      <c r="M70" s="102">
        <f t="shared" si="5"/>
        <v>9.6999999999999797</v>
      </c>
      <c r="N70" s="45">
        <f t="shared" si="0"/>
        <v>2.6784219355978067E-5</v>
      </c>
      <c r="O70" s="45">
        <f t="shared" si="8"/>
        <v>0.18059282099277771</v>
      </c>
      <c r="P70" s="45">
        <f t="shared" si="8"/>
        <v>0.81938039478786628</v>
      </c>
      <c r="Q70" s="45">
        <f t="shared" si="2"/>
        <v>6742.5082879061229</v>
      </c>
      <c r="R70" s="45">
        <f t="shared" si="3"/>
        <v>4.5371703608341942</v>
      </c>
      <c r="T70">
        <f t="shared" si="4"/>
        <v>1.8193536105685102</v>
      </c>
    </row>
    <row r="71" spans="13:20" x14ac:dyDescent="0.35">
      <c r="M71" s="102">
        <f t="shared" si="5"/>
        <v>9.7999999999999794</v>
      </c>
      <c r="N71" s="45">
        <f t="shared" si="0"/>
        <v>1.7551797075689138E-5</v>
      </c>
      <c r="O71" s="45">
        <f t="shared" si="8"/>
        <v>0.14898518279607462</v>
      </c>
      <c r="P71" s="45">
        <f t="shared" si="8"/>
        <v>0.85099726540684961</v>
      </c>
      <c r="Q71" s="45">
        <f t="shared" si="2"/>
        <v>8488.3150228777922</v>
      </c>
      <c r="R71" s="45">
        <f t="shared" si="3"/>
        <v>5.7119590648934739</v>
      </c>
      <c r="T71">
        <f t="shared" si="4"/>
        <v>1.8509797136097739</v>
      </c>
    </row>
    <row r="72" spans="13:20" x14ac:dyDescent="0.35">
      <c r="M72" s="102">
        <f t="shared" si="5"/>
        <v>9.899999999999979</v>
      </c>
      <c r="N72" s="45">
        <f t="shared" si="0"/>
        <v>1.1424581831708602E-5</v>
      </c>
      <c r="O72" s="45">
        <f t="shared" si="8"/>
        <v>0.1220848578117707</v>
      </c>
      <c r="P72" s="45">
        <f t="shared" si="8"/>
        <v>0.87790371760639752</v>
      </c>
      <c r="Q72" s="45">
        <f t="shared" si="2"/>
        <v>10686.155485615031</v>
      </c>
      <c r="R72" s="45">
        <f t="shared" si="3"/>
        <v>7.1909304179224369</v>
      </c>
      <c r="T72">
        <f t="shared" si="4"/>
        <v>1.8778922930245656</v>
      </c>
    </row>
    <row r="73" spans="13:20" x14ac:dyDescent="0.35">
      <c r="M73" s="102">
        <f t="shared" si="5"/>
        <v>9.9999999999999787</v>
      </c>
      <c r="N73" s="45">
        <f t="shared" si="0"/>
        <v>7.3941168884727006E-6</v>
      </c>
      <c r="O73" s="45">
        <f t="shared" si="8"/>
        <v>9.9473592017609608E-2</v>
      </c>
      <c r="P73" s="45">
        <f t="shared" si="8"/>
        <v>0.90051901386550193</v>
      </c>
      <c r="Q73" s="45">
        <f t="shared" si="2"/>
        <v>13453.072695224389</v>
      </c>
      <c r="R73" s="45">
        <f t="shared" si="3"/>
        <v>9.0528450375662004</v>
      </c>
      <c r="T73">
        <f t="shared" si="4"/>
        <v>1.9005116197486134</v>
      </c>
    </row>
    <row r="74" spans="13:20" x14ac:dyDescent="0.35">
      <c r="M74" s="102">
        <f t="shared" si="5"/>
        <v>10.099999999999978</v>
      </c>
      <c r="N74" s="45">
        <f t="shared" si="0"/>
        <v>4.7628276112266591E-6</v>
      </c>
      <c r="O74" s="45">
        <f t="shared" si="8"/>
        <v>8.0665225391232637E-2</v>
      </c>
      <c r="P74" s="45">
        <f t="shared" si="8"/>
        <v>0.91933001178115625</v>
      </c>
      <c r="Q74" s="45">
        <f t="shared" si="2"/>
        <v>16936.415082732216</v>
      </c>
      <c r="R74" s="45">
        <f t="shared" si="3"/>
        <v>11.396856666826801</v>
      </c>
      <c r="T74">
        <f t="shared" si="4"/>
        <v>1.9193252489535451</v>
      </c>
    </row>
    <row r="75" spans="13:20" x14ac:dyDescent="0.35">
      <c r="M75" s="102">
        <f t="shared" si="5"/>
        <v>10.199999999999978</v>
      </c>
      <c r="N75" s="45">
        <f t="shared" si="0"/>
        <v>3.0558446041378924E-6</v>
      </c>
      <c r="O75" s="45">
        <f t="shared" si="8"/>
        <v>6.5155750962285069E-2</v>
      </c>
      <c r="P75" s="45">
        <f t="shared" si="8"/>
        <v>0.93484119319311065</v>
      </c>
      <c r="Q75" s="45">
        <f t="shared" si="2"/>
        <v>21321.683332345579</v>
      </c>
      <c r="R75" s="45">
        <f t="shared" si="3"/>
        <v>14.347792472444016</v>
      </c>
      <c r="T75">
        <f t="shared" si="4"/>
        <v>1.9348381373485064</v>
      </c>
    </row>
    <row r="76" spans="13:20" x14ac:dyDescent="0.35">
      <c r="M76" s="102">
        <f t="shared" si="5"/>
        <v>10.299999999999978</v>
      </c>
      <c r="N76" s="45">
        <f t="shared" si="0"/>
        <v>1.9542987687295438E-6</v>
      </c>
      <c r="O76" s="45">
        <f t="shared" si="8"/>
        <v>5.2458086798473053E-2</v>
      </c>
      <c r="P76" s="45">
        <f t="shared" si="8"/>
        <v>0.94753995890275822</v>
      </c>
      <c r="Q76" s="45">
        <f t="shared" si="2"/>
        <v>26842.40896931801</v>
      </c>
      <c r="R76" s="45">
        <f t="shared" si="3"/>
        <v>18.062800546708829</v>
      </c>
      <c r="T76">
        <f t="shared" si="4"/>
        <v>1.9475380046039894</v>
      </c>
    </row>
    <row r="77" spans="13:20" x14ac:dyDescent="0.35">
      <c r="M77" s="102">
        <f t="shared" si="5"/>
        <v>10.399999999999977</v>
      </c>
      <c r="N77" s="45">
        <f t="shared" si="0"/>
        <v>1.2465290459688671E-6</v>
      </c>
      <c r="O77" s="45">
        <f t="shared" si="8"/>
        <v>4.2123445927418554E-2</v>
      </c>
      <c r="P77" s="45">
        <f t="shared" si="8"/>
        <v>0.95787530754353556</v>
      </c>
      <c r="Q77" s="45">
        <f t="shared" si="2"/>
        <v>33792.590765246088</v>
      </c>
      <c r="R77" s="45">
        <f t="shared" si="3"/>
        <v>22.739718616421296</v>
      </c>
      <c r="T77">
        <f t="shared" si="4"/>
        <v>1.9578740610144896</v>
      </c>
    </row>
    <row r="78" spans="13:20" x14ac:dyDescent="0.35">
      <c r="M78" s="102">
        <f t="shared" si="5"/>
        <v>10.499999999999977</v>
      </c>
      <c r="N78" s="45">
        <f t="shared" si="0"/>
        <v>7.9338055618498234E-7</v>
      </c>
      <c r="O78" s="45">
        <f t="shared" ref="O78:P83" si="9">Q78*N78</f>
        <v>3.3752274291960101E-2</v>
      </c>
      <c r="P78" s="45">
        <f t="shared" si="9"/>
        <v>0.9662469323274836</v>
      </c>
      <c r="Q78" s="45">
        <f t="shared" si="2"/>
        <v>42542.351244729165</v>
      </c>
      <c r="R78" s="45">
        <f t="shared" si="3"/>
        <v>28.627609623261645</v>
      </c>
      <c r="T78">
        <f t="shared" ref="T78:T83" si="10">O78+2*P78</f>
        <v>1.9662461389469272</v>
      </c>
    </row>
    <row r="79" spans="13:20" x14ac:dyDescent="0.35">
      <c r="M79" s="102">
        <f t="shared" ref="M79:M83" si="11">M78+0.1</f>
        <v>10.599999999999977</v>
      </c>
      <c r="N79" s="45">
        <f t="shared" ref="N79:N83" si="12">(1+Q79*(1+R79))^(-1)</f>
        <v>5.0408876516064242E-7</v>
      </c>
      <c r="O79" s="45">
        <f t="shared" si="9"/>
        <v>2.6997808171114072E-2</v>
      </c>
      <c r="P79" s="45">
        <f t="shared" si="9"/>
        <v>0.97300168774012075</v>
      </c>
      <c r="Q79" s="45">
        <f t="shared" ref="Q79:Q83" si="13">10^(M79-$Q$10)</f>
        <v>53557.647059462717</v>
      </c>
      <c r="R79" s="45">
        <f t="shared" ref="R79:R83" si="14">10^(M79-$R$10)</f>
        <v>36.040025233647313</v>
      </c>
      <c r="T79">
        <f t="shared" si="10"/>
        <v>1.9730011836513555</v>
      </c>
    </row>
    <row r="80" spans="13:20" x14ac:dyDescent="0.35">
      <c r="M80" s="102">
        <f t="shared" si="11"/>
        <v>10.699999999999976</v>
      </c>
      <c r="N80" s="45">
        <f t="shared" si="12"/>
        <v>3.1983450902422866E-7</v>
      </c>
      <c r="O80" s="45">
        <f t="shared" si="9"/>
        <v>2.1564868278542305E-2</v>
      </c>
      <c r="P80" s="45">
        <f t="shared" si="9"/>
        <v>0.9784348118869487</v>
      </c>
      <c r="Q80" s="45">
        <f t="shared" si="13"/>
        <v>67425.082879060705</v>
      </c>
      <c r="R80" s="45">
        <f t="shared" si="14"/>
        <v>45.371703608341576</v>
      </c>
      <c r="T80">
        <f t="shared" si="10"/>
        <v>1.9784344920524397</v>
      </c>
    </row>
    <row r="81" spans="12:25" x14ac:dyDescent="0.35">
      <c r="M81" s="102">
        <f t="shared" si="11"/>
        <v>10.799999999999976</v>
      </c>
      <c r="N81" s="45">
        <f t="shared" si="12"/>
        <v>2.0270099299014796E-7</v>
      </c>
      <c r="O81" s="45">
        <f t="shared" si="9"/>
        <v>1.720589883950506E-2</v>
      </c>
      <c r="P81" s="45">
        <f t="shared" si="9"/>
        <v>0.98279389845950216</v>
      </c>
      <c r="Q81" s="45">
        <f t="shared" si="13"/>
        <v>84883.150228777275</v>
      </c>
      <c r="R81" s="45">
        <f t="shared" si="14"/>
        <v>57.119590648934263</v>
      </c>
      <c r="T81">
        <f t="shared" si="10"/>
        <v>1.9827936957585093</v>
      </c>
    </row>
    <row r="82" spans="12:25" x14ac:dyDescent="0.35">
      <c r="M82" s="102">
        <f t="shared" si="11"/>
        <v>10.899999999999975</v>
      </c>
      <c r="N82" s="45">
        <f t="shared" si="12"/>
        <v>1.2834989029344253E-7</v>
      </c>
      <c r="O82" s="45">
        <f t="shared" si="9"/>
        <v>1.3715668842373477E-2</v>
      </c>
      <c r="P82" s="45">
        <f t="shared" si="9"/>
        <v>0.98628420280773621</v>
      </c>
      <c r="Q82" s="45">
        <f t="shared" si="13"/>
        <v>106861.55485614948</v>
      </c>
      <c r="R82" s="45">
        <f t="shared" si="14"/>
        <v>71.909304179223767</v>
      </c>
      <c r="T82">
        <f t="shared" si="10"/>
        <v>1.9862840744578458</v>
      </c>
    </row>
    <row r="83" spans="12:25" x14ac:dyDescent="0.35">
      <c r="M83" s="102">
        <f t="shared" si="11"/>
        <v>10.999999999999975</v>
      </c>
      <c r="N83" s="45">
        <f t="shared" si="12"/>
        <v>8.1212403958081699E-8</v>
      </c>
      <c r="O83" s="45">
        <f t="shared" si="9"/>
        <v>1.0925563742019934E-2</v>
      </c>
      <c r="P83" s="45">
        <f t="shared" si="9"/>
        <v>0.98907435504557606</v>
      </c>
      <c r="Q83" s="45">
        <f t="shared" si="13"/>
        <v>134530.72695224284</v>
      </c>
      <c r="R83" s="45">
        <f t="shared" si="14"/>
        <v>90.528450375661308</v>
      </c>
      <c r="T83">
        <f t="shared" si="10"/>
        <v>1.9890742738331721</v>
      </c>
    </row>
    <row r="84" spans="12:25" x14ac:dyDescent="0.35">
      <c r="M84" s="102"/>
      <c r="N84" s="45"/>
      <c r="O84" s="45"/>
      <c r="P84" s="45"/>
      <c r="Q84" s="45"/>
      <c r="R84" s="45"/>
    </row>
    <row r="85" spans="12:25" x14ac:dyDescent="0.35">
      <c r="M85" s="102"/>
      <c r="N85" s="45"/>
      <c r="O85" s="45"/>
      <c r="P85" s="45"/>
      <c r="Q85" s="45"/>
      <c r="R85" s="45"/>
    </row>
    <row r="86" spans="12:25" x14ac:dyDescent="0.35">
      <c r="M86" s="102"/>
      <c r="N86" s="45"/>
      <c r="O86" s="45"/>
      <c r="P86" s="45"/>
      <c r="Q86" s="45"/>
      <c r="R86" s="45"/>
    </row>
    <row r="87" spans="12:25" x14ac:dyDescent="0.35">
      <c r="L87" s="45"/>
      <c r="M87" s="102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</row>
    <row r="88" spans="12:25" x14ac:dyDescent="0.35">
      <c r="L88" s="45"/>
      <c r="M88" s="102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</row>
    <row r="89" spans="12:25" x14ac:dyDescent="0.35">
      <c r="L89" s="45"/>
      <c r="M89" s="102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</row>
    <row r="90" spans="12:25" x14ac:dyDescent="0.35">
      <c r="L90" s="45"/>
      <c r="M90" s="102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</row>
    <row r="91" spans="12:25" x14ac:dyDescent="0.35">
      <c r="L91" s="45"/>
      <c r="M91" s="102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</row>
    <row r="92" spans="12:25" x14ac:dyDescent="0.35">
      <c r="L92" s="45"/>
      <c r="M92" s="102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</row>
    <row r="93" spans="12:25" x14ac:dyDescent="0.35">
      <c r="L93" s="45"/>
      <c r="M93" s="102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</row>
    <row r="94" spans="12:25" x14ac:dyDescent="0.35">
      <c r="L94" s="45"/>
      <c r="M94" s="102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</row>
    <row r="95" spans="12:25" x14ac:dyDescent="0.35">
      <c r="L95" s="45"/>
      <c r="M95" s="102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</row>
    <row r="96" spans="12:25" x14ac:dyDescent="0.35">
      <c r="L96" s="45"/>
      <c r="M96" s="102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</row>
    <row r="97" spans="12:25" x14ac:dyDescent="0.35">
      <c r="L97" s="45"/>
      <c r="M97" s="102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</row>
    <row r="98" spans="12:25" x14ac:dyDescent="0.35">
      <c r="L98" s="45"/>
      <c r="M98" s="102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</row>
    <row r="99" spans="12:25" x14ac:dyDescent="0.35">
      <c r="L99" s="45"/>
      <c r="M99" s="102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</row>
    <row r="100" spans="12:25" x14ac:dyDescent="0.35">
      <c r="M100" s="102"/>
      <c r="N100" s="45"/>
      <c r="O100" s="45"/>
      <c r="P100" s="45"/>
      <c r="Q100" s="45"/>
      <c r="R100" s="45"/>
    </row>
    <row r="101" spans="12:25" x14ac:dyDescent="0.35">
      <c r="M101" s="102"/>
      <c r="N101" s="45"/>
      <c r="O101" s="45"/>
      <c r="P101" s="45"/>
      <c r="Q101" s="45"/>
      <c r="R101" s="45"/>
    </row>
    <row r="102" spans="12:25" x14ac:dyDescent="0.35">
      <c r="M102" s="102"/>
      <c r="N102" s="45"/>
      <c r="O102" s="45"/>
      <c r="P102" s="45"/>
      <c r="Q102" s="45"/>
      <c r="R102" s="45"/>
    </row>
    <row r="103" spans="12:25" x14ac:dyDescent="0.35">
      <c r="M103" s="102"/>
      <c r="N103" s="45"/>
      <c r="O103" s="45"/>
      <c r="P103" s="45"/>
      <c r="Q103" s="45"/>
      <c r="R103" s="45"/>
    </row>
    <row r="104" spans="12:25" x14ac:dyDescent="0.35">
      <c r="M104" s="102"/>
      <c r="N104" s="45"/>
      <c r="O104" s="45"/>
      <c r="P104" s="45"/>
      <c r="Q104" s="45"/>
      <c r="R104" s="45"/>
    </row>
    <row r="105" spans="12:25" x14ac:dyDescent="0.35">
      <c r="M105" s="102"/>
      <c r="N105" s="45"/>
      <c r="O105" s="45"/>
      <c r="P105" s="45"/>
      <c r="Q105" s="45"/>
      <c r="R105" s="45"/>
    </row>
    <row r="106" spans="12:25" x14ac:dyDescent="0.35">
      <c r="M106" s="102"/>
      <c r="N106" s="45"/>
      <c r="O106" s="45"/>
      <c r="P106" s="45"/>
      <c r="Q106" s="45"/>
      <c r="R106" s="45"/>
    </row>
    <row r="107" spans="12:25" x14ac:dyDescent="0.35">
      <c r="M107" s="102"/>
      <c r="N107" s="45"/>
      <c r="O107" s="45"/>
      <c r="P107" s="45"/>
      <c r="Q107" s="45"/>
      <c r="R107" s="45"/>
    </row>
    <row r="108" spans="12:25" x14ac:dyDescent="0.35">
      <c r="M108" s="102"/>
      <c r="N108" s="45"/>
      <c r="O108" s="45"/>
      <c r="P108" s="45"/>
      <c r="Q108" s="45"/>
      <c r="R108" s="45"/>
    </row>
    <row r="109" spans="12:25" x14ac:dyDescent="0.35">
      <c r="M109" s="102"/>
      <c r="N109" s="45"/>
      <c r="O109" s="45"/>
      <c r="P109" s="45"/>
      <c r="Q109" s="45"/>
      <c r="R109" s="45"/>
    </row>
    <row r="110" spans="12:25" x14ac:dyDescent="0.35">
      <c r="M110" s="102"/>
      <c r="N110" s="45"/>
      <c r="O110" s="45"/>
      <c r="P110" s="45"/>
      <c r="Q110" s="45"/>
      <c r="R110" s="45"/>
    </row>
    <row r="111" spans="12:25" x14ac:dyDescent="0.35">
      <c r="M111" s="102"/>
      <c r="N111" s="45"/>
      <c r="O111" s="45"/>
      <c r="P111" s="45"/>
      <c r="Q111" s="45"/>
      <c r="R111" s="45"/>
    </row>
    <row r="112" spans="12:25" x14ac:dyDescent="0.35">
      <c r="M112" s="102"/>
      <c r="N112" s="45"/>
      <c r="O112" s="45"/>
      <c r="P112" s="45"/>
      <c r="Q112" s="45"/>
      <c r="R112" s="45"/>
    </row>
    <row r="113" spans="13:18" x14ac:dyDescent="0.35">
      <c r="M113" s="102"/>
      <c r="N113" s="45"/>
      <c r="O113" s="45"/>
      <c r="P113" s="45"/>
      <c r="Q113" s="45"/>
      <c r="R113" s="45"/>
    </row>
    <row r="114" spans="13:18" x14ac:dyDescent="0.35">
      <c r="M114" s="102"/>
      <c r="N114" s="45"/>
      <c r="O114" s="45"/>
      <c r="P114" s="45"/>
      <c r="Q114" s="45"/>
      <c r="R114" s="45"/>
    </row>
    <row r="115" spans="13:18" x14ac:dyDescent="0.35">
      <c r="M115" s="102"/>
      <c r="N115" s="45"/>
      <c r="O115" s="45"/>
      <c r="P115" s="45"/>
      <c r="Q115" s="45"/>
      <c r="R115" s="45"/>
    </row>
    <row r="116" spans="13:18" x14ac:dyDescent="0.35">
      <c r="M116" s="102"/>
      <c r="N116" s="45"/>
      <c r="O116" s="45"/>
      <c r="P116" s="45"/>
      <c r="Q116" s="45"/>
      <c r="R116" s="45"/>
    </row>
    <row r="117" spans="13:18" x14ac:dyDescent="0.35">
      <c r="M117" s="102"/>
      <c r="N117" s="45"/>
      <c r="O117" s="45"/>
      <c r="P117" s="45"/>
      <c r="Q117" s="45"/>
      <c r="R117" s="45"/>
    </row>
    <row r="118" spans="13:18" x14ac:dyDescent="0.35">
      <c r="M118" s="102"/>
      <c r="N118" s="45"/>
      <c r="O118" s="45"/>
      <c r="P118" s="45"/>
      <c r="Q118" s="45"/>
      <c r="R118" s="45"/>
    </row>
    <row r="119" spans="13:18" x14ac:dyDescent="0.35">
      <c r="M119" s="102"/>
      <c r="N119" s="45"/>
      <c r="O119" s="45"/>
      <c r="P119" s="45"/>
      <c r="Q119" s="45"/>
      <c r="R119" s="45"/>
    </row>
    <row r="120" spans="13:18" x14ac:dyDescent="0.35">
      <c r="M120" s="102"/>
      <c r="N120" s="45"/>
      <c r="O120" s="45"/>
      <c r="P120" s="45"/>
      <c r="Q120" s="45"/>
      <c r="R120" s="45"/>
    </row>
    <row r="121" spans="13:18" x14ac:dyDescent="0.35">
      <c r="M121" s="102"/>
      <c r="N121" s="45"/>
      <c r="O121" s="45"/>
      <c r="P121" s="45"/>
      <c r="Q121" s="45"/>
      <c r="R121" s="45"/>
    </row>
    <row r="122" spans="13:18" x14ac:dyDescent="0.35">
      <c r="M122" s="102"/>
      <c r="N122" s="45"/>
      <c r="O122" s="45"/>
      <c r="P122" s="45"/>
      <c r="Q122" s="45"/>
      <c r="R122" s="45"/>
    </row>
    <row r="123" spans="13:18" x14ac:dyDescent="0.35">
      <c r="M123" s="102"/>
      <c r="N123" s="45"/>
      <c r="O123" s="45"/>
      <c r="P123" s="45"/>
      <c r="Q123" s="45"/>
      <c r="R123" s="45"/>
    </row>
    <row r="124" spans="13:18" x14ac:dyDescent="0.35">
      <c r="M124" s="102"/>
      <c r="N124" s="45"/>
      <c r="O124" s="45"/>
      <c r="P124" s="45"/>
      <c r="Q124" s="45"/>
      <c r="R124" s="45"/>
    </row>
    <row r="125" spans="13:18" x14ac:dyDescent="0.35">
      <c r="M125" s="102"/>
      <c r="N125" s="45"/>
      <c r="O125" s="45"/>
      <c r="P125" s="45"/>
      <c r="Q125" s="45"/>
      <c r="R125" s="45"/>
    </row>
    <row r="126" spans="13:18" x14ac:dyDescent="0.35">
      <c r="M126" s="102"/>
      <c r="N126" s="45"/>
      <c r="O126" s="45"/>
      <c r="P126" s="45"/>
      <c r="Q126" s="45"/>
      <c r="R126" s="45"/>
    </row>
    <row r="127" spans="13:18" x14ac:dyDescent="0.35">
      <c r="M127" s="102"/>
      <c r="N127" s="45"/>
      <c r="O127" s="45"/>
      <c r="P127" s="45"/>
      <c r="Q127" s="45"/>
      <c r="R127" s="45"/>
    </row>
    <row r="128" spans="13:18" x14ac:dyDescent="0.35">
      <c r="M128" s="102"/>
      <c r="N128" s="45"/>
      <c r="O128" s="45"/>
      <c r="P128" s="45"/>
      <c r="Q128" s="45"/>
      <c r="R128" s="45"/>
    </row>
    <row r="129" spans="13:18" x14ac:dyDescent="0.35">
      <c r="M129" s="102"/>
      <c r="N129" s="45"/>
      <c r="O129" s="45"/>
      <c r="P129" s="45"/>
      <c r="Q129" s="45"/>
      <c r="R129" s="45"/>
    </row>
    <row r="130" spans="13:18" x14ac:dyDescent="0.35">
      <c r="M130" s="102"/>
      <c r="N130" s="45"/>
      <c r="O130" s="45"/>
      <c r="P130" s="45"/>
      <c r="Q130" s="45"/>
      <c r="R130" s="45"/>
    </row>
    <row r="131" spans="13:18" x14ac:dyDescent="0.35">
      <c r="M131" s="102"/>
      <c r="N131" s="45"/>
      <c r="O131" s="45"/>
      <c r="P131" s="45"/>
      <c r="Q131" s="45"/>
      <c r="R131" s="45"/>
    </row>
    <row r="132" spans="13:18" x14ac:dyDescent="0.35">
      <c r="M132" s="102"/>
      <c r="N132" s="45"/>
      <c r="O132" s="45"/>
      <c r="P132" s="45"/>
      <c r="Q132" s="45"/>
      <c r="R132" s="45"/>
    </row>
    <row r="133" spans="13:18" x14ac:dyDescent="0.35">
      <c r="M133" s="102"/>
      <c r="N133" s="45"/>
      <c r="O133" s="45"/>
      <c r="P133" s="45"/>
      <c r="Q133" s="45"/>
      <c r="R133" s="45"/>
    </row>
    <row r="134" spans="13:18" x14ac:dyDescent="0.35">
      <c r="M134" s="102"/>
      <c r="N134" s="45"/>
      <c r="O134" s="45"/>
      <c r="P134" s="45"/>
      <c r="Q134" s="45"/>
      <c r="R134" s="45"/>
    </row>
    <row r="135" spans="13:18" x14ac:dyDescent="0.35">
      <c r="M135" s="102"/>
      <c r="N135" s="45"/>
      <c r="O135" s="45"/>
      <c r="P135" s="45"/>
      <c r="Q135" s="45"/>
      <c r="R135" s="45"/>
    </row>
    <row r="136" spans="13:18" x14ac:dyDescent="0.35">
      <c r="M136" s="102"/>
      <c r="N136" s="45"/>
      <c r="O136" s="45"/>
      <c r="P136" s="45"/>
      <c r="Q136" s="45"/>
      <c r="R136" s="45"/>
    </row>
    <row r="137" spans="13:18" x14ac:dyDescent="0.35">
      <c r="M137" s="102"/>
      <c r="N137" s="45"/>
      <c r="O137" s="45"/>
      <c r="P137" s="45"/>
      <c r="Q137" s="45"/>
      <c r="R137" s="45"/>
    </row>
    <row r="138" spans="13:18" x14ac:dyDescent="0.35">
      <c r="M138" s="102"/>
      <c r="N138" s="45"/>
      <c r="O138" s="45"/>
      <c r="P138" s="45"/>
      <c r="Q138" s="45"/>
      <c r="R138" s="45"/>
    </row>
    <row r="139" spans="13:18" x14ac:dyDescent="0.35">
      <c r="M139" s="102"/>
      <c r="N139" s="45"/>
      <c r="O139" s="45"/>
      <c r="P139" s="45"/>
      <c r="Q139" s="45"/>
      <c r="R139" s="45"/>
    </row>
    <row r="140" spans="13:18" x14ac:dyDescent="0.35">
      <c r="M140" s="102"/>
      <c r="N140" s="45"/>
      <c r="O140" s="45"/>
      <c r="P140" s="45"/>
      <c r="Q140" s="45"/>
      <c r="R140" s="45"/>
    </row>
    <row r="141" spans="13:18" x14ac:dyDescent="0.35">
      <c r="M141" s="102"/>
      <c r="N141" s="45"/>
      <c r="O141" s="45"/>
      <c r="P141" s="45"/>
      <c r="Q141" s="45"/>
      <c r="R141" s="45"/>
    </row>
    <row r="142" spans="13:18" x14ac:dyDescent="0.35">
      <c r="M142" s="102"/>
      <c r="N142" s="45"/>
      <c r="O142" s="45"/>
      <c r="P142" s="45"/>
      <c r="Q142" s="45"/>
      <c r="R142" s="45"/>
    </row>
    <row r="143" spans="13:18" x14ac:dyDescent="0.35">
      <c r="M143" s="102"/>
      <c r="N143" s="45"/>
      <c r="O143" s="45"/>
      <c r="P143" s="45"/>
      <c r="Q143" s="45"/>
      <c r="R143" s="45"/>
    </row>
    <row r="144" spans="13:18" x14ac:dyDescent="0.35">
      <c r="M144" s="102"/>
      <c r="N144" s="45"/>
      <c r="O144" s="45"/>
      <c r="P144" s="45"/>
      <c r="Q144" s="45"/>
      <c r="R144" s="45"/>
    </row>
    <row r="145" spans="13:18" x14ac:dyDescent="0.35">
      <c r="M145" s="102"/>
      <c r="N145" s="45"/>
      <c r="O145" s="45"/>
      <c r="P145" s="45"/>
      <c r="Q145" s="45"/>
      <c r="R145" s="45"/>
    </row>
    <row r="146" spans="13:18" x14ac:dyDescent="0.35">
      <c r="M146" s="102"/>
      <c r="N146" s="45"/>
      <c r="O146" s="45"/>
      <c r="P146" s="45"/>
      <c r="Q146" s="45"/>
      <c r="R146" s="45"/>
    </row>
    <row r="147" spans="13:18" x14ac:dyDescent="0.35">
      <c r="M147" s="102"/>
      <c r="N147" s="45"/>
      <c r="O147" s="45"/>
      <c r="P147" s="45"/>
      <c r="Q147" s="45"/>
      <c r="R147" s="45"/>
    </row>
    <row r="148" spans="13:18" x14ac:dyDescent="0.35">
      <c r="M148" s="102"/>
      <c r="N148" s="45"/>
      <c r="O148" s="45"/>
      <c r="P148" s="45"/>
      <c r="Q148" s="45"/>
      <c r="R148" s="45"/>
    </row>
    <row r="149" spans="13:18" x14ac:dyDescent="0.35">
      <c r="M149" s="102"/>
      <c r="N149" s="45"/>
      <c r="O149" s="45"/>
      <c r="P149" s="45"/>
      <c r="Q149" s="45"/>
      <c r="R149" s="45"/>
    </row>
    <row r="150" spans="13:18" x14ac:dyDescent="0.35">
      <c r="M150" s="102"/>
      <c r="N150" s="45"/>
      <c r="O150" s="45"/>
      <c r="P150" s="45"/>
      <c r="Q150" s="45"/>
      <c r="R150" s="45"/>
    </row>
    <row r="151" spans="13:18" x14ac:dyDescent="0.35">
      <c r="M151" s="102"/>
      <c r="N151" s="45"/>
      <c r="O151" s="45"/>
      <c r="P151" s="45"/>
      <c r="Q151" s="45"/>
      <c r="R151" s="45"/>
    </row>
    <row r="152" spans="13:18" x14ac:dyDescent="0.35">
      <c r="M152" s="102"/>
      <c r="N152" s="45"/>
      <c r="O152" s="45"/>
      <c r="P152" s="45"/>
      <c r="Q152" s="45"/>
      <c r="R152" s="45"/>
    </row>
    <row r="153" spans="13:18" x14ac:dyDescent="0.35">
      <c r="M153" s="102"/>
      <c r="N153" s="45"/>
      <c r="O153" s="45"/>
      <c r="P153" s="45"/>
      <c r="Q153" s="45"/>
      <c r="R153" s="45"/>
    </row>
    <row r="154" spans="13:18" x14ac:dyDescent="0.35">
      <c r="M154" s="102"/>
      <c r="N154" s="45"/>
      <c r="O154" s="45"/>
      <c r="P154" s="45"/>
      <c r="Q154" s="45"/>
      <c r="R154" s="45"/>
    </row>
    <row r="155" spans="13:18" x14ac:dyDescent="0.35">
      <c r="M155" s="102"/>
      <c r="N155" s="45"/>
      <c r="O155" s="45"/>
      <c r="P155" s="45"/>
      <c r="Q155" s="45"/>
      <c r="R155" s="45"/>
    </row>
    <row r="156" spans="13:18" x14ac:dyDescent="0.35">
      <c r="M156" s="102"/>
      <c r="N156" s="45"/>
      <c r="O156" s="45"/>
      <c r="P156" s="45"/>
      <c r="Q156" s="45"/>
      <c r="R156" s="45"/>
    </row>
    <row r="157" spans="13:18" x14ac:dyDescent="0.35">
      <c r="M157" s="102"/>
      <c r="N157" s="45"/>
      <c r="O157" s="45"/>
      <c r="P157" s="45"/>
      <c r="Q157" s="45"/>
      <c r="R157" s="45"/>
    </row>
    <row r="158" spans="13:18" x14ac:dyDescent="0.35">
      <c r="M158" s="102"/>
      <c r="N158" s="45"/>
      <c r="O158" s="45"/>
      <c r="P158" s="45"/>
      <c r="Q158" s="45"/>
      <c r="R158" s="45"/>
    </row>
    <row r="159" spans="13:18" x14ac:dyDescent="0.35">
      <c r="M159" s="102"/>
      <c r="N159" s="45"/>
      <c r="O159" s="45"/>
      <c r="P159" s="45"/>
      <c r="Q159" s="45"/>
      <c r="R159" s="45"/>
    </row>
    <row r="160" spans="13:18" x14ac:dyDescent="0.35">
      <c r="M160" s="102"/>
      <c r="N160" s="45"/>
      <c r="O160" s="45"/>
      <c r="P160" s="45"/>
      <c r="Q160" s="45"/>
      <c r="R160" s="45"/>
    </row>
    <row r="161" spans="13:18" x14ac:dyDescent="0.35">
      <c r="M161" s="102"/>
      <c r="N161" s="45"/>
      <c r="O161" s="45"/>
      <c r="P161" s="45"/>
      <c r="Q161" s="45"/>
      <c r="R161" s="45"/>
    </row>
    <row r="162" spans="13:18" x14ac:dyDescent="0.35">
      <c r="M162" s="102"/>
      <c r="N162" s="45"/>
      <c r="O162" s="45"/>
      <c r="P162" s="45"/>
      <c r="Q162" s="45"/>
      <c r="R162" s="45"/>
    </row>
    <row r="163" spans="13:18" x14ac:dyDescent="0.35">
      <c r="M163" s="102"/>
      <c r="N163" s="45"/>
      <c r="O163" s="45"/>
      <c r="P163" s="45"/>
      <c r="Q163" s="45"/>
      <c r="R163" s="45"/>
    </row>
    <row r="164" spans="13:18" x14ac:dyDescent="0.35">
      <c r="M164" s="102"/>
      <c r="N164" s="45"/>
      <c r="O164" s="45"/>
      <c r="P164" s="45"/>
      <c r="Q164" s="45"/>
      <c r="R164" s="45"/>
    </row>
    <row r="165" spans="13:18" x14ac:dyDescent="0.35">
      <c r="M165" s="102"/>
      <c r="N165" s="45"/>
      <c r="O165" s="45"/>
      <c r="P165" s="45"/>
      <c r="Q165" s="45"/>
      <c r="R165" s="45"/>
    </row>
    <row r="166" spans="13:18" x14ac:dyDescent="0.35">
      <c r="M166" s="102"/>
      <c r="N166" s="45"/>
      <c r="O166" s="45"/>
      <c r="P166" s="45"/>
      <c r="Q166" s="45"/>
      <c r="R166" s="45"/>
    </row>
    <row r="167" spans="13:18" x14ac:dyDescent="0.35">
      <c r="M167" s="102"/>
      <c r="N167" s="45"/>
      <c r="O167" s="45"/>
      <c r="P167" s="45"/>
      <c r="Q167" s="45"/>
      <c r="R167" s="45"/>
    </row>
    <row r="168" spans="13:18" x14ac:dyDescent="0.35">
      <c r="M168" s="102"/>
      <c r="N168" s="45"/>
      <c r="O168" s="45"/>
      <c r="P168" s="45"/>
      <c r="Q168" s="45"/>
      <c r="R168" s="45"/>
    </row>
    <row r="169" spans="13:18" x14ac:dyDescent="0.35">
      <c r="M169" s="102"/>
      <c r="N169" s="45"/>
      <c r="O169" s="45"/>
      <c r="P169" s="45"/>
      <c r="Q169" s="45"/>
      <c r="R169" s="45"/>
    </row>
    <row r="170" spans="13:18" x14ac:dyDescent="0.35">
      <c r="M170" s="102"/>
      <c r="N170" s="45"/>
      <c r="O170" s="45"/>
      <c r="P170" s="45"/>
      <c r="Q170" s="45"/>
      <c r="R170" s="45"/>
    </row>
    <row r="171" spans="13:18" x14ac:dyDescent="0.35">
      <c r="M171" s="102"/>
      <c r="N171" s="45"/>
      <c r="O171" s="45"/>
      <c r="P171" s="45"/>
      <c r="Q171" s="45"/>
      <c r="R171" s="45"/>
    </row>
    <row r="172" spans="13:18" x14ac:dyDescent="0.35">
      <c r="M172" s="102"/>
      <c r="N172" s="45"/>
      <c r="O172" s="45"/>
      <c r="P172" s="45"/>
      <c r="Q172" s="45"/>
      <c r="R172" s="45"/>
    </row>
    <row r="173" spans="13:18" x14ac:dyDescent="0.35">
      <c r="M173" s="102"/>
      <c r="N173" s="45"/>
      <c r="O173" s="45"/>
      <c r="P173" s="45"/>
      <c r="Q173" s="45"/>
      <c r="R173" s="45"/>
    </row>
    <row r="174" spans="13:18" x14ac:dyDescent="0.35">
      <c r="M174" s="102"/>
      <c r="N174" s="45"/>
      <c r="O174" s="45"/>
      <c r="P174" s="45"/>
      <c r="Q174" s="45"/>
      <c r="R174" s="45"/>
    </row>
    <row r="175" spans="13:18" x14ac:dyDescent="0.35">
      <c r="M175" s="102"/>
      <c r="N175" s="45"/>
      <c r="O175" s="45"/>
      <c r="P175" s="45"/>
      <c r="Q175" s="45"/>
      <c r="R175" s="45"/>
    </row>
    <row r="176" spans="13:18" x14ac:dyDescent="0.35">
      <c r="M176" s="102"/>
      <c r="N176" s="45"/>
      <c r="O176" s="45"/>
      <c r="P176" s="45"/>
      <c r="Q176" s="45"/>
      <c r="R176" s="45"/>
    </row>
    <row r="177" spans="13:18" x14ac:dyDescent="0.35">
      <c r="M177" s="102"/>
      <c r="N177" s="45"/>
      <c r="O177" s="45"/>
      <c r="P177" s="45"/>
      <c r="Q177" s="45"/>
      <c r="R177" s="45"/>
    </row>
    <row r="178" spans="13:18" x14ac:dyDescent="0.35">
      <c r="M178" s="102"/>
      <c r="N178" s="45"/>
      <c r="O178" s="45"/>
      <c r="P178" s="45"/>
      <c r="Q178" s="45"/>
      <c r="R178" s="45"/>
    </row>
    <row r="179" spans="13:18" x14ac:dyDescent="0.35">
      <c r="M179" s="102"/>
      <c r="N179" s="45"/>
      <c r="O179" s="45"/>
      <c r="P179" s="45"/>
      <c r="Q179" s="45"/>
      <c r="R179" s="45"/>
    </row>
    <row r="180" spans="13:18" x14ac:dyDescent="0.35">
      <c r="M180" s="102"/>
      <c r="N180" s="45"/>
      <c r="O180" s="45"/>
      <c r="P180" s="45"/>
      <c r="Q180" s="45"/>
      <c r="R180" s="45"/>
    </row>
    <row r="181" spans="13:18" x14ac:dyDescent="0.35">
      <c r="M181" s="102"/>
      <c r="N181" s="45"/>
      <c r="O181" s="45"/>
      <c r="P181" s="45"/>
      <c r="Q181" s="45"/>
      <c r="R181" s="45"/>
    </row>
    <row r="182" spans="13:18" x14ac:dyDescent="0.35">
      <c r="M182" s="102"/>
      <c r="N182" s="45"/>
      <c r="O182" s="45"/>
      <c r="P182" s="45"/>
      <c r="Q182" s="45"/>
      <c r="R182" s="45"/>
    </row>
    <row r="183" spans="13:18" x14ac:dyDescent="0.35">
      <c r="M183" s="102"/>
      <c r="N183" s="45"/>
      <c r="O183" s="45"/>
      <c r="P183" s="45"/>
      <c r="Q183" s="45"/>
      <c r="R183" s="45"/>
    </row>
    <row r="184" spans="13:18" x14ac:dyDescent="0.35">
      <c r="M184" s="102"/>
    </row>
    <row r="185" spans="13:18" x14ac:dyDescent="0.35">
      <c r="M185" s="102"/>
    </row>
    <row r="186" spans="13:18" x14ac:dyDescent="0.35">
      <c r="M186" s="102"/>
    </row>
    <row r="187" spans="13:18" x14ac:dyDescent="0.35">
      <c r="M187" s="102"/>
    </row>
    <row r="188" spans="13:18" x14ac:dyDescent="0.35">
      <c r="M188" s="102"/>
    </row>
    <row r="189" spans="13:18" x14ac:dyDescent="0.35">
      <c r="M189" s="102"/>
    </row>
    <row r="190" spans="13:18" x14ac:dyDescent="0.35">
      <c r="M190" s="102"/>
    </row>
    <row r="191" spans="13:18" x14ac:dyDescent="0.35">
      <c r="M191" s="102"/>
    </row>
    <row r="192" spans="13:18" x14ac:dyDescent="0.35">
      <c r="M192" s="102"/>
    </row>
    <row r="193" spans="13:13" x14ac:dyDescent="0.35">
      <c r="M193" s="102"/>
    </row>
    <row r="194" spans="13:13" x14ac:dyDescent="0.35">
      <c r="M194" s="102"/>
    </row>
    <row r="195" spans="13:13" x14ac:dyDescent="0.35">
      <c r="M195" s="102"/>
    </row>
    <row r="196" spans="13:13" x14ac:dyDescent="0.35">
      <c r="M196" s="102"/>
    </row>
    <row r="197" spans="13:13" x14ac:dyDescent="0.35">
      <c r="M197" s="102"/>
    </row>
    <row r="198" spans="13:13" x14ac:dyDescent="0.35">
      <c r="M198" s="102"/>
    </row>
    <row r="199" spans="13:13" x14ac:dyDescent="0.35">
      <c r="M199" s="102"/>
    </row>
    <row r="200" spans="13:13" x14ac:dyDescent="0.35">
      <c r="M200" s="102"/>
    </row>
    <row r="201" spans="13:13" x14ac:dyDescent="0.35">
      <c r="M201" s="102"/>
    </row>
    <row r="202" spans="13:13" x14ac:dyDescent="0.35">
      <c r="M202" s="102"/>
    </row>
    <row r="203" spans="13:13" x14ac:dyDescent="0.35">
      <c r="M203" s="102"/>
    </row>
    <row r="204" spans="13:13" x14ac:dyDescent="0.35">
      <c r="M204" s="102"/>
    </row>
    <row r="205" spans="13:13" x14ac:dyDescent="0.35">
      <c r="M205" s="102"/>
    </row>
    <row r="206" spans="13:13" x14ac:dyDescent="0.35">
      <c r="M206" s="102"/>
    </row>
  </sheetData>
  <mergeCells count="1">
    <mergeCell ref="Q8:R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zoomScale="102" zoomScaleNormal="70" workbookViewId="0">
      <selection activeCell="Y48" sqref="Y48"/>
    </sheetView>
  </sheetViews>
  <sheetFormatPr defaultRowHeight="14.5" x14ac:dyDescent="0.35"/>
  <sheetData>
    <row r="1" spans="1:28" x14ac:dyDescent="0.35">
      <c r="A1" t="s">
        <v>43</v>
      </c>
    </row>
    <row r="2" spans="1:28" x14ac:dyDescent="0.35">
      <c r="A2" t="s">
        <v>44</v>
      </c>
      <c r="B2" t="s">
        <v>45</v>
      </c>
      <c r="C2" t="s">
        <v>46</v>
      </c>
      <c r="D2" t="s">
        <v>47</v>
      </c>
      <c r="E2" t="s">
        <v>105</v>
      </c>
      <c r="F2" t="s">
        <v>106</v>
      </c>
      <c r="G2" t="s">
        <v>107</v>
      </c>
      <c r="H2" t="s">
        <v>108</v>
      </c>
      <c r="I2" t="s">
        <v>49</v>
      </c>
      <c r="J2" t="s">
        <v>109</v>
      </c>
      <c r="K2" t="s">
        <v>110</v>
      </c>
      <c r="L2" t="s">
        <v>111</v>
      </c>
      <c r="M2" t="s">
        <v>112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48</v>
      </c>
      <c r="V2" t="s">
        <v>120</v>
      </c>
      <c r="W2" t="s">
        <v>121</v>
      </c>
      <c r="X2" t="s">
        <v>122</v>
      </c>
    </row>
    <row r="3" spans="1:28" x14ac:dyDescent="0.35">
      <c r="A3" t="s">
        <v>54</v>
      </c>
      <c r="B3" t="s">
        <v>51</v>
      </c>
      <c r="C3" t="s">
        <v>55</v>
      </c>
      <c r="D3" t="s">
        <v>56</v>
      </c>
      <c r="E3" t="s">
        <v>123</v>
      </c>
      <c r="G3">
        <v>1</v>
      </c>
      <c r="I3" s="76">
        <v>44761.590567129628</v>
      </c>
      <c r="J3">
        <v>1</v>
      </c>
      <c r="K3">
        <v>1</v>
      </c>
      <c r="L3" t="s">
        <v>51</v>
      </c>
      <c r="M3">
        <v>234</v>
      </c>
      <c r="N3">
        <v>173.1</v>
      </c>
      <c r="O3">
        <v>50</v>
      </c>
      <c r="P3" t="s">
        <v>124</v>
      </c>
      <c r="Q3" t="s">
        <v>124</v>
      </c>
      <c r="R3" t="s">
        <v>124</v>
      </c>
      <c r="S3">
        <v>0</v>
      </c>
      <c r="T3">
        <v>0</v>
      </c>
      <c r="U3">
        <v>3</v>
      </c>
      <c r="V3">
        <v>1</v>
      </c>
      <c r="W3">
        <v>90</v>
      </c>
      <c r="X3">
        <v>10</v>
      </c>
    </row>
    <row r="4" spans="1:28" x14ac:dyDescent="0.35">
      <c r="A4" t="s">
        <v>54</v>
      </c>
      <c r="B4" t="s">
        <v>51</v>
      </c>
      <c r="C4" t="s">
        <v>55</v>
      </c>
      <c r="D4" t="s">
        <v>56</v>
      </c>
      <c r="E4" t="s">
        <v>123</v>
      </c>
      <c r="G4">
        <v>1</v>
      </c>
      <c r="I4" s="76">
        <v>44761.594212962962</v>
      </c>
      <c r="J4">
        <v>1</v>
      </c>
      <c r="K4">
        <v>2</v>
      </c>
      <c r="L4" t="s">
        <v>51</v>
      </c>
      <c r="M4">
        <v>170</v>
      </c>
      <c r="N4">
        <v>173.1</v>
      </c>
      <c r="O4">
        <v>50</v>
      </c>
      <c r="P4" t="s">
        <v>124</v>
      </c>
      <c r="Q4" t="s">
        <v>124</v>
      </c>
      <c r="R4" t="s">
        <v>124</v>
      </c>
      <c r="S4">
        <v>0</v>
      </c>
      <c r="T4">
        <v>0</v>
      </c>
      <c r="U4">
        <v>3</v>
      </c>
      <c r="V4">
        <v>0</v>
      </c>
      <c r="W4">
        <v>90</v>
      </c>
      <c r="X4">
        <v>10</v>
      </c>
    </row>
    <row r="5" spans="1:28" x14ac:dyDescent="0.35">
      <c r="A5" t="s">
        <v>54</v>
      </c>
      <c r="B5" t="s">
        <v>51</v>
      </c>
      <c r="C5" t="s">
        <v>55</v>
      </c>
      <c r="D5" t="s">
        <v>56</v>
      </c>
      <c r="E5" t="s">
        <v>123</v>
      </c>
      <c r="G5">
        <v>1</v>
      </c>
      <c r="I5" s="76">
        <v>44761.597928240742</v>
      </c>
      <c r="J5">
        <v>1</v>
      </c>
      <c r="K5">
        <v>3</v>
      </c>
      <c r="L5" t="s">
        <v>51</v>
      </c>
      <c r="M5">
        <v>176.2</v>
      </c>
      <c r="N5">
        <v>173.1</v>
      </c>
      <c r="O5">
        <v>50</v>
      </c>
      <c r="P5" t="s">
        <v>124</v>
      </c>
      <c r="Q5" t="s">
        <v>124</v>
      </c>
      <c r="R5" t="s">
        <v>124</v>
      </c>
      <c r="S5">
        <v>0</v>
      </c>
      <c r="T5">
        <v>0</v>
      </c>
      <c r="U5">
        <v>3</v>
      </c>
      <c r="V5">
        <v>0</v>
      </c>
      <c r="W5">
        <v>90</v>
      </c>
      <c r="X5">
        <v>10</v>
      </c>
    </row>
    <row r="6" spans="1:28" x14ac:dyDescent="0.35">
      <c r="A6" t="s">
        <v>54</v>
      </c>
      <c r="B6" t="s">
        <v>51</v>
      </c>
      <c r="C6" t="s">
        <v>55</v>
      </c>
      <c r="D6" t="s">
        <v>56</v>
      </c>
      <c r="E6" t="s">
        <v>123</v>
      </c>
      <c r="G6">
        <v>1</v>
      </c>
      <c r="I6" s="76">
        <v>44761.603668981479</v>
      </c>
      <c r="J6">
        <v>2</v>
      </c>
      <c r="K6">
        <v>1</v>
      </c>
      <c r="L6" t="s">
        <v>51</v>
      </c>
      <c r="M6">
        <v>739.1</v>
      </c>
      <c r="N6">
        <v>740.5</v>
      </c>
      <c r="O6">
        <v>150</v>
      </c>
      <c r="P6" t="s">
        <v>124</v>
      </c>
      <c r="Q6" t="s">
        <v>124</v>
      </c>
      <c r="R6" t="s">
        <v>124</v>
      </c>
      <c r="S6">
        <v>0</v>
      </c>
      <c r="T6">
        <v>0</v>
      </c>
      <c r="U6">
        <v>3</v>
      </c>
      <c r="V6">
        <v>0</v>
      </c>
      <c r="W6">
        <v>90</v>
      </c>
      <c r="X6" s="77">
        <v>3333</v>
      </c>
    </row>
    <row r="7" spans="1:28" x14ac:dyDescent="0.35">
      <c r="A7" t="s">
        <v>54</v>
      </c>
      <c r="B7" t="s">
        <v>51</v>
      </c>
      <c r="C7" t="s">
        <v>55</v>
      </c>
      <c r="D7" t="s">
        <v>56</v>
      </c>
      <c r="E7" t="s">
        <v>123</v>
      </c>
      <c r="G7">
        <v>1</v>
      </c>
      <c r="I7" s="76">
        <v>44761.607858796298</v>
      </c>
      <c r="J7">
        <v>2</v>
      </c>
      <c r="K7">
        <v>2</v>
      </c>
      <c r="L7" t="s">
        <v>51</v>
      </c>
      <c r="M7">
        <v>742</v>
      </c>
      <c r="N7">
        <v>740.5</v>
      </c>
      <c r="O7">
        <v>150</v>
      </c>
      <c r="P7" t="s">
        <v>124</v>
      </c>
      <c r="Q7" t="s">
        <v>124</v>
      </c>
      <c r="R7" t="s">
        <v>124</v>
      </c>
      <c r="S7">
        <v>0</v>
      </c>
      <c r="T7">
        <v>0</v>
      </c>
      <c r="U7">
        <v>3</v>
      </c>
      <c r="V7">
        <v>0</v>
      </c>
      <c r="W7">
        <v>90</v>
      </c>
      <c r="X7" s="77">
        <v>3333</v>
      </c>
    </row>
    <row r="8" spans="1:28" x14ac:dyDescent="0.35">
      <c r="A8" t="s">
        <v>54</v>
      </c>
      <c r="B8" t="s">
        <v>51</v>
      </c>
      <c r="C8" t="s">
        <v>55</v>
      </c>
      <c r="D8" t="s">
        <v>56</v>
      </c>
      <c r="E8" t="s">
        <v>123</v>
      </c>
      <c r="G8">
        <v>1</v>
      </c>
      <c r="I8" s="76">
        <v>44761.61377314815</v>
      </c>
      <c r="J8">
        <v>3</v>
      </c>
      <c r="K8">
        <v>1</v>
      </c>
      <c r="L8" t="s">
        <v>51</v>
      </c>
      <c r="M8">
        <v>1589</v>
      </c>
      <c r="N8">
        <v>1579</v>
      </c>
      <c r="O8">
        <v>300</v>
      </c>
      <c r="P8" t="s">
        <v>124</v>
      </c>
      <c r="Q8" t="s">
        <v>124</v>
      </c>
      <c r="R8" t="s">
        <v>124</v>
      </c>
      <c r="S8">
        <v>0</v>
      </c>
      <c r="T8">
        <v>0</v>
      </c>
      <c r="U8">
        <v>3</v>
      </c>
      <c r="V8">
        <v>0</v>
      </c>
      <c r="W8">
        <v>90</v>
      </c>
      <c r="X8" s="77">
        <v>1667</v>
      </c>
    </row>
    <row r="9" spans="1:28" x14ac:dyDescent="0.35">
      <c r="A9" t="s">
        <v>54</v>
      </c>
      <c r="B9" t="s">
        <v>51</v>
      </c>
      <c r="C9" t="s">
        <v>55</v>
      </c>
      <c r="D9" t="s">
        <v>56</v>
      </c>
      <c r="E9" t="s">
        <v>123</v>
      </c>
      <c r="G9">
        <v>1</v>
      </c>
      <c r="I9" s="76">
        <v>44761.617812500001</v>
      </c>
      <c r="J9">
        <v>3</v>
      </c>
      <c r="K9">
        <v>2</v>
      </c>
      <c r="L9" t="s">
        <v>51</v>
      </c>
      <c r="M9">
        <v>1569</v>
      </c>
      <c r="N9">
        <v>1579</v>
      </c>
      <c r="O9">
        <v>300</v>
      </c>
      <c r="P9" t="s">
        <v>124</v>
      </c>
      <c r="Q9" t="s">
        <v>124</v>
      </c>
      <c r="R9" t="s">
        <v>124</v>
      </c>
      <c r="S9">
        <v>0</v>
      </c>
      <c r="T9">
        <v>0</v>
      </c>
      <c r="U9">
        <v>3</v>
      </c>
      <c r="V9">
        <v>0</v>
      </c>
      <c r="W9">
        <v>90</v>
      </c>
      <c r="X9" s="77">
        <v>1667</v>
      </c>
    </row>
    <row r="10" spans="1:28" x14ac:dyDescent="0.35">
      <c r="A10" t="s">
        <v>50</v>
      </c>
      <c r="B10" t="s">
        <v>51</v>
      </c>
      <c r="C10" t="s">
        <v>57</v>
      </c>
      <c r="D10">
        <v>150</v>
      </c>
      <c r="E10" t="s">
        <v>125</v>
      </c>
      <c r="F10" t="s">
        <v>123</v>
      </c>
      <c r="G10">
        <v>1</v>
      </c>
      <c r="I10" s="76">
        <v>44761.633055555554</v>
      </c>
      <c r="J10">
        <v>1</v>
      </c>
      <c r="K10">
        <v>1</v>
      </c>
      <c r="L10" t="s">
        <v>51</v>
      </c>
      <c r="M10">
        <v>783.3</v>
      </c>
      <c r="N10">
        <v>782.7</v>
      </c>
      <c r="O10">
        <v>139.4</v>
      </c>
      <c r="P10">
        <v>139.19999999999999</v>
      </c>
      <c r="Q10" t="s">
        <v>126</v>
      </c>
      <c r="R10" t="s">
        <v>126</v>
      </c>
      <c r="S10">
        <v>0.151</v>
      </c>
      <c r="T10">
        <v>0.11</v>
      </c>
      <c r="U10">
        <v>5</v>
      </c>
      <c r="V10">
        <v>0</v>
      </c>
      <c r="W10">
        <v>90</v>
      </c>
      <c r="X10" s="77">
        <v>1000</v>
      </c>
    </row>
    <row r="11" spans="1:28" ht="15" thickBot="1" x14ac:dyDescent="0.4">
      <c r="A11" t="s">
        <v>50</v>
      </c>
      <c r="B11" t="s">
        <v>51</v>
      </c>
      <c r="C11" t="s">
        <v>57</v>
      </c>
      <c r="D11">
        <v>150</v>
      </c>
      <c r="E11" t="s">
        <v>125</v>
      </c>
      <c r="F11" t="s">
        <v>123</v>
      </c>
      <c r="G11">
        <v>1</v>
      </c>
      <c r="I11" s="76">
        <v>44761.635613425926</v>
      </c>
      <c r="J11">
        <v>1</v>
      </c>
      <c r="K11">
        <v>2</v>
      </c>
      <c r="L11" t="s">
        <v>51</v>
      </c>
      <c r="M11">
        <v>782.1</v>
      </c>
      <c r="N11">
        <v>782.7</v>
      </c>
      <c r="O11">
        <v>139.1</v>
      </c>
      <c r="P11">
        <v>139.19999999999999</v>
      </c>
      <c r="Q11" t="s">
        <v>126</v>
      </c>
      <c r="R11" t="s">
        <v>126</v>
      </c>
      <c r="S11">
        <v>0.151</v>
      </c>
      <c r="T11">
        <v>0.11</v>
      </c>
      <c r="U11">
        <v>5</v>
      </c>
      <c r="V11">
        <v>0</v>
      </c>
      <c r="W11">
        <v>90</v>
      </c>
      <c r="X11" s="77">
        <v>1000</v>
      </c>
      <c r="Y11" t="s">
        <v>127</v>
      </c>
      <c r="AA11" t="s">
        <v>148</v>
      </c>
      <c r="AB11" t="s">
        <v>149</v>
      </c>
    </row>
    <row r="12" spans="1:28" s="117" customFormat="1" x14ac:dyDescent="0.35">
      <c r="A12" s="78" t="s">
        <v>50</v>
      </c>
      <c r="B12" s="117" t="s">
        <v>51</v>
      </c>
      <c r="C12" s="117" t="s">
        <v>31</v>
      </c>
      <c r="D12" s="117" t="s">
        <v>31</v>
      </c>
      <c r="E12" s="117" t="s">
        <v>125</v>
      </c>
      <c r="F12" s="117" t="s">
        <v>123</v>
      </c>
      <c r="G12" s="117">
        <v>1</v>
      </c>
      <c r="I12" s="118">
        <v>44764.643854166665</v>
      </c>
      <c r="J12" s="117">
        <v>1</v>
      </c>
      <c r="K12" s="117">
        <v>1</v>
      </c>
      <c r="L12" s="117" t="s">
        <v>51</v>
      </c>
      <c r="M12" s="117">
        <v>269.10000000000002</v>
      </c>
      <c r="N12" s="117">
        <v>272.10000000000002</v>
      </c>
      <c r="O12" s="117">
        <v>47.87</v>
      </c>
      <c r="P12" s="117">
        <v>48.42</v>
      </c>
      <c r="Q12" s="117" t="s">
        <v>128</v>
      </c>
      <c r="R12" s="117" t="s">
        <v>128</v>
      </c>
      <c r="S12" s="117">
        <v>0.76739999999999997</v>
      </c>
      <c r="T12" s="117">
        <v>1.58</v>
      </c>
      <c r="U12" s="117">
        <v>3</v>
      </c>
      <c r="V12" s="117">
        <v>0</v>
      </c>
      <c r="W12" s="117">
        <v>90</v>
      </c>
      <c r="X12" s="119">
        <v>1000</v>
      </c>
      <c r="Y12" s="175">
        <f>M12*0.1932</f>
        <v>51.990120000000005</v>
      </c>
      <c r="Z12" s="176">
        <f>SUM(Y12:Y13)/2</f>
        <v>52.57938</v>
      </c>
      <c r="AA12" s="177">
        <v>0.66666666666666663</v>
      </c>
      <c r="AB12" s="176">
        <f>Z12/AA12</f>
        <v>78.869070000000008</v>
      </c>
    </row>
    <row r="13" spans="1:28" s="18" customFormat="1" x14ac:dyDescent="0.35">
      <c r="A13" s="79" t="s">
        <v>50</v>
      </c>
      <c r="B13" s="18" t="s">
        <v>51</v>
      </c>
      <c r="C13" s="18" t="s">
        <v>31</v>
      </c>
      <c r="D13" s="18" t="s">
        <v>31</v>
      </c>
      <c r="E13" s="18" t="s">
        <v>125</v>
      </c>
      <c r="F13" s="18" t="s">
        <v>123</v>
      </c>
      <c r="G13" s="18">
        <v>1</v>
      </c>
      <c r="I13" s="121">
        <v>44764.645972222221</v>
      </c>
      <c r="J13" s="18">
        <v>1</v>
      </c>
      <c r="K13" s="18">
        <v>2</v>
      </c>
      <c r="L13" s="18" t="s">
        <v>51</v>
      </c>
      <c r="M13" s="18">
        <v>275.2</v>
      </c>
      <c r="N13" s="18">
        <v>272.10000000000002</v>
      </c>
      <c r="O13" s="18">
        <v>48.96</v>
      </c>
      <c r="P13" s="18">
        <v>48.42</v>
      </c>
      <c r="Q13" s="18" t="s">
        <v>128</v>
      </c>
      <c r="R13" s="18" t="s">
        <v>128</v>
      </c>
      <c r="S13" s="18">
        <v>0.76739999999999997</v>
      </c>
      <c r="T13" s="18">
        <v>1.58</v>
      </c>
      <c r="U13" s="18">
        <v>3</v>
      </c>
      <c r="V13" s="18">
        <v>0</v>
      </c>
      <c r="W13" s="18">
        <v>90</v>
      </c>
      <c r="X13" s="122">
        <v>1000</v>
      </c>
      <c r="Y13" s="143">
        <f t="shared" ref="Y13:Y21" si="0">M13*0.1932</f>
        <v>53.168640000000003</v>
      </c>
      <c r="AB13" s="126"/>
    </row>
    <row r="14" spans="1:28" s="18" customFormat="1" x14ac:dyDescent="0.35">
      <c r="A14" s="79" t="s">
        <v>50</v>
      </c>
      <c r="B14" s="18" t="s">
        <v>51</v>
      </c>
      <c r="C14" s="18" t="s">
        <v>1</v>
      </c>
      <c r="D14" s="18" t="s">
        <v>1</v>
      </c>
      <c r="E14" s="18" t="s">
        <v>125</v>
      </c>
      <c r="F14" s="18" t="s">
        <v>123</v>
      </c>
      <c r="G14" s="18">
        <v>1</v>
      </c>
      <c r="I14" s="121">
        <v>44764.659259259257</v>
      </c>
      <c r="J14" s="18">
        <v>1</v>
      </c>
      <c r="K14" s="18">
        <v>1</v>
      </c>
      <c r="L14" s="18" t="s">
        <v>51</v>
      </c>
      <c r="M14" s="18">
        <v>426.2</v>
      </c>
      <c r="N14" s="18">
        <v>428.8</v>
      </c>
      <c r="O14" s="18">
        <v>75.819999999999993</v>
      </c>
      <c r="P14" s="18">
        <v>76.28</v>
      </c>
      <c r="Q14" s="18" t="s">
        <v>129</v>
      </c>
      <c r="R14" s="18" t="s">
        <v>129</v>
      </c>
      <c r="S14" s="18">
        <v>0.64159999999999995</v>
      </c>
      <c r="T14" s="18">
        <v>0.84</v>
      </c>
      <c r="U14" s="18">
        <v>5</v>
      </c>
      <c r="V14" s="18">
        <v>0</v>
      </c>
      <c r="W14" s="18">
        <v>90</v>
      </c>
      <c r="X14" s="122">
        <v>1000</v>
      </c>
      <c r="Y14" s="175">
        <f t="shared" si="0"/>
        <v>82.341840000000005</v>
      </c>
      <c r="Z14" s="176">
        <f>SUM(Y14:Y15)/2</f>
        <v>82.834500000000006</v>
      </c>
      <c r="AA14" s="178">
        <v>1</v>
      </c>
      <c r="AB14" s="176">
        <f t="shared" ref="AB14" si="1">Z14/AA14</f>
        <v>82.834500000000006</v>
      </c>
    </row>
    <row r="15" spans="1:28" s="18" customFormat="1" x14ac:dyDescent="0.35">
      <c r="A15" s="79" t="s">
        <v>50</v>
      </c>
      <c r="B15" s="18" t="s">
        <v>51</v>
      </c>
      <c r="C15" s="18" t="s">
        <v>1</v>
      </c>
      <c r="D15" s="18" t="s">
        <v>1</v>
      </c>
      <c r="E15" s="18" t="s">
        <v>125</v>
      </c>
      <c r="F15" s="18" t="s">
        <v>123</v>
      </c>
      <c r="G15" s="18">
        <v>1</v>
      </c>
      <c r="I15" s="121">
        <v>44764.661539351851</v>
      </c>
      <c r="J15" s="18">
        <v>1</v>
      </c>
      <c r="K15" s="18">
        <v>2</v>
      </c>
      <c r="L15" s="18" t="s">
        <v>51</v>
      </c>
      <c r="M15" s="18">
        <v>431.3</v>
      </c>
      <c r="N15" s="18">
        <v>428.8</v>
      </c>
      <c r="O15" s="18">
        <v>76.73</v>
      </c>
      <c r="P15" s="18">
        <v>76.28</v>
      </c>
      <c r="Q15" s="18" t="s">
        <v>129</v>
      </c>
      <c r="R15" s="18" t="s">
        <v>129</v>
      </c>
      <c r="S15" s="18">
        <v>0.64159999999999995</v>
      </c>
      <c r="T15" s="18">
        <v>0.84</v>
      </c>
      <c r="U15" s="18">
        <v>5</v>
      </c>
      <c r="V15" s="18">
        <v>0</v>
      </c>
      <c r="W15" s="18">
        <v>90</v>
      </c>
      <c r="X15" s="122">
        <v>1000</v>
      </c>
      <c r="Y15" s="143">
        <f t="shared" si="0"/>
        <v>83.327160000000006</v>
      </c>
      <c r="Z15" s="126"/>
      <c r="AB15" s="126"/>
    </row>
    <row r="16" spans="1:28" s="18" customFormat="1" x14ac:dyDescent="0.35">
      <c r="A16" s="79" t="s">
        <v>50</v>
      </c>
      <c r="B16" s="18" t="s">
        <v>51</v>
      </c>
      <c r="C16" s="18" t="s">
        <v>2</v>
      </c>
      <c r="D16" s="18" t="s">
        <v>2</v>
      </c>
      <c r="E16" s="18" t="s">
        <v>125</v>
      </c>
      <c r="F16" s="18" t="s">
        <v>123</v>
      </c>
      <c r="G16" s="18">
        <v>1</v>
      </c>
      <c r="I16" s="121">
        <v>44764.676747685182</v>
      </c>
      <c r="J16" s="18">
        <v>1</v>
      </c>
      <c r="K16" s="18">
        <v>1</v>
      </c>
      <c r="L16" s="18" t="s">
        <v>51</v>
      </c>
      <c r="M16" s="18">
        <v>305.8</v>
      </c>
      <c r="N16" s="18">
        <v>301.89999999999998</v>
      </c>
      <c r="O16" s="18">
        <v>54.4</v>
      </c>
      <c r="P16" s="18">
        <v>53.71</v>
      </c>
      <c r="Q16" s="18" t="s">
        <v>130</v>
      </c>
      <c r="R16" s="18" t="s">
        <v>130</v>
      </c>
      <c r="S16" s="18">
        <v>0.98119999999999996</v>
      </c>
      <c r="T16" s="18">
        <v>1.83</v>
      </c>
      <c r="U16" s="18">
        <v>7</v>
      </c>
      <c r="V16" s="18">
        <v>0</v>
      </c>
      <c r="W16" s="18">
        <v>90</v>
      </c>
      <c r="X16" s="122">
        <v>1000</v>
      </c>
      <c r="Y16" s="175">
        <f t="shared" si="0"/>
        <v>59.080560000000006</v>
      </c>
      <c r="Z16" s="176">
        <f>SUM(Y16:Y17)/2</f>
        <v>58.327080000000009</v>
      </c>
      <c r="AA16" s="177">
        <v>0.66666666666666663</v>
      </c>
      <c r="AB16" s="176">
        <f t="shared" ref="AB13:AB16" si="2">Z16/AA16</f>
        <v>87.490620000000021</v>
      </c>
    </row>
    <row r="17" spans="1:28" s="18" customFormat="1" x14ac:dyDescent="0.35">
      <c r="A17" s="79" t="s">
        <v>50</v>
      </c>
      <c r="B17" s="18" t="s">
        <v>51</v>
      </c>
      <c r="C17" s="18" t="s">
        <v>2</v>
      </c>
      <c r="D17" s="18" t="s">
        <v>2</v>
      </c>
      <c r="E17" s="18" t="s">
        <v>125</v>
      </c>
      <c r="F17" s="18" t="s">
        <v>123</v>
      </c>
      <c r="G17" s="18">
        <v>1</v>
      </c>
      <c r="I17" s="121">
        <v>44764.678819444445</v>
      </c>
      <c r="J17" s="18">
        <v>1</v>
      </c>
      <c r="K17" s="18">
        <v>2</v>
      </c>
      <c r="L17" s="18" t="s">
        <v>51</v>
      </c>
      <c r="M17" s="18">
        <v>298</v>
      </c>
      <c r="N17" s="18">
        <v>301.89999999999998</v>
      </c>
      <c r="O17" s="18">
        <v>53.02</v>
      </c>
      <c r="P17" s="18">
        <v>53.71</v>
      </c>
      <c r="Q17" s="18" t="s">
        <v>130</v>
      </c>
      <c r="R17" s="18" t="s">
        <v>130</v>
      </c>
      <c r="S17" s="18">
        <v>0.98119999999999996</v>
      </c>
      <c r="T17" s="18">
        <v>1.83</v>
      </c>
      <c r="U17" s="18">
        <v>7</v>
      </c>
      <c r="V17" s="18">
        <v>0</v>
      </c>
      <c r="W17" s="18">
        <v>90</v>
      </c>
      <c r="X17" s="122">
        <v>1000</v>
      </c>
      <c r="Y17" s="143">
        <f t="shared" si="0"/>
        <v>57.573600000000006</v>
      </c>
      <c r="Z17" s="126"/>
    </row>
    <row r="18" spans="1:28" s="18" customFormat="1" x14ac:dyDescent="0.35">
      <c r="A18" s="79" t="s">
        <v>50</v>
      </c>
      <c r="B18" s="18" t="s">
        <v>51</v>
      </c>
      <c r="C18" s="18" t="s">
        <v>3</v>
      </c>
      <c r="D18" s="18" t="s">
        <v>3</v>
      </c>
      <c r="E18" s="18" t="s">
        <v>125</v>
      </c>
      <c r="F18" s="18" t="s">
        <v>123</v>
      </c>
      <c r="G18" s="18">
        <v>1</v>
      </c>
      <c r="I18" s="121">
        <v>44764.692303240743</v>
      </c>
      <c r="J18" s="18">
        <v>1</v>
      </c>
      <c r="K18" s="18">
        <v>1</v>
      </c>
      <c r="L18" s="18" t="s">
        <v>51</v>
      </c>
      <c r="M18" s="18">
        <v>430.2</v>
      </c>
      <c r="N18" s="18">
        <v>435.1</v>
      </c>
      <c r="O18" s="18">
        <v>76.540000000000006</v>
      </c>
      <c r="P18" s="18">
        <v>77.41</v>
      </c>
      <c r="Q18" s="18" t="s">
        <v>131</v>
      </c>
      <c r="R18" s="18" t="s">
        <v>131</v>
      </c>
      <c r="S18" s="122">
        <v>1233</v>
      </c>
      <c r="T18" s="18">
        <v>1.59</v>
      </c>
      <c r="U18" s="18">
        <v>9</v>
      </c>
      <c r="V18" s="18">
        <v>0</v>
      </c>
      <c r="W18" s="18">
        <v>90</v>
      </c>
      <c r="X18" s="122">
        <v>1000</v>
      </c>
      <c r="Y18" s="175">
        <f t="shared" si="0"/>
        <v>83.114640000000009</v>
      </c>
      <c r="Z18" s="176">
        <f>SUM(Y18:Y19)/2</f>
        <v>84.061320000000009</v>
      </c>
      <c r="AA18" s="178">
        <v>1</v>
      </c>
      <c r="AB18" s="176">
        <f t="shared" ref="AB18" si="3">Z18/AA18</f>
        <v>84.061320000000009</v>
      </c>
    </row>
    <row r="19" spans="1:28" s="18" customFormat="1" ht="15" thickBot="1" x14ac:dyDescent="0.4">
      <c r="A19" s="79" t="s">
        <v>50</v>
      </c>
      <c r="B19" s="18" t="s">
        <v>51</v>
      </c>
      <c r="C19" s="18" t="s">
        <v>3</v>
      </c>
      <c r="D19" s="18" t="s">
        <v>3</v>
      </c>
      <c r="E19" s="18" t="s">
        <v>125</v>
      </c>
      <c r="F19" s="18" t="s">
        <v>123</v>
      </c>
      <c r="G19" s="18">
        <v>1</v>
      </c>
      <c r="I19" s="121">
        <v>44764.694618055553</v>
      </c>
      <c r="J19" s="18">
        <v>1</v>
      </c>
      <c r="K19" s="18">
        <v>2</v>
      </c>
      <c r="L19" s="18" t="s">
        <v>51</v>
      </c>
      <c r="M19" s="18">
        <v>440</v>
      </c>
      <c r="N19" s="18">
        <v>435.1</v>
      </c>
      <c r="O19" s="18">
        <v>78.28</v>
      </c>
      <c r="P19" s="18">
        <v>77.41</v>
      </c>
      <c r="Q19" s="18" t="s">
        <v>131</v>
      </c>
      <c r="R19" s="18" t="s">
        <v>131</v>
      </c>
      <c r="S19" s="122">
        <v>1233</v>
      </c>
      <c r="T19" s="18">
        <v>1.59</v>
      </c>
      <c r="U19" s="18">
        <v>9</v>
      </c>
      <c r="V19" s="18">
        <v>0</v>
      </c>
      <c r="W19" s="18">
        <v>90</v>
      </c>
      <c r="X19" s="122">
        <v>1000</v>
      </c>
      <c r="Y19" s="143">
        <f t="shared" si="0"/>
        <v>85.00800000000001</v>
      </c>
      <c r="Z19" s="126"/>
    </row>
    <row r="20" spans="1:28" s="18" customFormat="1" ht="15" thickBot="1" x14ac:dyDescent="0.4">
      <c r="A20" s="79" t="s">
        <v>50</v>
      </c>
      <c r="B20" s="18" t="s">
        <v>51</v>
      </c>
      <c r="C20" s="18" t="s">
        <v>52</v>
      </c>
      <c r="D20" s="18" t="s">
        <v>52</v>
      </c>
      <c r="E20" s="18" t="s">
        <v>125</v>
      </c>
      <c r="F20" s="18" t="s">
        <v>123</v>
      </c>
      <c r="G20" s="18">
        <v>1</v>
      </c>
      <c r="I20" s="121">
        <v>44764.710138888891</v>
      </c>
      <c r="J20" s="18">
        <v>1</v>
      </c>
      <c r="K20" s="18">
        <v>1</v>
      </c>
      <c r="L20" s="18" t="s">
        <v>51</v>
      </c>
      <c r="M20" s="18">
        <v>803.1</v>
      </c>
      <c r="N20" s="18">
        <v>799</v>
      </c>
      <c r="O20" s="18">
        <v>142.9</v>
      </c>
      <c r="P20" s="18">
        <v>142.1</v>
      </c>
      <c r="Q20" s="18" t="s">
        <v>132</v>
      </c>
      <c r="R20" s="18" t="s">
        <v>132</v>
      </c>
      <c r="S20" s="122">
        <v>1032</v>
      </c>
      <c r="T20" s="18">
        <v>0.73</v>
      </c>
      <c r="U20" s="18">
        <v>11</v>
      </c>
      <c r="V20" s="18">
        <v>0</v>
      </c>
      <c r="W20" s="18">
        <v>90</v>
      </c>
      <c r="X20" s="122">
        <v>1000</v>
      </c>
      <c r="Y20" s="120">
        <f t="shared" si="0"/>
        <v>155.15892000000002</v>
      </c>
      <c r="Z20" s="127">
        <f>SUM(Y20:Y21)/2</f>
        <v>154.36680000000001</v>
      </c>
    </row>
    <row r="21" spans="1:28" s="123" customFormat="1" ht="15" thickBot="1" x14ac:dyDescent="0.4">
      <c r="A21" s="80" t="s">
        <v>50</v>
      </c>
      <c r="B21" s="123" t="s">
        <v>51</v>
      </c>
      <c r="C21" s="123" t="s">
        <v>52</v>
      </c>
      <c r="D21" s="123" t="s">
        <v>52</v>
      </c>
      <c r="E21" s="123" t="s">
        <v>125</v>
      </c>
      <c r="F21" s="123" t="s">
        <v>123</v>
      </c>
      <c r="G21" s="123">
        <v>1</v>
      </c>
      <c r="I21" s="124">
        <v>44764.712650462963</v>
      </c>
      <c r="J21" s="123">
        <v>1</v>
      </c>
      <c r="K21" s="123">
        <v>2</v>
      </c>
      <c r="L21" s="123" t="s">
        <v>51</v>
      </c>
      <c r="M21" s="123">
        <v>794.9</v>
      </c>
      <c r="N21" s="123">
        <v>799</v>
      </c>
      <c r="O21" s="123">
        <v>141.4</v>
      </c>
      <c r="P21" s="123">
        <v>142.1</v>
      </c>
      <c r="Q21" s="123" t="s">
        <v>132</v>
      </c>
      <c r="R21" s="123" t="s">
        <v>132</v>
      </c>
      <c r="S21" s="125">
        <v>1032</v>
      </c>
      <c r="T21" s="123">
        <v>0.73</v>
      </c>
      <c r="U21" s="123">
        <v>11</v>
      </c>
      <c r="V21" s="123">
        <v>0</v>
      </c>
      <c r="W21" s="123">
        <v>90</v>
      </c>
      <c r="X21" s="125">
        <v>1000</v>
      </c>
      <c r="Y21" s="120">
        <f t="shared" si="0"/>
        <v>153.57468</v>
      </c>
      <c r="Z21" s="117"/>
    </row>
    <row r="23" spans="1:28" x14ac:dyDescent="0.35">
      <c r="A23" t="s">
        <v>54</v>
      </c>
      <c r="B23" t="s">
        <v>51</v>
      </c>
      <c r="C23" t="s">
        <v>55</v>
      </c>
      <c r="D23" t="s">
        <v>58</v>
      </c>
      <c r="E23" t="s">
        <v>133</v>
      </c>
      <c r="G23">
        <v>1</v>
      </c>
      <c r="I23" s="76">
        <v>44761.649942129632</v>
      </c>
      <c r="J23">
        <v>1</v>
      </c>
      <c r="K23">
        <v>1</v>
      </c>
      <c r="L23" t="s">
        <v>51</v>
      </c>
      <c r="M23">
        <v>684.5</v>
      </c>
      <c r="N23">
        <v>608.20000000000005</v>
      </c>
      <c r="O23">
        <v>1000</v>
      </c>
      <c r="P23" t="s">
        <v>124</v>
      </c>
      <c r="Q23" t="s">
        <v>124</v>
      </c>
      <c r="R23" t="s">
        <v>124</v>
      </c>
      <c r="S23">
        <v>0</v>
      </c>
      <c r="T23">
        <v>0</v>
      </c>
      <c r="U23">
        <v>7</v>
      </c>
      <c r="V23">
        <v>1</v>
      </c>
      <c r="W23">
        <v>13</v>
      </c>
      <c r="X23" s="77">
        <v>3000</v>
      </c>
    </row>
    <row r="24" spans="1:28" x14ac:dyDescent="0.35">
      <c r="A24" t="s">
        <v>54</v>
      </c>
      <c r="B24" t="s">
        <v>51</v>
      </c>
      <c r="C24" t="s">
        <v>55</v>
      </c>
      <c r="D24" t="s">
        <v>58</v>
      </c>
      <c r="E24" t="s">
        <v>133</v>
      </c>
      <c r="G24">
        <v>1</v>
      </c>
      <c r="I24" s="76">
        <v>44761.654548611114</v>
      </c>
      <c r="J24">
        <v>1</v>
      </c>
      <c r="K24">
        <v>2</v>
      </c>
      <c r="L24" t="s">
        <v>51</v>
      </c>
      <c r="M24">
        <v>596.79999999999995</v>
      </c>
      <c r="N24">
        <v>608.20000000000005</v>
      </c>
      <c r="O24">
        <v>1000</v>
      </c>
      <c r="P24" t="s">
        <v>124</v>
      </c>
      <c r="Q24" t="s">
        <v>124</v>
      </c>
      <c r="R24" t="s">
        <v>124</v>
      </c>
      <c r="S24">
        <v>0</v>
      </c>
      <c r="T24">
        <v>0</v>
      </c>
      <c r="U24">
        <v>7</v>
      </c>
      <c r="V24">
        <v>0</v>
      </c>
      <c r="W24">
        <v>13</v>
      </c>
      <c r="X24" s="77">
        <v>3000</v>
      </c>
    </row>
    <row r="25" spans="1:28" x14ac:dyDescent="0.35">
      <c r="A25" t="s">
        <v>54</v>
      </c>
      <c r="B25" t="s">
        <v>51</v>
      </c>
      <c r="C25" t="s">
        <v>55</v>
      </c>
      <c r="D25" t="s">
        <v>58</v>
      </c>
      <c r="E25" t="s">
        <v>133</v>
      </c>
      <c r="G25">
        <v>1</v>
      </c>
      <c r="I25" s="76">
        <v>44761.658819444441</v>
      </c>
      <c r="J25">
        <v>1</v>
      </c>
      <c r="K25">
        <v>3</v>
      </c>
      <c r="L25" t="s">
        <v>51</v>
      </c>
      <c r="M25">
        <v>619.5</v>
      </c>
      <c r="N25">
        <v>608.20000000000005</v>
      </c>
      <c r="O25">
        <v>1000</v>
      </c>
      <c r="P25" t="s">
        <v>124</v>
      </c>
      <c r="Q25" t="s">
        <v>124</v>
      </c>
      <c r="R25" t="s">
        <v>124</v>
      </c>
      <c r="S25">
        <v>0</v>
      </c>
      <c r="T25">
        <v>0</v>
      </c>
      <c r="U25">
        <v>7</v>
      </c>
      <c r="V25">
        <v>0</v>
      </c>
      <c r="W25">
        <v>13</v>
      </c>
      <c r="X25" s="77">
        <v>3000</v>
      </c>
    </row>
    <row r="26" spans="1:28" x14ac:dyDescent="0.35">
      <c r="A26" t="s">
        <v>54</v>
      </c>
      <c r="B26" t="s">
        <v>51</v>
      </c>
      <c r="C26" t="s">
        <v>55</v>
      </c>
      <c r="D26" t="s">
        <v>58</v>
      </c>
      <c r="E26" t="s">
        <v>133</v>
      </c>
      <c r="G26">
        <v>1</v>
      </c>
      <c r="I26" s="76">
        <v>44761.664282407408</v>
      </c>
      <c r="J26">
        <v>2</v>
      </c>
      <c r="K26">
        <v>1</v>
      </c>
      <c r="L26" t="s">
        <v>51</v>
      </c>
      <c r="M26">
        <v>1062</v>
      </c>
      <c r="N26">
        <v>1026</v>
      </c>
      <c r="O26">
        <v>1500</v>
      </c>
      <c r="P26" t="s">
        <v>124</v>
      </c>
      <c r="Q26" t="s">
        <v>124</v>
      </c>
      <c r="R26" t="s">
        <v>124</v>
      </c>
      <c r="S26">
        <v>0</v>
      </c>
      <c r="T26">
        <v>0</v>
      </c>
      <c r="U26">
        <v>7</v>
      </c>
      <c r="V26">
        <v>1</v>
      </c>
      <c r="W26">
        <v>13</v>
      </c>
      <c r="X26" s="77">
        <v>2000</v>
      </c>
    </row>
    <row r="27" spans="1:28" x14ac:dyDescent="0.35">
      <c r="A27" t="s">
        <v>54</v>
      </c>
      <c r="B27" t="s">
        <v>51</v>
      </c>
      <c r="C27" t="s">
        <v>55</v>
      </c>
      <c r="D27" t="s">
        <v>58</v>
      </c>
      <c r="E27" t="s">
        <v>133</v>
      </c>
      <c r="G27">
        <v>1</v>
      </c>
      <c r="I27" s="76">
        <v>44761.669004629628</v>
      </c>
      <c r="J27">
        <v>2</v>
      </c>
      <c r="K27">
        <v>2</v>
      </c>
      <c r="L27" t="s">
        <v>51</v>
      </c>
      <c r="M27">
        <v>1017</v>
      </c>
      <c r="N27">
        <v>1026</v>
      </c>
      <c r="O27">
        <v>1500</v>
      </c>
      <c r="P27" t="s">
        <v>124</v>
      </c>
      <c r="Q27" t="s">
        <v>124</v>
      </c>
      <c r="R27" t="s">
        <v>124</v>
      </c>
      <c r="S27">
        <v>0</v>
      </c>
      <c r="T27">
        <v>0</v>
      </c>
      <c r="U27">
        <v>7</v>
      </c>
      <c r="V27">
        <v>0</v>
      </c>
      <c r="W27">
        <v>13</v>
      </c>
      <c r="X27" s="77">
        <v>2000</v>
      </c>
    </row>
    <row r="28" spans="1:28" x14ac:dyDescent="0.35">
      <c r="A28" t="s">
        <v>54</v>
      </c>
      <c r="B28" t="s">
        <v>51</v>
      </c>
      <c r="C28" t="s">
        <v>55</v>
      </c>
      <c r="D28" t="s">
        <v>58</v>
      </c>
      <c r="E28" t="s">
        <v>133</v>
      </c>
      <c r="G28">
        <v>1</v>
      </c>
      <c r="I28" s="76">
        <v>44761.673425925925</v>
      </c>
      <c r="J28">
        <v>2</v>
      </c>
      <c r="K28">
        <v>3</v>
      </c>
      <c r="L28" t="s">
        <v>51</v>
      </c>
      <c r="M28">
        <v>1034</v>
      </c>
      <c r="N28">
        <v>1026</v>
      </c>
      <c r="O28">
        <v>1500</v>
      </c>
      <c r="P28" t="s">
        <v>124</v>
      </c>
      <c r="Q28" t="s">
        <v>124</v>
      </c>
      <c r="R28" t="s">
        <v>124</v>
      </c>
      <c r="S28">
        <v>0</v>
      </c>
      <c r="T28">
        <v>0</v>
      </c>
      <c r="U28">
        <v>7</v>
      </c>
      <c r="V28">
        <v>0</v>
      </c>
      <c r="W28">
        <v>13</v>
      </c>
      <c r="X28" s="77">
        <v>2000</v>
      </c>
    </row>
    <row r="29" spans="1:28" x14ac:dyDescent="0.35">
      <c r="A29" t="s">
        <v>54</v>
      </c>
      <c r="B29" t="s">
        <v>51</v>
      </c>
      <c r="C29" t="s">
        <v>55</v>
      </c>
      <c r="D29" t="s">
        <v>58</v>
      </c>
      <c r="E29" t="s">
        <v>133</v>
      </c>
      <c r="G29">
        <v>1</v>
      </c>
      <c r="I29" s="76">
        <v>44761.679166666669</v>
      </c>
      <c r="J29">
        <v>3</v>
      </c>
      <c r="K29">
        <v>1</v>
      </c>
      <c r="L29" t="s">
        <v>51</v>
      </c>
      <c r="M29">
        <v>1478</v>
      </c>
      <c r="N29">
        <v>1461</v>
      </c>
      <c r="O29">
        <v>2000</v>
      </c>
      <c r="P29" t="s">
        <v>124</v>
      </c>
      <c r="Q29" t="s">
        <v>124</v>
      </c>
      <c r="R29" t="s">
        <v>124</v>
      </c>
      <c r="S29">
        <v>0</v>
      </c>
      <c r="T29">
        <v>0</v>
      </c>
      <c r="U29">
        <v>7</v>
      </c>
      <c r="V29">
        <v>0</v>
      </c>
      <c r="W29">
        <v>13</v>
      </c>
      <c r="X29" s="77">
        <v>1500</v>
      </c>
    </row>
    <row r="30" spans="1:28" x14ac:dyDescent="0.35">
      <c r="A30" t="s">
        <v>54</v>
      </c>
      <c r="B30" t="s">
        <v>51</v>
      </c>
      <c r="C30" t="s">
        <v>55</v>
      </c>
      <c r="D30" t="s">
        <v>58</v>
      </c>
      <c r="E30" t="s">
        <v>133</v>
      </c>
      <c r="G30">
        <v>1</v>
      </c>
      <c r="I30" s="76">
        <v>44761.684178240743</v>
      </c>
      <c r="J30">
        <v>3</v>
      </c>
      <c r="K30">
        <v>2</v>
      </c>
      <c r="L30" t="s">
        <v>51</v>
      </c>
      <c r="M30">
        <v>1443</v>
      </c>
      <c r="N30">
        <v>1461</v>
      </c>
      <c r="O30">
        <v>2000</v>
      </c>
      <c r="P30" t="s">
        <v>124</v>
      </c>
      <c r="Q30" t="s">
        <v>124</v>
      </c>
      <c r="R30" t="s">
        <v>124</v>
      </c>
      <c r="S30">
        <v>0</v>
      </c>
      <c r="T30">
        <v>0</v>
      </c>
      <c r="U30">
        <v>7</v>
      </c>
      <c r="V30">
        <v>0</v>
      </c>
      <c r="W30">
        <v>13</v>
      </c>
      <c r="X30" s="77">
        <v>1500</v>
      </c>
    </row>
    <row r="31" spans="1:28" x14ac:dyDescent="0.35">
      <c r="A31" t="s">
        <v>50</v>
      </c>
      <c r="B31" t="s">
        <v>51</v>
      </c>
      <c r="C31" t="s">
        <v>59</v>
      </c>
      <c r="D31">
        <v>1500</v>
      </c>
      <c r="E31" t="s">
        <v>134</v>
      </c>
      <c r="F31" t="s">
        <v>133</v>
      </c>
      <c r="G31">
        <v>1</v>
      </c>
      <c r="I31" s="76">
        <v>44761.704548611109</v>
      </c>
      <c r="J31">
        <v>1</v>
      </c>
      <c r="K31">
        <v>1</v>
      </c>
      <c r="L31" t="s">
        <v>51</v>
      </c>
      <c r="M31">
        <v>1116</v>
      </c>
      <c r="N31">
        <v>1099</v>
      </c>
      <c r="O31">
        <v>1309</v>
      </c>
      <c r="P31">
        <v>1289</v>
      </c>
      <c r="Q31" t="s">
        <v>135</v>
      </c>
      <c r="R31" t="s">
        <v>135</v>
      </c>
      <c r="S31">
        <v>28.21</v>
      </c>
      <c r="T31">
        <v>2.19</v>
      </c>
      <c r="U31">
        <v>9</v>
      </c>
      <c r="V31">
        <v>0</v>
      </c>
      <c r="W31">
        <v>13</v>
      </c>
      <c r="X31" s="77">
        <v>1000</v>
      </c>
    </row>
    <row r="32" spans="1:28" ht="15" thickBot="1" x14ac:dyDescent="0.4">
      <c r="A32" t="s">
        <v>50</v>
      </c>
      <c r="B32" t="s">
        <v>51</v>
      </c>
      <c r="C32" t="s">
        <v>59</v>
      </c>
      <c r="D32">
        <v>1500</v>
      </c>
      <c r="E32" t="s">
        <v>134</v>
      </c>
      <c r="F32" t="s">
        <v>133</v>
      </c>
      <c r="G32">
        <v>1</v>
      </c>
      <c r="I32" s="76">
        <v>44761.709340277775</v>
      </c>
      <c r="J32">
        <v>1</v>
      </c>
      <c r="K32">
        <v>2</v>
      </c>
      <c r="L32" t="s">
        <v>51</v>
      </c>
      <c r="M32">
        <v>1082</v>
      </c>
      <c r="N32">
        <v>1099</v>
      </c>
      <c r="O32">
        <v>1269</v>
      </c>
      <c r="P32">
        <v>1289</v>
      </c>
      <c r="Q32" t="s">
        <v>135</v>
      </c>
      <c r="R32" t="s">
        <v>135</v>
      </c>
      <c r="S32">
        <v>28.21</v>
      </c>
      <c r="T32">
        <v>2.19</v>
      </c>
      <c r="U32">
        <v>9</v>
      </c>
      <c r="V32">
        <v>0</v>
      </c>
      <c r="W32">
        <v>13</v>
      </c>
      <c r="X32" s="77">
        <v>1000</v>
      </c>
      <c r="AA32" t="s">
        <v>148</v>
      </c>
      <c r="AB32" t="s">
        <v>149</v>
      </c>
    </row>
    <row r="33" spans="1:28" s="117" customFormat="1" x14ac:dyDescent="0.35">
      <c r="A33" s="78" t="s">
        <v>50</v>
      </c>
      <c r="B33" s="117" t="s">
        <v>51</v>
      </c>
      <c r="C33" s="117" t="s">
        <v>11</v>
      </c>
      <c r="D33" s="117" t="s">
        <v>11</v>
      </c>
      <c r="E33" s="117" t="s">
        <v>134</v>
      </c>
      <c r="F33" s="117" t="s">
        <v>133</v>
      </c>
      <c r="G33" s="117">
        <v>1</v>
      </c>
      <c r="I33" s="118">
        <v>44764.728449074071</v>
      </c>
      <c r="J33" s="117">
        <v>1</v>
      </c>
      <c r="K33" s="117">
        <v>1</v>
      </c>
      <c r="L33" s="117" t="s">
        <v>51</v>
      </c>
      <c r="M33" s="117">
        <v>620.6</v>
      </c>
      <c r="N33" s="117">
        <v>625.4</v>
      </c>
      <c r="O33" s="117">
        <v>728.1</v>
      </c>
      <c r="P33" s="117">
        <v>733.7</v>
      </c>
      <c r="Q33" s="117" t="s">
        <v>136</v>
      </c>
      <c r="R33" s="117" t="s">
        <v>136</v>
      </c>
      <c r="S33" s="119">
        <v>7881</v>
      </c>
      <c r="T33" s="117">
        <v>1.07</v>
      </c>
      <c r="U33" s="117">
        <v>13</v>
      </c>
      <c r="V33" s="117">
        <v>0</v>
      </c>
      <c r="W33" s="117">
        <v>13</v>
      </c>
      <c r="X33" s="119">
        <v>1000</v>
      </c>
      <c r="Y33" s="175">
        <f>M33*1.4251</f>
        <v>884.41706000000011</v>
      </c>
      <c r="Z33" s="176">
        <f>SUM(Y33:Y34)/2</f>
        <v>891.186285</v>
      </c>
      <c r="AA33" s="177">
        <v>0.66666666666666663</v>
      </c>
      <c r="AB33" s="176">
        <f t="shared" ref="AB33:AB39" si="4">Z33/AA33</f>
        <v>1336.7794275000001</v>
      </c>
    </row>
    <row r="34" spans="1:28" s="18" customFormat="1" x14ac:dyDescent="0.35">
      <c r="A34" s="79" t="s">
        <v>50</v>
      </c>
      <c r="B34" s="18" t="s">
        <v>51</v>
      </c>
      <c r="C34" s="18" t="s">
        <v>11</v>
      </c>
      <c r="D34" s="18" t="s">
        <v>11</v>
      </c>
      <c r="E34" s="18" t="s">
        <v>134</v>
      </c>
      <c r="F34" s="18" t="s">
        <v>133</v>
      </c>
      <c r="G34" s="18">
        <v>1</v>
      </c>
      <c r="I34" s="121">
        <v>44764.732870370368</v>
      </c>
      <c r="J34" s="18">
        <v>1</v>
      </c>
      <c r="K34" s="18">
        <v>2</v>
      </c>
      <c r="L34" s="18" t="s">
        <v>51</v>
      </c>
      <c r="M34" s="18">
        <v>630.1</v>
      </c>
      <c r="N34" s="18">
        <v>625.4</v>
      </c>
      <c r="O34" s="18">
        <v>739.3</v>
      </c>
      <c r="P34" s="18">
        <v>733.7</v>
      </c>
      <c r="Q34" s="18" t="s">
        <v>136</v>
      </c>
      <c r="R34" s="18" t="s">
        <v>136</v>
      </c>
      <c r="S34" s="122">
        <v>7881</v>
      </c>
      <c r="T34" s="18">
        <v>1.07</v>
      </c>
      <c r="U34" s="18">
        <v>13</v>
      </c>
      <c r="V34" s="18">
        <v>0</v>
      </c>
      <c r="W34" s="18">
        <v>13</v>
      </c>
      <c r="X34" s="122">
        <v>1000</v>
      </c>
      <c r="Y34" s="143">
        <f t="shared" ref="Y34:Y43" si="5">M34*1.4251</f>
        <v>897.95551</v>
      </c>
      <c r="AB34" s="126"/>
    </row>
    <row r="35" spans="1:28" s="18" customFormat="1" x14ac:dyDescent="0.35">
      <c r="A35" s="79" t="s">
        <v>50</v>
      </c>
      <c r="B35" s="18" t="s">
        <v>51</v>
      </c>
      <c r="C35" s="18" t="s">
        <v>12</v>
      </c>
      <c r="D35" s="18" t="s">
        <v>12</v>
      </c>
      <c r="E35" s="18" t="s">
        <v>134</v>
      </c>
      <c r="F35" s="18" t="s">
        <v>133</v>
      </c>
      <c r="G35" s="18">
        <v>1</v>
      </c>
      <c r="I35" s="121">
        <v>44764.75309027778</v>
      </c>
      <c r="J35" s="18">
        <v>1</v>
      </c>
      <c r="K35" s="18">
        <v>1</v>
      </c>
      <c r="L35" s="18" t="s">
        <v>51</v>
      </c>
      <c r="M35" s="18">
        <v>640.4</v>
      </c>
      <c r="N35" s="18">
        <v>634.1</v>
      </c>
      <c r="O35" s="18">
        <v>751.3</v>
      </c>
      <c r="P35" s="18">
        <v>743.9</v>
      </c>
      <c r="Q35" s="18" t="s">
        <v>137</v>
      </c>
      <c r="R35" s="18" t="s">
        <v>137</v>
      </c>
      <c r="S35" s="18">
        <v>10.45</v>
      </c>
      <c r="T35" s="18">
        <v>1.41</v>
      </c>
      <c r="U35" s="18">
        <v>15</v>
      </c>
      <c r="V35" s="18">
        <v>0</v>
      </c>
      <c r="W35" s="18">
        <v>13</v>
      </c>
      <c r="X35" s="122">
        <v>1000</v>
      </c>
      <c r="Y35" s="175">
        <f t="shared" si="5"/>
        <v>912.63404000000003</v>
      </c>
      <c r="Z35" s="176">
        <f t="shared" ref="Z35:Z42" si="6">SUM(Y35:Y36)/2</f>
        <v>903.65590999999995</v>
      </c>
      <c r="AA35" s="177">
        <v>0.66666666666666663</v>
      </c>
      <c r="AB35" s="176">
        <f t="shared" si="4"/>
        <v>1355.4838649999999</v>
      </c>
    </row>
    <row r="36" spans="1:28" s="18" customFormat="1" x14ac:dyDescent="0.35">
      <c r="A36" s="79" t="s">
        <v>50</v>
      </c>
      <c r="B36" s="18" t="s">
        <v>51</v>
      </c>
      <c r="C36" s="18" t="s">
        <v>12</v>
      </c>
      <c r="D36" s="18" t="s">
        <v>12</v>
      </c>
      <c r="E36" s="18" t="s">
        <v>134</v>
      </c>
      <c r="F36" s="18" t="s">
        <v>133</v>
      </c>
      <c r="G36" s="18">
        <v>1</v>
      </c>
      <c r="I36" s="121">
        <v>44764.757453703707</v>
      </c>
      <c r="J36" s="18">
        <v>1</v>
      </c>
      <c r="K36" s="18">
        <v>2</v>
      </c>
      <c r="L36" s="18" t="s">
        <v>51</v>
      </c>
      <c r="M36" s="18">
        <v>627.79999999999995</v>
      </c>
      <c r="N36" s="18">
        <v>634.1</v>
      </c>
      <c r="O36" s="18">
        <v>736.6</v>
      </c>
      <c r="P36" s="18">
        <v>743.9</v>
      </c>
      <c r="Q36" s="18" t="s">
        <v>137</v>
      </c>
      <c r="R36" s="18" t="s">
        <v>137</v>
      </c>
      <c r="S36" s="18">
        <v>10.45</v>
      </c>
      <c r="T36" s="18">
        <v>1.41</v>
      </c>
      <c r="U36" s="18">
        <v>15</v>
      </c>
      <c r="V36" s="18">
        <v>0</v>
      </c>
      <c r="W36" s="18">
        <v>13</v>
      </c>
      <c r="X36" s="122">
        <v>1000</v>
      </c>
      <c r="Y36" s="143">
        <f t="shared" si="5"/>
        <v>894.67777999999998</v>
      </c>
      <c r="Z36" s="126"/>
      <c r="AB36" s="126"/>
    </row>
    <row r="37" spans="1:28" s="18" customFormat="1" x14ac:dyDescent="0.35">
      <c r="A37" s="79" t="s">
        <v>50</v>
      </c>
      <c r="B37" s="18" t="s">
        <v>51</v>
      </c>
      <c r="C37" s="18" t="s">
        <v>5</v>
      </c>
      <c r="D37" s="18" t="s">
        <v>5</v>
      </c>
      <c r="E37" s="18" t="s">
        <v>134</v>
      </c>
      <c r="F37" s="18" t="s">
        <v>133</v>
      </c>
      <c r="G37" s="18">
        <v>1</v>
      </c>
      <c r="I37" s="121">
        <v>44764.777789351851</v>
      </c>
      <c r="J37" s="18">
        <v>1</v>
      </c>
      <c r="K37" s="18">
        <v>1</v>
      </c>
      <c r="L37" s="18" t="s">
        <v>51</v>
      </c>
      <c r="M37" s="18">
        <v>995.5</v>
      </c>
      <c r="N37" s="18">
        <v>978.4</v>
      </c>
      <c r="O37" s="18">
        <v>1168</v>
      </c>
      <c r="P37" s="18">
        <v>1148</v>
      </c>
      <c r="Q37" s="18" t="s">
        <v>138</v>
      </c>
      <c r="R37" s="18" t="s">
        <v>138</v>
      </c>
      <c r="S37" s="18">
        <v>28.46</v>
      </c>
      <c r="T37" s="18">
        <v>2.48</v>
      </c>
      <c r="U37" s="18">
        <v>17</v>
      </c>
      <c r="V37" s="18">
        <v>0</v>
      </c>
      <c r="W37" s="18">
        <v>13</v>
      </c>
      <c r="X37" s="122">
        <v>1000</v>
      </c>
      <c r="Y37" s="175">
        <f t="shared" si="5"/>
        <v>1418.68705</v>
      </c>
      <c r="Z37" s="176">
        <f t="shared" si="6"/>
        <v>1394.2465850000001</v>
      </c>
      <c r="AA37" s="176">
        <v>1</v>
      </c>
      <c r="AB37" s="176">
        <f t="shared" si="4"/>
        <v>1394.2465850000001</v>
      </c>
    </row>
    <row r="38" spans="1:28" s="18" customFormat="1" x14ac:dyDescent="0.35">
      <c r="A38" s="79" t="s">
        <v>50</v>
      </c>
      <c r="B38" s="18" t="s">
        <v>51</v>
      </c>
      <c r="C38" s="18" t="s">
        <v>5</v>
      </c>
      <c r="D38" s="18" t="s">
        <v>5</v>
      </c>
      <c r="E38" s="18" t="s">
        <v>134</v>
      </c>
      <c r="F38" s="18" t="s">
        <v>133</v>
      </c>
      <c r="G38" s="18">
        <v>1</v>
      </c>
      <c r="I38" s="121">
        <v>44764.782268518517</v>
      </c>
      <c r="J38" s="18">
        <v>1</v>
      </c>
      <c r="K38" s="18">
        <v>2</v>
      </c>
      <c r="L38" s="18" t="s">
        <v>51</v>
      </c>
      <c r="M38" s="18">
        <v>961.2</v>
      </c>
      <c r="N38" s="18">
        <v>978.4</v>
      </c>
      <c r="O38" s="18">
        <v>1128</v>
      </c>
      <c r="P38" s="18">
        <v>1148</v>
      </c>
      <c r="Q38" s="18" t="s">
        <v>138</v>
      </c>
      <c r="R38" s="18" t="s">
        <v>138</v>
      </c>
      <c r="S38" s="18">
        <v>28.46</v>
      </c>
      <c r="T38" s="18">
        <v>2.48</v>
      </c>
      <c r="U38" s="18">
        <v>17</v>
      </c>
      <c r="V38" s="18">
        <v>0</v>
      </c>
      <c r="W38" s="18">
        <v>13</v>
      </c>
      <c r="X38" s="122">
        <v>1000</v>
      </c>
      <c r="Y38" s="143">
        <f t="shared" si="5"/>
        <v>1369.8061200000002</v>
      </c>
      <c r="Z38" s="126"/>
      <c r="AB38" s="126"/>
    </row>
    <row r="39" spans="1:28" s="18" customFormat="1" x14ac:dyDescent="0.35">
      <c r="A39" s="79" t="s">
        <v>50</v>
      </c>
      <c r="B39" s="18" t="s">
        <v>51</v>
      </c>
      <c r="C39" s="18" t="s">
        <v>6</v>
      </c>
      <c r="D39" s="18" t="s">
        <v>6</v>
      </c>
      <c r="E39" s="18" t="s">
        <v>134</v>
      </c>
      <c r="F39" s="18" t="s">
        <v>133</v>
      </c>
      <c r="G39" s="18">
        <v>1</v>
      </c>
      <c r="I39" s="121">
        <v>44764.802337962959</v>
      </c>
      <c r="J39" s="18">
        <v>1</v>
      </c>
      <c r="K39" s="18">
        <v>1</v>
      </c>
      <c r="L39" s="18" t="s">
        <v>51</v>
      </c>
      <c r="M39" s="18">
        <v>644.1</v>
      </c>
      <c r="N39" s="18">
        <v>610.79999999999995</v>
      </c>
      <c r="O39" s="18">
        <v>755.7</v>
      </c>
      <c r="P39" s="18">
        <v>716.6</v>
      </c>
      <c r="Q39" s="18" t="s">
        <v>139</v>
      </c>
      <c r="R39" s="18" t="s">
        <v>139</v>
      </c>
      <c r="S39" s="122">
        <v>8130</v>
      </c>
      <c r="T39" s="18">
        <v>1.1299999999999999</v>
      </c>
      <c r="U39" s="18">
        <v>19</v>
      </c>
      <c r="V39" s="18">
        <v>1</v>
      </c>
      <c r="W39" s="18">
        <v>13</v>
      </c>
      <c r="X39" s="122">
        <v>1000</v>
      </c>
      <c r="Y39" s="175">
        <f t="shared" si="5"/>
        <v>917.90691000000004</v>
      </c>
      <c r="Z39" s="176">
        <f>SUM(Y39:Y41)/3</f>
        <v>886.26969000000008</v>
      </c>
      <c r="AA39" s="177">
        <v>0.66666666666666663</v>
      </c>
      <c r="AB39" s="176">
        <f t="shared" si="4"/>
        <v>1329.4045350000001</v>
      </c>
    </row>
    <row r="40" spans="1:28" s="18" customFormat="1" ht="15" thickBot="1" x14ac:dyDescent="0.4">
      <c r="A40" s="79" t="s">
        <v>50</v>
      </c>
      <c r="B40" s="18" t="s">
        <v>51</v>
      </c>
      <c r="C40" s="18" t="s">
        <v>6</v>
      </c>
      <c r="D40" s="18" t="s">
        <v>6</v>
      </c>
      <c r="E40" s="18" t="s">
        <v>134</v>
      </c>
      <c r="F40" s="18" t="s">
        <v>133</v>
      </c>
      <c r="G40" s="18">
        <v>1</v>
      </c>
      <c r="I40" s="121">
        <v>44764.806701388887</v>
      </c>
      <c r="J40" s="18">
        <v>1</v>
      </c>
      <c r="K40" s="18">
        <v>2</v>
      </c>
      <c r="L40" s="18" t="s">
        <v>51</v>
      </c>
      <c r="M40" s="18">
        <v>605.9</v>
      </c>
      <c r="N40" s="18">
        <v>610.79999999999995</v>
      </c>
      <c r="O40" s="18">
        <v>710.9</v>
      </c>
      <c r="P40" s="18">
        <v>716.6</v>
      </c>
      <c r="Q40" s="18" t="s">
        <v>139</v>
      </c>
      <c r="R40" s="18" t="s">
        <v>139</v>
      </c>
      <c r="S40" s="122">
        <v>8130</v>
      </c>
      <c r="T40" s="18">
        <v>1.1299999999999999</v>
      </c>
      <c r="U40" s="18">
        <v>19</v>
      </c>
      <c r="V40" s="18">
        <v>0</v>
      </c>
      <c r="W40" s="18">
        <v>13</v>
      </c>
      <c r="X40" s="122">
        <v>1000</v>
      </c>
      <c r="Y40" s="143">
        <f t="shared" si="5"/>
        <v>863.46808999999996</v>
      </c>
      <c r="Z40" s="126"/>
    </row>
    <row r="41" spans="1:28" s="18" customFormat="1" ht="15" thickBot="1" x14ac:dyDescent="0.4">
      <c r="A41" s="79" t="s">
        <v>50</v>
      </c>
      <c r="B41" s="18" t="s">
        <v>51</v>
      </c>
      <c r="C41" s="18" t="s">
        <v>6</v>
      </c>
      <c r="D41" s="18" t="s">
        <v>6</v>
      </c>
      <c r="E41" s="18" t="s">
        <v>134</v>
      </c>
      <c r="F41" s="18" t="s">
        <v>133</v>
      </c>
      <c r="G41" s="18">
        <v>1</v>
      </c>
      <c r="I41" s="121">
        <v>44764.81082175926</v>
      </c>
      <c r="J41" s="18">
        <v>1</v>
      </c>
      <c r="K41" s="18">
        <v>3</v>
      </c>
      <c r="L41" s="18" t="s">
        <v>51</v>
      </c>
      <c r="M41" s="18">
        <v>615.70000000000005</v>
      </c>
      <c r="N41" s="18">
        <v>610.79999999999995</v>
      </c>
      <c r="O41" s="18">
        <v>722.4</v>
      </c>
      <c r="P41" s="18">
        <v>716.6</v>
      </c>
      <c r="Q41" s="18" t="s">
        <v>139</v>
      </c>
      <c r="R41" s="18" t="s">
        <v>139</v>
      </c>
      <c r="S41" s="122">
        <v>8130</v>
      </c>
      <c r="T41" s="18">
        <v>1.1299999999999999</v>
      </c>
      <c r="U41" s="18">
        <v>19</v>
      </c>
      <c r="V41" s="18">
        <v>0</v>
      </c>
      <c r="W41" s="18">
        <v>13</v>
      </c>
      <c r="X41" s="122">
        <v>1000</v>
      </c>
      <c r="Y41" s="120">
        <f t="shared" si="5"/>
        <v>877.43407000000013</v>
      </c>
      <c r="Z41" s="116"/>
    </row>
    <row r="42" spans="1:28" s="18" customFormat="1" ht="15" thickBot="1" x14ac:dyDescent="0.4">
      <c r="A42" s="79" t="s">
        <v>50</v>
      </c>
      <c r="B42" s="18" t="s">
        <v>51</v>
      </c>
      <c r="C42" s="18" t="s">
        <v>53</v>
      </c>
      <c r="D42" s="18" t="s">
        <v>53</v>
      </c>
      <c r="E42" s="18" t="s">
        <v>134</v>
      </c>
      <c r="F42" s="18" t="s">
        <v>133</v>
      </c>
      <c r="G42" s="18">
        <v>1</v>
      </c>
      <c r="I42" s="121">
        <v>44764.831030092595</v>
      </c>
      <c r="J42" s="18">
        <v>1</v>
      </c>
      <c r="K42" s="18">
        <v>1</v>
      </c>
      <c r="L42" s="18" t="s">
        <v>51</v>
      </c>
      <c r="M42" s="18">
        <v>1114</v>
      </c>
      <c r="N42" s="18">
        <v>1101</v>
      </c>
      <c r="O42" s="18">
        <v>1307</v>
      </c>
      <c r="P42" s="18">
        <v>1291</v>
      </c>
      <c r="Q42" s="18" t="s">
        <v>140</v>
      </c>
      <c r="R42" s="18" t="s">
        <v>140</v>
      </c>
      <c r="S42" s="18">
        <v>22.4</v>
      </c>
      <c r="T42" s="18">
        <v>1.73</v>
      </c>
      <c r="U42" s="18">
        <v>21</v>
      </c>
      <c r="V42" s="18">
        <v>0</v>
      </c>
      <c r="W42" s="18">
        <v>13</v>
      </c>
      <c r="X42" s="122">
        <v>1000</v>
      </c>
      <c r="Y42" s="120">
        <f t="shared" si="5"/>
        <v>1587.5614</v>
      </c>
      <c r="Z42" s="127">
        <f t="shared" si="6"/>
        <v>1568.3225500000001</v>
      </c>
    </row>
    <row r="43" spans="1:28" s="123" customFormat="1" ht="15" thickBot="1" x14ac:dyDescent="0.4">
      <c r="A43" s="80" t="s">
        <v>50</v>
      </c>
      <c r="B43" s="123" t="s">
        <v>51</v>
      </c>
      <c r="C43" s="123" t="s">
        <v>53</v>
      </c>
      <c r="D43" s="123" t="s">
        <v>53</v>
      </c>
      <c r="E43" s="123" t="s">
        <v>134</v>
      </c>
      <c r="F43" s="123" t="s">
        <v>133</v>
      </c>
      <c r="G43" s="123">
        <v>1</v>
      </c>
      <c r="I43" s="124">
        <v>44764.835509259261</v>
      </c>
      <c r="J43" s="123">
        <v>1</v>
      </c>
      <c r="K43" s="123">
        <v>2</v>
      </c>
      <c r="L43" s="123" t="s">
        <v>51</v>
      </c>
      <c r="M43" s="123">
        <v>1087</v>
      </c>
      <c r="N43" s="123">
        <v>1101</v>
      </c>
      <c r="O43" s="123">
        <v>1275</v>
      </c>
      <c r="P43" s="123">
        <v>1291</v>
      </c>
      <c r="Q43" s="123" t="s">
        <v>140</v>
      </c>
      <c r="R43" s="123" t="s">
        <v>140</v>
      </c>
      <c r="S43" s="123">
        <v>22.4</v>
      </c>
      <c r="T43" s="123">
        <v>1.73</v>
      </c>
      <c r="U43" s="123">
        <v>21</v>
      </c>
      <c r="V43" s="123">
        <v>0</v>
      </c>
      <c r="W43" s="123">
        <v>13</v>
      </c>
      <c r="X43" s="125">
        <v>1000</v>
      </c>
      <c r="Y43" s="120">
        <f t="shared" si="5"/>
        <v>1549.0837000000001</v>
      </c>
      <c r="Z43" s="11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of data</vt:lpstr>
      <vt:lpstr>OD</vt:lpstr>
      <vt:lpstr>Growth rates</vt:lpstr>
      <vt:lpstr>Pigments graph</vt:lpstr>
      <vt:lpstr>Pig cal</vt:lpstr>
      <vt:lpstr>Cal TIC-by NUF</vt:lpstr>
      <vt:lpstr>Real 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2023-02-20T07:47:17Z</dcterms:modified>
</cp:coreProperties>
</file>