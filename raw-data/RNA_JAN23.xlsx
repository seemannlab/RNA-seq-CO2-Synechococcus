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00" tabRatio="886" activeTab="4"/>
  </bookViews>
  <sheets>
    <sheet name="Summary of data" sheetId="4" r:id="rId1"/>
    <sheet name="OD" sheetId="7" r:id="rId2"/>
    <sheet name="Growth rates" sheetId="5" r:id="rId3"/>
    <sheet name="Pig graph " sheetId="8" r:id="rId4"/>
    <sheet name="Pig Cal " sheetId="9" r:id="rId5"/>
    <sheet name="Hours" sheetId="2" r:id="rId6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4" l="1"/>
  <c r="E20" i="4"/>
  <c r="F20" i="4"/>
  <c r="G20" i="4"/>
  <c r="H20" i="4"/>
  <c r="I20" i="4"/>
  <c r="D21" i="4"/>
  <c r="E21" i="4"/>
  <c r="F21" i="4"/>
  <c r="G21" i="4"/>
  <c r="H21" i="4"/>
  <c r="I21" i="4"/>
  <c r="D22" i="4"/>
  <c r="E22" i="4"/>
  <c r="F22" i="4"/>
  <c r="G22" i="4"/>
  <c r="H22" i="4"/>
  <c r="I22" i="4"/>
  <c r="D23" i="4"/>
  <c r="E23" i="4"/>
  <c r="F23" i="4"/>
  <c r="G23" i="4"/>
  <c r="H23" i="4"/>
  <c r="I23" i="4"/>
  <c r="D24" i="4"/>
  <c r="E24" i="4"/>
  <c r="F24" i="4"/>
  <c r="G24" i="4"/>
  <c r="H24" i="4"/>
  <c r="I24" i="4"/>
  <c r="D25" i="4"/>
  <c r="E25" i="4"/>
  <c r="F25" i="4"/>
  <c r="G25" i="4"/>
  <c r="H25" i="4"/>
  <c r="I25" i="4"/>
  <c r="D26" i="4"/>
  <c r="E26" i="4"/>
  <c r="F26" i="4"/>
  <c r="G26" i="4"/>
  <c r="H26" i="4"/>
  <c r="I26" i="4"/>
  <c r="D27" i="4"/>
  <c r="E27" i="4"/>
  <c r="F27" i="4"/>
  <c r="G27" i="4"/>
  <c r="H27" i="4"/>
  <c r="I27" i="4"/>
  <c r="C27" i="4"/>
  <c r="C26" i="4"/>
  <c r="C25" i="4"/>
  <c r="C24" i="4"/>
  <c r="C22" i="4"/>
  <c r="C21" i="4"/>
  <c r="C20" i="4"/>
  <c r="B46" i="9"/>
  <c r="D52" i="9"/>
  <c r="B45" i="9"/>
  <c r="B42" i="9"/>
  <c r="B41" i="9"/>
  <c r="B40" i="9"/>
  <c r="B39" i="9"/>
  <c r="G42" i="9"/>
  <c r="G60" i="9"/>
  <c r="F42" i="9"/>
  <c r="F60" i="9"/>
  <c r="E42" i="9"/>
  <c r="E60" i="9"/>
  <c r="D42" i="9"/>
  <c r="D60" i="9"/>
  <c r="C42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41" i="9"/>
  <c r="G56" i="9"/>
  <c r="F41" i="9"/>
  <c r="F56" i="9"/>
  <c r="E41" i="9"/>
  <c r="E56" i="9"/>
  <c r="D41" i="9"/>
  <c r="D56" i="9"/>
  <c r="C41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40" i="9"/>
  <c r="G52" i="9"/>
  <c r="F40" i="9"/>
  <c r="F52" i="9"/>
  <c r="E40" i="9"/>
  <c r="E52" i="9"/>
  <c r="D40" i="9"/>
  <c r="C40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39" i="9"/>
  <c r="G48" i="9"/>
  <c r="F39" i="9"/>
  <c r="F48" i="9"/>
  <c r="E39" i="9"/>
  <c r="E48" i="9"/>
  <c r="D39" i="9"/>
  <c r="D48" i="9"/>
  <c r="C39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G45" i="9"/>
  <c r="F45" i="9"/>
  <c r="E45" i="9"/>
  <c r="D45" i="9"/>
  <c r="C45" i="9"/>
  <c r="F17" i="9"/>
  <c r="G17" i="9"/>
  <c r="J17" i="9"/>
  <c r="I17" i="9"/>
  <c r="H17" i="9"/>
  <c r="F16" i="9"/>
  <c r="G16" i="9"/>
  <c r="J16" i="9"/>
  <c r="I16" i="9"/>
  <c r="H16" i="9"/>
  <c r="F15" i="9"/>
  <c r="G15" i="9"/>
  <c r="J15" i="9"/>
  <c r="I15" i="9"/>
  <c r="H15" i="9"/>
  <c r="F14" i="9"/>
  <c r="G14" i="9"/>
  <c r="J14" i="9"/>
  <c r="I14" i="9"/>
  <c r="H14" i="9"/>
  <c r="F13" i="9"/>
  <c r="G13" i="9"/>
  <c r="J13" i="9"/>
  <c r="I13" i="9"/>
  <c r="H13" i="9"/>
  <c r="F12" i="9"/>
  <c r="G12" i="9"/>
  <c r="J12" i="9"/>
  <c r="I12" i="9"/>
  <c r="H12" i="9"/>
  <c r="F11" i="9"/>
  <c r="G11" i="9"/>
  <c r="J11" i="9"/>
  <c r="I11" i="9"/>
  <c r="H11" i="9"/>
  <c r="F10" i="9"/>
  <c r="G10" i="9"/>
  <c r="J10" i="9"/>
  <c r="I10" i="9"/>
  <c r="H10" i="9"/>
  <c r="F9" i="9"/>
  <c r="G9" i="9"/>
  <c r="J9" i="9"/>
  <c r="I9" i="9"/>
  <c r="H9" i="9"/>
  <c r="F8" i="9"/>
  <c r="G8" i="9"/>
  <c r="J8" i="9"/>
  <c r="I8" i="9"/>
  <c r="H8" i="9"/>
  <c r="F7" i="9"/>
  <c r="G7" i="9"/>
  <c r="J7" i="9"/>
  <c r="I7" i="9"/>
  <c r="H7" i="9"/>
  <c r="F6" i="9"/>
  <c r="G6" i="9"/>
  <c r="J6" i="9"/>
  <c r="I6" i="9"/>
  <c r="H6" i="9"/>
  <c r="F5" i="9"/>
  <c r="G5" i="9"/>
  <c r="J5" i="9"/>
  <c r="I5" i="9"/>
  <c r="H5" i="9"/>
  <c r="F4" i="9"/>
  <c r="G4" i="9"/>
  <c r="J4" i="9"/>
  <c r="I4" i="9"/>
  <c r="H4" i="9"/>
  <c r="F3" i="9"/>
  <c r="G3" i="9"/>
  <c r="J3" i="9"/>
  <c r="I3" i="9"/>
  <c r="H3" i="9"/>
  <c r="F2" i="9"/>
  <c r="G2" i="9"/>
  <c r="J2" i="9"/>
  <c r="I2" i="9"/>
  <c r="H2" i="9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U2" i="8"/>
  <c r="C23" i="4"/>
  <c r="C23" i="5"/>
  <c r="C24" i="5"/>
  <c r="E60" i="7"/>
  <c r="D60" i="7"/>
  <c r="C60" i="7"/>
  <c r="B60" i="7"/>
  <c r="B59" i="7"/>
  <c r="B58" i="7"/>
  <c r="B57" i="7"/>
  <c r="E33" i="7"/>
  <c r="D33" i="7"/>
  <c r="C33" i="7"/>
  <c r="B33" i="7"/>
  <c r="B32" i="7"/>
  <c r="B27" i="7"/>
  <c r="Q22" i="7"/>
  <c r="P22" i="7"/>
  <c r="O22" i="7"/>
  <c r="N22" i="7"/>
  <c r="R1" i="2"/>
  <c r="N21" i="7"/>
  <c r="Q1" i="2"/>
  <c r="N20" i="7"/>
  <c r="P1" i="2"/>
  <c r="N19" i="7"/>
  <c r="M1" i="2"/>
  <c r="B16" i="7"/>
  <c r="B15" i="7"/>
  <c r="E16" i="7"/>
  <c r="C16" i="7"/>
  <c r="D16" i="7"/>
  <c r="B13" i="7"/>
  <c r="K1" i="2"/>
  <c r="K2" i="2"/>
  <c r="J1" i="2"/>
  <c r="I1" i="2"/>
  <c r="B4" i="7"/>
  <c r="C27" i="5"/>
  <c r="C28" i="5"/>
  <c r="C29" i="5"/>
  <c r="C30" i="5"/>
  <c r="C31" i="5"/>
  <c r="C32" i="5"/>
  <c r="C33" i="5"/>
  <c r="C34" i="5"/>
  <c r="C26" i="5"/>
  <c r="C25" i="5"/>
  <c r="C22" i="5"/>
  <c r="C21" i="5"/>
  <c r="C20" i="5"/>
  <c r="C19" i="5"/>
  <c r="O1" i="2"/>
  <c r="N1" i="2"/>
  <c r="L1" i="2"/>
  <c r="I2" i="2"/>
  <c r="J2" i="2"/>
  <c r="L2" i="2"/>
  <c r="M2" i="2"/>
  <c r="N2" i="2"/>
  <c r="O2" i="2"/>
  <c r="P2" i="2"/>
  <c r="Q2" i="2"/>
  <c r="R2" i="2"/>
  <c r="H1" i="2"/>
  <c r="G1" i="2"/>
  <c r="F1" i="2"/>
  <c r="E1" i="2"/>
  <c r="D1" i="2"/>
  <c r="E2" i="2"/>
  <c r="C1" i="2"/>
  <c r="C2" i="2"/>
  <c r="G2" i="2"/>
  <c r="D2" i="2"/>
  <c r="B2" i="2"/>
  <c r="H2" i="2"/>
  <c r="F2" i="2"/>
</calcChain>
</file>

<file path=xl/sharedStrings.xml><?xml version="1.0" encoding="utf-8"?>
<sst xmlns="http://schemas.openxmlformats.org/spreadsheetml/2006/main" count="263" uniqueCount="71">
  <si>
    <t>s6</t>
  </si>
  <si>
    <t>s5</t>
  </si>
  <si>
    <t>s8</t>
  </si>
  <si>
    <t>s10</t>
  </si>
  <si>
    <t>s11</t>
  </si>
  <si>
    <t>s12</t>
  </si>
  <si>
    <t>s2</t>
  </si>
  <si>
    <t>s3</t>
  </si>
  <si>
    <t>s4</t>
  </si>
  <si>
    <t>s14</t>
  </si>
  <si>
    <t>s154</t>
  </si>
  <si>
    <t>s16</t>
  </si>
  <si>
    <t>Sample</t>
  </si>
  <si>
    <t>A560</t>
  </si>
  <si>
    <t>A637</t>
  </si>
  <si>
    <t>A683</t>
  </si>
  <si>
    <t>A730</t>
  </si>
  <si>
    <t>PBS cont</t>
  </si>
  <si>
    <t>Chl a cont</t>
  </si>
  <si>
    <t>Chl a/biomass</t>
  </si>
  <si>
    <t>PC/biomass</t>
  </si>
  <si>
    <t>PC/Chl a</t>
  </si>
  <si>
    <t>s1</t>
  </si>
  <si>
    <t>s7</t>
  </si>
  <si>
    <t>Averages:</t>
  </si>
  <si>
    <t>Error bars</t>
  </si>
  <si>
    <t>Chl α cont</t>
  </si>
  <si>
    <t>Chl α/biomass</t>
  </si>
  <si>
    <t>PC/Chl α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</si>
  <si>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%</t>
    </r>
  </si>
  <si>
    <t>OD (Abs 730)</t>
  </si>
  <si>
    <t>Ph (at collection time)</t>
  </si>
  <si>
    <t>Growth rate</t>
  </si>
  <si>
    <t>Doubling time (h)</t>
  </si>
  <si>
    <t>RNA (ng/µL)</t>
  </si>
  <si>
    <t>S1</t>
  </si>
  <si>
    <t>S2</t>
  </si>
  <si>
    <t>S3</t>
  </si>
  <si>
    <t>S4</t>
  </si>
  <si>
    <t>S5</t>
  </si>
  <si>
    <t>S6</t>
  </si>
  <si>
    <t>S7</t>
  </si>
  <si>
    <t>S8</t>
  </si>
  <si>
    <t>Summary</t>
  </si>
  <si>
    <t>Average</t>
  </si>
  <si>
    <t>Stddev</t>
  </si>
  <si>
    <t>Doublng time</t>
  </si>
  <si>
    <t>my</t>
  </si>
  <si>
    <t>T2</t>
  </si>
  <si>
    <t>Real data:</t>
  </si>
  <si>
    <t>s9</t>
  </si>
  <si>
    <t>s13</t>
  </si>
  <si>
    <t>s15</t>
  </si>
  <si>
    <t>S9</t>
  </si>
  <si>
    <t>S10</t>
  </si>
  <si>
    <t>S11</t>
  </si>
  <si>
    <t>S12</t>
  </si>
  <si>
    <t>S13</t>
  </si>
  <si>
    <t>S14</t>
  </si>
  <si>
    <t>S15</t>
  </si>
  <si>
    <t>S16</t>
  </si>
  <si>
    <t>Time(h)</t>
  </si>
  <si>
    <t>OD (Abs 730) when harvest</t>
  </si>
  <si>
    <t>Air (s1-s4)</t>
  </si>
  <si>
    <t>4%CO2 (s5-s8)</t>
  </si>
  <si>
    <t>8%CO2 (s9-s12)</t>
  </si>
  <si>
    <t>30%CO2 (s13-s16)</t>
  </si>
  <si>
    <t>Abs</t>
  </si>
  <si>
    <t>Raw data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</si>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</sst>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73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/>
    <xf numFmtId="0" fontId="2" fillId="0" borderId="0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  <xf numFmtId="2" fontId="0" fillId="0" borderId="9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8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64" fontId="0" fillId="0" borderId="3" xfId="0" applyNumberFormat="1" applyFont="1" applyFill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2" fontId="0" fillId="0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164" fontId="0" fillId="0" borderId="8" xfId="0" applyNumberFormat="1" applyFont="1" applyFill="1" applyBorder="1" applyAlignment="1">
      <alignment horizontal="center" vertical="center"/>
    </xf>
    <xf numFmtId="2" fontId="0" fillId="0" borderId="8" xfId="0" applyNumberFormat="1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1" xfId="0" applyFont="1" applyFill="1" applyBorder="1"/>
    <xf numFmtId="0" fontId="1" fillId="0" borderId="0" xfId="0" applyFont="1" applyFill="1" applyBorder="1" applyAlignment="1">
      <alignment vertical="center" wrapText="1"/>
    </xf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" fillId="2" borderId="1" xfId="0" applyFont="1" applyFill="1" applyBorder="1"/>
    <xf numFmtId="0" fontId="5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/>
    <xf numFmtId="2" fontId="1" fillId="0" borderId="1" xfId="0" applyNumberFormat="1" applyFont="1" applyFill="1" applyBorder="1"/>
    <xf numFmtId="0" fontId="6" fillId="0" borderId="0" xfId="0" applyFont="1"/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8" borderId="7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 indent="1"/>
    </xf>
    <xf numFmtId="0" fontId="0" fillId="0" borderId="20" xfId="0" applyFont="1" applyFill="1" applyBorder="1" applyAlignment="1">
      <alignment horizontal="center" vertical="center"/>
    </xf>
    <xf numFmtId="2" fontId="0" fillId="0" borderId="20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5" borderId="19" xfId="0" applyFont="1" applyFill="1" applyBorder="1" applyAlignment="1">
      <alignment horizontal="center" vertical="center"/>
    </xf>
    <xf numFmtId="164" fontId="0" fillId="0" borderId="20" xfId="0" applyNumberFormat="1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0" fillId="5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164" fontId="0" fillId="0" borderId="16" xfId="0" applyNumberFormat="1" applyFont="1" applyFill="1" applyBorder="1" applyAlignment="1">
      <alignment horizontal="center" vertical="center" wrapText="1"/>
    </xf>
    <xf numFmtId="2" fontId="0" fillId="0" borderId="16" xfId="0" applyNumberFormat="1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3" borderId="0" xfId="0" applyFill="1"/>
    <xf numFmtId="0" fontId="0" fillId="3" borderId="5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center" vertical="top" wrapText="1"/>
    </xf>
    <xf numFmtId="0" fontId="0" fillId="3" borderId="18" xfId="0" applyFill="1" applyBorder="1" applyAlignment="1">
      <alignment horizontal="left" vertical="center" wrapText="1"/>
    </xf>
    <xf numFmtId="0" fontId="1" fillId="3" borderId="24" xfId="0" applyFont="1" applyFill="1" applyBorder="1" applyAlignment="1">
      <alignment horizontal="center" vertical="top" wrapText="1"/>
    </xf>
    <xf numFmtId="0" fontId="0" fillId="3" borderId="25" xfId="0" applyFill="1" applyBorder="1" applyAlignment="1">
      <alignment wrapText="1"/>
    </xf>
    <xf numFmtId="0" fontId="0" fillId="3" borderId="18" xfId="0" applyFill="1" applyBorder="1" applyAlignment="1">
      <alignment wrapText="1"/>
    </xf>
    <xf numFmtId="0" fontId="1" fillId="3" borderId="5" xfId="0" applyFont="1" applyFill="1" applyBorder="1" applyAlignment="1">
      <alignment horizontal="center" vertical="top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2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20" xfId="0" applyFill="1" applyBorder="1" applyAlignment="1">
      <alignment horizontal="left" vertical="center" wrapText="1"/>
    </xf>
    <xf numFmtId="0" fontId="0" fillId="3" borderId="21" xfId="0" applyFill="1" applyBorder="1" applyAlignment="1">
      <alignment wrapText="1"/>
    </xf>
    <xf numFmtId="0" fontId="0" fillId="0" borderId="0" xfId="0" applyBorder="1" applyAlignment="1">
      <alignment wrapText="1"/>
    </xf>
    <xf numFmtId="0" fontId="1" fillId="3" borderId="10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left" vertical="center" wrapText="1"/>
    </xf>
    <xf numFmtId="0" fontId="0" fillId="3" borderId="29" xfId="0" applyFill="1" applyBorder="1" applyAlignment="1">
      <alignment wrapText="1"/>
    </xf>
    <xf numFmtId="0" fontId="0" fillId="3" borderId="12" xfId="0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6" xfId="0" applyFont="1" applyFill="1" applyBorder="1" applyAlignment="1">
      <alignment horizontal="left" vertical="center" wrapText="1"/>
    </xf>
    <xf numFmtId="0" fontId="0" fillId="3" borderId="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center" vertical="top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wrapText="1"/>
    </xf>
    <xf numFmtId="0" fontId="0" fillId="3" borderId="28" xfId="0" applyFill="1" applyBorder="1" applyAlignment="1">
      <alignment wrapText="1"/>
    </xf>
    <xf numFmtId="0" fontId="0" fillId="3" borderId="18" xfId="0" applyFont="1" applyFill="1" applyBorder="1" applyAlignment="1">
      <alignment wrapText="1"/>
    </xf>
    <xf numFmtId="0" fontId="0" fillId="3" borderId="23" xfId="0" applyFont="1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1" fillId="3" borderId="30" xfId="0" applyFont="1" applyFill="1" applyBorder="1" applyAlignment="1">
      <alignment horizontal="center" vertical="top" wrapText="1"/>
    </xf>
    <xf numFmtId="0" fontId="0" fillId="3" borderId="31" xfId="0" applyFill="1" applyBorder="1" applyAlignment="1">
      <alignment horizontal="left" vertical="center" wrapText="1"/>
    </xf>
    <xf numFmtId="0" fontId="2" fillId="3" borderId="31" xfId="0" applyFont="1" applyFill="1" applyBorder="1" applyAlignment="1">
      <alignment wrapText="1"/>
    </xf>
    <xf numFmtId="0" fontId="0" fillId="3" borderId="31" xfId="0" applyFill="1" applyBorder="1" applyAlignment="1">
      <alignment wrapText="1"/>
    </xf>
    <xf numFmtId="0" fontId="0" fillId="3" borderId="32" xfId="0" applyFill="1" applyBorder="1" applyAlignment="1">
      <alignment horizontal="left" vertical="center" wrapText="1"/>
    </xf>
    <xf numFmtId="0" fontId="0" fillId="3" borderId="25" xfId="0" applyFill="1" applyBorder="1"/>
    <xf numFmtId="0" fontId="0" fillId="3" borderId="25" xfId="0" applyFont="1" applyFill="1" applyBorder="1" applyAlignment="1">
      <alignment wrapText="1"/>
    </xf>
    <xf numFmtId="0" fontId="0" fillId="3" borderId="26" xfId="0" applyFill="1" applyBorder="1"/>
    <xf numFmtId="0" fontId="0" fillId="3" borderId="27" xfId="0" applyFill="1" applyBorder="1" applyAlignment="1">
      <alignment wrapText="1"/>
    </xf>
    <xf numFmtId="0" fontId="0" fillId="3" borderId="33" xfId="0" applyFill="1" applyBorder="1" applyAlignment="1">
      <alignment wrapText="1"/>
    </xf>
    <xf numFmtId="0" fontId="0" fillId="3" borderId="24" xfId="0" applyFill="1" applyBorder="1" applyAlignment="1">
      <alignment wrapText="1"/>
    </xf>
    <xf numFmtId="0" fontId="0" fillId="3" borderId="26" xfId="0" applyFont="1" applyFill="1" applyBorder="1" applyAlignment="1">
      <alignment horizontal="center" vertical="top" wrapText="1"/>
    </xf>
    <xf numFmtId="0" fontId="0" fillId="3" borderId="26" xfId="0" applyFill="1" applyBorder="1" applyAlignment="1">
      <alignment wrapText="1"/>
    </xf>
    <xf numFmtId="0" fontId="0" fillId="3" borderId="1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vertical="center"/>
    </xf>
    <xf numFmtId="0" fontId="0" fillId="0" borderId="34" xfId="0" applyFont="1" applyFill="1" applyBorder="1"/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/>
    <xf numFmtId="0" fontId="1" fillId="2" borderId="1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16" xfId="0" applyBorder="1"/>
    <xf numFmtId="2" fontId="0" fillId="0" borderId="16" xfId="0" applyNumberFormat="1" applyFill="1" applyBorder="1" applyAlignment="1">
      <alignment horizontal="center" vertical="center"/>
    </xf>
    <xf numFmtId="2" fontId="0" fillId="0" borderId="17" xfId="0" applyNumberFormat="1" applyFill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2" fontId="0" fillId="0" borderId="37" xfId="0" applyNumberFormat="1" applyBorder="1" applyAlignment="1">
      <alignment horizontal="left" vertical="center"/>
    </xf>
    <xf numFmtId="2" fontId="0" fillId="0" borderId="0" xfId="0" applyNumberFormat="1" applyBorder="1" applyAlignment="1">
      <alignment horizontal="left" vertical="center"/>
    </xf>
    <xf numFmtId="2" fontId="0" fillId="0" borderId="39" xfId="0" applyNumberFormat="1" applyBorder="1" applyAlignment="1">
      <alignment horizontal="left" vertical="center"/>
    </xf>
    <xf numFmtId="2" fontId="0" fillId="0" borderId="41" xfId="0" applyNumberFormat="1" applyBorder="1" applyAlignment="1">
      <alignment horizontal="left" vertical="center"/>
    </xf>
    <xf numFmtId="2" fontId="0" fillId="0" borderId="42" xfId="0" applyNumberFormat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2" fontId="0" fillId="0" borderId="16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3" fontId="0" fillId="0" borderId="3" xfId="0" applyNumberFormat="1" applyBorder="1" applyAlignment="1">
      <alignment horizontal="center"/>
    </xf>
    <xf numFmtId="173" fontId="0" fillId="0" borderId="8" xfId="0" applyNumberFormat="1" applyBorder="1" applyAlignment="1">
      <alignment horizontal="center"/>
    </xf>
    <xf numFmtId="173" fontId="0" fillId="0" borderId="16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1" fillId="6" borderId="15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3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OD!$B$25</c:f>
              <c:strCache>
                <c:ptCount val="1"/>
                <c:pt idx="0">
                  <c:v>s1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3.9231290998658977E-2"/>
                  <c:y val="-0.100995170167359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OD!$A$26:$A$33</c:f>
              <c:numCache>
                <c:formatCode>General</c:formatCode>
                <c:ptCount val="8"/>
                <c:pt idx="0">
                  <c:v>0</c:v>
                </c:pt>
                <c:pt idx="1">
                  <c:v>19</c:v>
                </c:pt>
                <c:pt idx="2">
                  <c:v>25.5</c:v>
                </c:pt>
                <c:pt idx="3">
                  <c:v>27</c:v>
                </c:pt>
                <c:pt idx="4">
                  <c:v>32</c:v>
                </c:pt>
                <c:pt idx="5">
                  <c:v>39.25</c:v>
                </c:pt>
                <c:pt idx="6">
                  <c:v>41.75</c:v>
                </c:pt>
                <c:pt idx="7">
                  <c:v>44</c:v>
                </c:pt>
              </c:numCache>
            </c:numRef>
          </c:xVal>
          <c:yVal>
            <c:numRef>
              <c:f>OD!$B$26:$B$33</c:f>
              <c:numCache>
                <c:formatCode>General</c:formatCode>
                <c:ptCount val="8"/>
                <c:pt idx="0">
                  <c:v>4.6190000000000002E-2</c:v>
                </c:pt>
                <c:pt idx="1">
                  <c:v>0.29733999999999999</c:v>
                </c:pt>
                <c:pt idx="2">
                  <c:v>0.37387999999999999</c:v>
                </c:pt>
                <c:pt idx="3">
                  <c:v>0.42242000000000002</c:v>
                </c:pt>
                <c:pt idx="4">
                  <c:v>0.48609999999999998</c:v>
                </c:pt>
                <c:pt idx="5">
                  <c:v>0.66120000000000001</c:v>
                </c:pt>
                <c:pt idx="6">
                  <c:v>0.73806000000000005</c:v>
                </c:pt>
                <c:pt idx="7">
                  <c:v>0.76049999999999995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A3-4F0B-B57B-B825D89F86B2}"/>
            </c:ext>
          </c:extLst>
        </c:ser>
        <c:ser>
          <c:idx val="1"/>
          <c:order val="1"/>
          <c:tx>
            <c:strRef>
              <c:f>OD!$C$25</c:f>
              <c:strCache>
                <c:ptCount val="1"/>
                <c:pt idx="0">
                  <c:v>s2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OD!$A$26:$A$33</c:f>
              <c:numCache>
                <c:formatCode>General</c:formatCode>
                <c:ptCount val="8"/>
                <c:pt idx="0">
                  <c:v>0</c:v>
                </c:pt>
                <c:pt idx="1">
                  <c:v>19</c:v>
                </c:pt>
                <c:pt idx="2">
                  <c:v>25.5</c:v>
                </c:pt>
                <c:pt idx="3">
                  <c:v>27</c:v>
                </c:pt>
                <c:pt idx="4">
                  <c:v>32</c:v>
                </c:pt>
                <c:pt idx="5">
                  <c:v>39.25</c:v>
                </c:pt>
                <c:pt idx="6">
                  <c:v>41.75</c:v>
                </c:pt>
                <c:pt idx="7">
                  <c:v>44</c:v>
                </c:pt>
              </c:numCache>
            </c:numRef>
          </c:xVal>
          <c:yVal>
            <c:numRef>
              <c:f>OD!$C$26:$C$33</c:f>
              <c:numCache>
                <c:formatCode>General</c:formatCode>
                <c:ptCount val="8"/>
                <c:pt idx="0">
                  <c:v>4.6190000000000002E-2</c:v>
                </c:pt>
                <c:pt idx="7">
                  <c:v>0.53708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A3-4F0B-B57B-B825D89F86B2}"/>
            </c:ext>
          </c:extLst>
        </c:ser>
        <c:ser>
          <c:idx val="2"/>
          <c:order val="2"/>
          <c:tx>
            <c:strRef>
              <c:f>OD!$D$25</c:f>
              <c:strCache>
                <c:ptCount val="1"/>
                <c:pt idx="0">
                  <c:v>s3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OD!$A$26:$A$33</c:f>
              <c:numCache>
                <c:formatCode>General</c:formatCode>
                <c:ptCount val="8"/>
                <c:pt idx="0">
                  <c:v>0</c:v>
                </c:pt>
                <c:pt idx="1">
                  <c:v>19</c:v>
                </c:pt>
                <c:pt idx="2">
                  <c:v>25.5</c:v>
                </c:pt>
                <c:pt idx="3">
                  <c:v>27</c:v>
                </c:pt>
                <c:pt idx="4">
                  <c:v>32</c:v>
                </c:pt>
                <c:pt idx="5">
                  <c:v>39.25</c:v>
                </c:pt>
                <c:pt idx="6">
                  <c:v>41.75</c:v>
                </c:pt>
                <c:pt idx="7">
                  <c:v>44</c:v>
                </c:pt>
              </c:numCache>
            </c:numRef>
          </c:xVal>
          <c:yVal>
            <c:numRef>
              <c:f>OD!$D$26:$D$33</c:f>
              <c:numCache>
                <c:formatCode>General</c:formatCode>
                <c:ptCount val="8"/>
                <c:pt idx="0">
                  <c:v>4.6190000000000002E-2</c:v>
                </c:pt>
                <c:pt idx="7">
                  <c:v>0.82323999999999997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A3-4F0B-B57B-B825D89F86B2}"/>
            </c:ext>
          </c:extLst>
        </c:ser>
        <c:ser>
          <c:idx val="3"/>
          <c:order val="3"/>
          <c:tx>
            <c:strRef>
              <c:f>OD!$E$25</c:f>
              <c:strCache>
                <c:ptCount val="1"/>
                <c:pt idx="0">
                  <c:v>s4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OD!$A$26:$A$33</c:f>
              <c:numCache>
                <c:formatCode>General</c:formatCode>
                <c:ptCount val="8"/>
                <c:pt idx="0">
                  <c:v>0</c:v>
                </c:pt>
                <c:pt idx="1">
                  <c:v>19</c:v>
                </c:pt>
                <c:pt idx="2">
                  <c:v>25.5</c:v>
                </c:pt>
                <c:pt idx="3">
                  <c:v>27</c:v>
                </c:pt>
                <c:pt idx="4">
                  <c:v>32</c:v>
                </c:pt>
                <c:pt idx="5">
                  <c:v>39.25</c:v>
                </c:pt>
                <c:pt idx="6">
                  <c:v>41.75</c:v>
                </c:pt>
                <c:pt idx="7">
                  <c:v>44</c:v>
                </c:pt>
              </c:numCache>
            </c:numRef>
          </c:xVal>
          <c:yVal>
            <c:numRef>
              <c:f>OD!$E$26:$E$33</c:f>
              <c:numCache>
                <c:formatCode>General</c:formatCode>
                <c:ptCount val="8"/>
                <c:pt idx="0">
                  <c:v>4.6190000000000002E-2</c:v>
                </c:pt>
                <c:pt idx="7">
                  <c:v>0.62128000000000005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A3-4F0B-B57B-B825D89F8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851816"/>
        <c:axId val="444852144"/>
      </c:scatterChart>
      <c:valAx>
        <c:axId val="44485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52144"/>
        <c:crosses val="autoZero"/>
        <c:crossBetween val="midCat"/>
      </c:valAx>
      <c:valAx>
        <c:axId val="4448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51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37118625459435572"/>
          <c:y val="0.87669541126268713"/>
          <c:w val="0.28465181846156407"/>
          <c:h val="8.9621856435415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4%CO2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OD!$B$35</c:f>
              <c:strCache>
                <c:ptCount val="1"/>
                <c:pt idx="0">
                  <c:v>s5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OD!$A$36:$A$41</c:f>
              <c:numCache>
                <c:formatCode>General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19</c:v>
                </c:pt>
                <c:pt idx="3">
                  <c:v>22.25</c:v>
                </c:pt>
                <c:pt idx="4">
                  <c:v>24</c:v>
                </c:pt>
                <c:pt idx="5">
                  <c:v>24.5</c:v>
                </c:pt>
              </c:numCache>
            </c:numRef>
          </c:xVal>
          <c:yVal>
            <c:numRef>
              <c:f>OD!$B$36:$B$41</c:f>
              <c:numCache>
                <c:formatCode>General</c:formatCode>
                <c:ptCount val="6"/>
                <c:pt idx="0">
                  <c:v>5.2810000000000003E-2</c:v>
                </c:pt>
                <c:pt idx="5">
                  <c:v>0.84708000000000006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C-44DB-9FCD-6723D6666A63}"/>
            </c:ext>
          </c:extLst>
        </c:ser>
        <c:ser>
          <c:idx val="1"/>
          <c:order val="1"/>
          <c:tx>
            <c:strRef>
              <c:f>OD!$C$35</c:f>
              <c:strCache>
                <c:ptCount val="1"/>
                <c:pt idx="0">
                  <c:v>s6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OD!$A$36:$A$41</c:f>
              <c:numCache>
                <c:formatCode>General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19</c:v>
                </c:pt>
                <c:pt idx="3">
                  <c:v>22.25</c:v>
                </c:pt>
                <c:pt idx="4">
                  <c:v>24</c:v>
                </c:pt>
                <c:pt idx="5">
                  <c:v>24.5</c:v>
                </c:pt>
              </c:numCache>
            </c:numRef>
          </c:xVal>
          <c:yVal>
            <c:numRef>
              <c:f>OD!$C$36:$C$41</c:f>
              <c:numCache>
                <c:formatCode>General</c:formatCode>
                <c:ptCount val="6"/>
                <c:pt idx="0">
                  <c:v>5.2810000000000003E-2</c:v>
                </c:pt>
                <c:pt idx="1">
                  <c:v>0.14660999999999999</c:v>
                </c:pt>
                <c:pt idx="2">
                  <c:v>0.47226000000000001</c:v>
                </c:pt>
                <c:pt idx="3">
                  <c:v>0.66847999999999996</c:v>
                </c:pt>
                <c:pt idx="4">
                  <c:v>0.78998000000000002</c:v>
                </c:pt>
                <c:pt idx="5">
                  <c:v>0.80257999999999996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CC-44DB-9FCD-6723D6666A63}"/>
            </c:ext>
          </c:extLst>
        </c:ser>
        <c:ser>
          <c:idx val="2"/>
          <c:order val="2"/>
          <c:tx>
            <c:strRef>
              <c:f>OD!$D$35</c:f>
              <c:strCache>
                <c:ptCount val="1"/>
                <c:pt idx="0">
                  <c:v>s7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OD!$A$36:$A$41</c:f>
              <c:numCache>
                <c:formatCode>General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19</c:v>
                </c:pt>
                <c:pt idx="3">
                  <c:v>22.25</c:v>
                </c:pt>
                <c:pt idx="4">
                  <c:v>24</c:v>
                </c:pt>
                <c:pt idx="5">
                  <c:v>24.5</c:v>
                </c:pt>
              </c:numCache>
            </c:numRef>
          </c:xVal>
          <c:yVal>
            <c:numRef>
              <c:f>OD!$D$36:$D$41</c:f>
              <c:numCache>
                <c:formatCode>General</c:formatCode>
                <c:ptCount val="6"/>
                <c:pt idx="0">
                  <c:v>5.2810000000000003E-2</c:v>
                </c:pt>
                <c:pt idx="5">
                  <c:v>0.87326000000000004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CC-44DB-9FCD-6723D6666A63}"/>
            </c:ext>
          </c:extLst>
        </c:ser>
        <c:ser>
          <c:idx val="3"/>
          <c:order val="3"/>
          <c:tx>
            <c:strRef>
              <c:f>OD!$E$35</c:f>
              <c:strCache>
                <c:ptCount val="1"/>
                <c:pt idx="0">
                  <c:v>s8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OD!$A$36:$A$41</c:f>
              <c:numCache>
                <c:formatCode>General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19</c:v>
                </c:pt>
                <c:pt idx="3">
                  <c:v>22.25</c:v>
                </c:pt>
                <c:pt idx="4">
                  <c:v>24</c:v>
                </c:pt>
                <c:pt idx="5">
                  <c:v>24.5</c:v>
                </c:pt>
              </c:numCache>
            </c:numRef>
          </c:xVal>
          <c:yVal>
            <c:numRef>
              <c:f>OD!$E$36:$E$41</c:f>
              <c:numCache>
                <c:formatCode>General</c:formatCode>
                <c:ptCount val="6"/>
                <c:pt idx="0">
                  <c:v>5.2810000000000003E-2</c:v>
                </c:pt>
                <c:pt idx="5">
                  <c:v>0.77673999999999999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CC-44DB-9FCD-6723D6666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690096"/>
        <c:axId val="335795072"/>
      </c:scatterChart>
      <c:valAx>
        <c:axId val="3366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795072"/>
        <c:crosses val="autoZero"/>
        <c:crossBetween val="midCat"/>
      </c:valAx>
      <c:valAx>
        <c:axId val="3357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9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8%CO2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OD!$B$43</c:f>
              <c:strCache>
                <c:ptCount val="1"/>
                <c:pt idx="0">
                  <c:v>s9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OD!$A$44:$A$48</c:f>
              <c:numCache>
                <c:formatCode>General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24</c:v>
                </c:pt>
                <c:pt idx="3">
                  <c:v>25.5</c:v>
                </c:pt>
                <c:pt idx="4">
                  <c:v>26</c:v>
                </c:pt>
              </c:numCache>
            </c:numRef>
          </c:xVal>
          <c:yVal>
            <c:numRef>
              <c:f>OD!$B$44:$B$48</c:f>
              <c:numCache>
                <c:formatCode>General</c:formatCode>
                <c:ptCount val="5"/>
                <c:pt idx="0">
                  <c:v>5.0770000000000003E-2</c:v>
                </c:pt>
                <c:pt idx="1">
                  <c:v>0.47464000000000001</c:v>
                </c:pt>
                <c:pt idx="2">
                  <c:v>0.73594000000000004</c:v>
                </c:pt>
                <c:pt idx="3">
                  <c:v>0.86602000000000001</c:v>
                </c:pt>
                <c:pt idx="4">
                  <c:v>0.88568000000000002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F39-B416-57C39031B310}"/>
            </c:ext>
          </c:extLst>
        </c:ser>
        <c:ser>
          <c:idx val="1"/>
          <c:order val="1"/>
          <c:tx>
            <c:strRef>
              <c:f>OD!$C$43</c:f>
              <c:strCache>
                <c:ptCount val="1"/>
                <c:pt idx="0">
                  <c:v>s10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OD!$A$44:$A$48</c:f>
              <c:numCache>
                <c:formatCode>General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24</c:v>
                </c:pt>
                <c:pt idx="3">
                  <c:v>25.5</c:v>
                </c:pt>
                <c:pt idx="4">
                  <c:v>26</c:v>
                </c:pt>
              </c:numCache>
            </c:numRef>
          </c:xVal>
          <c:yVal>
            <c:numRef>
              <c:f>OD!$C$44:$C$48</c:f>
              <c:numCache>
                <c:formatCode>General</c:formatCode>
                <c:ptCount val="5"/>
                <c:pt idx="0">
                  <c:v>5.0770000000000003E-2</c:v>
                </c:pt>
                <c:pt idx="4">
                  <c:v>0.87882000000000005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2B-4F39-B416-57C39031B310}"/>
            </c:ext>
          </c:extLst>
        </c:ser>
        <c:ser>
          <c:idx val="2"/>
          <c:order val="2"/>
          <c:tx>
            <c:strRef>
              <c:f>OD!$D$43</c:f>
              <c:strCache>
                <c:ptCount val="1"/>
                <c:pt idx="0">
                  <c:v>s11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OD!$A$44:$A$48</c:f>
              <c:numCache>
                <c:formatCode>General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24</c:v>
                </c:pt>
                <c:pt idx="3">
                  <c:v>25.5</c:v>
                </c:pt>
                <c:pt idx="4">
                  <c:v>26</c:v>
                </c:pt>
              </c:numCache>
            </c:numRef>
          </c:xVal>
          <c:yVal>
            <c:numRef>
              <c:f>OD!$D$44:$D$48</c:f>
              <c:numCache>
                <c:formatCode>General</c:formatCode>
                <c:ptCount val="5"/>
                <c:pt idx="0">
                  <c:v>5.0770000000000003E-2</c:v>
                </c:pt>
                <c:pt idx="4">
                  <c:v>0.89370000000000005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2B-4F39-B416-57C39031B310}"/>
            </c:ext>
          </c:extLst>
        </c:ser>
        <c:ser>
          <c:idx val="3"/>
          <c:order val="3"/>
          <c:tx>
            <c:strRef>
              <c:f>OD!$E$43</c:f>
              <c:strCache>
                <c:ptCount val="1"/>
                <c:pt idx="0">
                  <c:v>s12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OD!$A$44:$A$48</c:f>
              <c:numCache>
                <c:formatCode>General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24</c:v>
                </c:pt>
                <c:pt idx="3">
                  <c:v>25.5</c:v>
                </c:pt>
                <c:pt idx="4">
                  <c:v>26</c:v>
                </c:pt>
              </c:numCache>
            </c:numRef>
          </c:xVal>
          <c:yVal>
            <c:numRef>
              <c:f>OD!$E$44:$E$48</c:f>
              <c:numCache>
                <c:formatCode>General</c:formatCode>
                <c:ptCount val="5"/>
                <c:pt idx="0">
                  <c:v>5.0770000000000003E-2</c:v>
                </c:pt>
                <c:pt idx="4">
                  <c:v>0.91544000000000003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2B-4F39-B416-57C39031B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34096"/>
        <c:axId val="448328848"/>
      </c:scatterChart>
      <c:valAx>
        <c:axId val="44833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28848"/>
        <c:crosses val="autoZero"/>
        <c:crossBetween val="midCat"/>
      </c:valAx>
      <c:valAx>
        <c:axId val="44832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3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30%CO2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OD!$B$50</c:f>
              <c:strCache>
                <c:ptCount val="1"/>
                <c:pt idx="0">
                  <c:v>s13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OD!$A$51:$A$60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32</c:v>
                </c:pt>
                <c:pt idx="3">
                  <c:v>43.25</c:v>
                </c:pt>
                <c:pt idx="4">
                  <c:v>46</c:v>
                </c:pt>
                <c:pt idx="5">
                  <c:v>52.75</c:v>
                </c:pt>
                <c:pt idx="6">
                  <c:v>67</c:v>
                </c:pt>
                <c:pt idx="7">
                  <c:v>70</c:v>
                </c:pt>
                <c:pt idx="8">
                  <c:v>73.25</c:v>
                </c:pt>
                <c:pt idx="9">
                  <c:v>74.5</c:v>
                </c:pt>
              </c:numCache>
            </c:numRef>
          </c:xVal>
          <c:yVal>
            <c:numRef>
              <c:f>OD!$B$51:$B$60</c:f>
              <c:numCache>
                <c:formatCode>General</c:formatCode>
                <c:ptCount val="10"/>
                <c:pt idx="0">
                  <c:v>4.82E-2</c:v>
                </c:pt>
                <c:pt idx="1">
                  <c:v>0.17734</c:v>
                </c:pt>
                <c:pt idx="2">
                  <c:v>0.20802000000000001</c:v>
                </c:pt>
                <c:pt idx="3">
                  <c:v>0.31868000000000002</c:v>
                </c:pt>
                <c:pt idx="4">
                  <c:v>0.34789999999999999</c:v>
                </c:pt>
                <c:pt idx="5">
                  <c:v>0.41588000000000003</c:v>
                </c:pt>
                <c:pt idx="6">
                  <c:v>0.65268000000000004</c:v>
                </c:pt>
                <c:pt idx="7">
                  <c:v>0.70889999999999997</c:v>
                </c:pt>
                <c:pt idx="8">
                  <c:v>0.77215999999999996</c:v>
                </c:pt>
                <c:pt idx="9">
                  <c:v>0.76792000000000005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8B-43B1-B9DD-C44249D7AE41}"/>
            </c:ext>
          </c:extLst>
        </c:ser>
        <c:ser>
          <c:idx val="1"/>
          <c:order val="1"/>
          <c:tx>
            <c:strRef>
              <c:f>OD!$C$50</c:f>
              <c:strCache>
                <c:ptCount val="1"/>
                <c:pt idx="0">
                  <c:v>s14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OD!$A$51:$A$60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32</c:v>
                </c:pt>
                <c:pt idx="3">
                  <c:v>43.25</c:v>
                </c:pt>
                <c:pt idx="4">
                  <c:v>46</c:v>
                </c:pt>
                <c:pt idx="5">
                  <c:v>52.75</c:v>
                </c:pt>
                <c:pt idx="6">
                  <c:v>67</c:v>
                </c:pt>
                <c:pt idx="7">
                  <c:v>70</c:v>
                </c:pt>
                <c:pt idx="8">
                  <c:v>73.25</c:v>
                </c:pt>
                <c:pt idx="9">
                  <c:v>74.5</c:v>
                </c:pt>
              </c:numCache>
            </c:numRef>
          </c:xVal>
          <c:yVal>
            <c:numRef>
              <c:f>OD!$C$51:$C$60</c:f>
              <c:numCache>
                <c:formatCode>General</c:formatCode>
                <c:ptCount val="10"/>
                <c:pt idx="0">
                  <c:v>4.82E-2</c:v>
                </c:pt>
                <c:pt idx="9">
                  <c:v>0.73675999999999997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B-43B1-B9DD-C44249D7AE41}"/>
            </c:ext>
          </c:extLst>
        </c:ser>
        <c:ser>
          <c:idx val="2"/>
          <c:order val="2"/>
          <c:tx>
            <c:strRef>
              <c:f>OD!$D$50</c:f>
              <c:strCache>
                <c:ptCount val="1"/>
                <c:pt idx="0">
                  <c:v>s15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OD!$A$51:$A$60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32</c:v>
                </c:pt>
                <c:pt idx="3">
                  <c:v>43.25</c:v>
                </c:pt>
                <c:pt idx="4">
                  <c:v>46</c:v>
                </c:pt>
                <c:pt idx="5">
                  <c:v>52.75</c:v>
                </c:pt>
                <c:pt idx="6">
                  <c:v>67</c:v>
                </c:pt>
                <c:pt idx="7">
                  <c:v>70</c:v>
                </c:pt>
                <c:pt idx="8">
                  <c:v>73.25</c:v>
                </c:pt>
                <c:pt idx="9">
                  <c:v>74.5</c:v>
                </c:pt>
              </c:numCache>
            </c:numRef>
          </c:xVal>
          <c:yVal>
            <c:numRef>
              <c:f>OD!$D$51:$D$60</c:f>
              <c:numCache>
                <c:formatCode>General</c:formatCode>
                <c:ptCount val="10"/>
                <c:pt idx="0">
                  <c:v>4.82E-2</c:v>
                </c:pt>
                <c:pt idx="9">
                  <c:v>0.71767999999999998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8B-43B1-B9DD-C44249D7AE41}"/>
            </c:ext>
          </c:extLst>
        </c:ser>
        <c:ser>
          <c:idx val="3"/>
          <c:order val="3"/>
          <c:tx>
            <c:strRef>
              <c:f>OD!$E$50</c:f>
              <c:strCache>
                <c:ptCount val="1"/>
                <c:pt idx="0">
                  <c:v>s16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OD!$A$51:$A$60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32</c:v>
                </c:pt>
                <c:pt idx="3">
                  <c:v>43.25</c:v>
                </c:pt>
                <c:pt idx="4">
                  <c:v>46</c:v>
                </c:pt>
                <c:pt idx="5">
                  <c:v>52.75</c:v>
                </c:pt>
                <c:pt idx="6">
                  <c:v>67</c:v>
                </c:pt>
                <c:pt idx="7">
                  <c:v>70</c:v>
                </c:pt>
                <c:pt idx="8">
                  <c:v>73.25</c:v>
                </c:pt>
                <c:pt idx="9">
                  <c:v>74.5</c:v>
                </c:pt>
              </c:numCache>
            </c:numRef>
          </c:xVal>
          <c:yVal>
            <c:numRef>
              <c:f>OD!$E$51:$E$60</c:f>
              <c:numCache>
                <c:formatCode>General</c:formatCode>
                <c:ptCount val="10"/>
                <c:pt idx="0">
                  <c:v>4.82E-2</c:v>
                </c:pt>
                <c:pt idx="9">
                  <c:v>0.79056000000000004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8B-43B1-B9DD-C44249D7A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006584"/>
        <c:axId val="239006912"/>
      </c:scatterChart>
      <c:valAx>
        <c:axId val="239006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06912"/>
        <c:crosses val="autoZero"/>
        <c:crossBetween val="midCat"/>
      </c:valAx>
      <c:valAx>
        <c:axId val="23900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06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OD!$B$25</c:f>
              <c:strCache>
                <c:ptCount val="1"/>
                <c:pt idx="0">
                  <c:v>s1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3.9231290998658977E-2"/>
                  <c:y val="-0.100995170167359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60831428731741077"/>
                  <c:y val="-0.1063135593220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OD!$A$26:$A$33</c:f>
              <c:numCache>
                <c:formatCode>General</c:formatCode>
                <c:ptCount val="8"/>
                <c:pt idx="0">
                  <c:v>0</c:v>
                </c:pt>
                <c:pt idx="1">
                  <c:v>19</c:v>
                </c:pt>
                <c:pt idx="2">
                  <c:v>25.5</c:v>
                </c:pt>
                <c:pt idx="3">
                  <c:v>27</c:v>
                </c:pt>
                <c:pt idx="4">
                  <c:v>32</c:v>
                </c:pt>
                <c:pt idx="5">
                  <c:v>39.25</c:v>
                </c:pt>
                <c:pt idx="6">
                  <c:v>41.75</c:v>
                </c:pt>
                <c:pt idx="7">
                  <c:v>44</c:v>
                </c:pt>
              </c:numCache>
            </c:numRef>
          </c:xVal>
          <c:yVal>
            <c:numRef>
              <c:f>OD!$B$26:$B$33</c:f>
              <c:numCache>
                <c:formatCode>General</c:formatCode>
                <c:ptCount val="8"/>
                <c:pt idx="0">
                  <c:v>4.6190000000000002E-2</c:v>
                </c:pt>
                <c:pt idx="1">
                  <c:v>0.29733999999999999</c:v>
                </c:pt>
                <c:pt idx="2">
                  <c:v>0.37387999999999999</c:v>
                </c:pt>
                <c:pt idx="3">
                  <c:v>0.42242000000000002</c:v>
                </c:pt>
                <c:pt idx="4">
                  <c:v>0.48609999999999998</c:v>
                </c:pt>
                <c:pt idx="5">
                  <c:v>0.66120000000000001</c:v>
                </c:pt>
                <c:pt idx="6">
                  <c:v>0.73806000000000005</c:v>
                </c:pt>
                <c:pt idx="7">
                  <c:v>0.76049999999999995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C-41A8-B1F5-83AD5B675BAD}"/>
            </c:ext>
          </c:extLst>
        </c:ser>
        <c:ser>
          <c:idx val="1"/>
          <c:order val="1"/>
          <c:tx>
            <c:strRef>
              <c:f>OD!$C$25</c:f>
              <c:strCache>
                <c:ptCount val="1"/>
                <c:pt idx="0">
                  <c:v>s2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40383960891144532"/>
                  <c:y val="-0.130258052839563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OD!$A$26:$A$33</c:f>
              <c:numCache>
                <c:formatCode>General</c:formatCode>
                <c:ptCount val="8"/>
                <c:pt idx="0">
                  <c:v>0</c:v>
                </c:pt>
                <c:pt idx="1">
                  <c:v>19</c:v>
                </c:pt>
                <c:pt idx="2">
                  <c:v>25.5</c:v>
                </c:pt>
                <c:pt idx="3">
                  <c:v>27</c:v>
                </c:pt>
                <c:pt idx="4">
                  <c:v>32</c:v>
                </c:pt>
                <c:pt idx="5">
                  <c:v>39.25</c:v>
                </c:pt>
                <c:pt idx="6">
                  <c:v>41.75</c:v>
                </c:pt>
                <c:pt idx="7">
                  <c:v>44</c:v>
                </c:pt>
              </c:numCache>
            </c:numRef>
          </c:xVal>
          <c:yVal>
            <c:numRef>
              <c:f>OD!$C$26:$C$33</c:f>
              <c:numCache>
                <c:formatCode>General</c:formatCode>
                <c:ptCount val="8"/>
                <c:pt idx="0">
                  <c:v>4.6190000000000002E-2</c:v>
                </c:pt>
                <c:pt idx="7">
                  <c:v>0.53708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DC-41A8-B1F5-83AD5B675BAD}"/>
            </c:ext>
          </c:extLst>
        </c:ser>
        <c:ser>
          <c:idx val="2"/>
          <c:order val="2"/>
          <c:tx>
            <c:strRef>
              <c:f>OD!$D$25</c:f>
              <c:strCache>
                <c:ptCount val="1"/>
                <c:pt idx="0">
                  <c:v>s3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2421875583087659"/>
                  <c:y val="-9.24855548497035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OD!$A$26:$A$33</c:f>
              <c:numCache>
                <c:formatCode>General</c:formatCode>
                <c:ptCount val="8"/>
                <c:pt idx="0">
                  <c:v>0</c:v>
                </c:pt>
                <c:pt idx="1">
                  <c:v>19</c:v>
                </c:pt>
                <c:pt idx="2">
                  <c:v>25.5</c:v>
                </c:pt>
                <c:pt idx="3">
                  <c:v>27</c:v>
                </c:pt>
                <c:pt idx="4">
                  <c:v>32</c:v>
                </c:pt>
                <c:pt idx="5">
                  <c:v>39.25</c:v>
                </c:pt>
                <c:pt idx="6">
                  <c:v>41.75</c:v>
                </c:pt>
                <c:pt idx="7">
                  <c:v>44</c:v>
                </c:pt>
              </c:numCache>
            </c:numRef>
          </c:xVal>
          <c:yVal>
            <c:numRef>
              <c:f>OD!$D$26:$D$33</c:f>
              <c:numCache>
                <c:formatCode>General</c:formatCode>
                <c:ptCount val="8"/>
                <c:pt idx="0">
                  <c:v>4.6190000000000002E-2</c:v>
                </c:pt>
                <c:pt idx="7">
                  <c:v>0.82323999999999997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DC-41A8-B1F5-83AD5B675BAD}"/>
            </c:ext>
          </c:extLst>
        </c:ser>
        <c:ser>
          <c:idx val="3"/>
          <c:order val="3"/>
          <c:tx>
            <c:strRef>
              <c:f>OD!$E$25</c:f>
              <c:strCache>
                <c:ptCount val="1"/>
                <c:pt idx="0">
                  <c:v>s4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7.9572713363436201E-2"/>
                  <c:y val="-0.102991688125191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OD!$A$26:$A$33</c:f>
              <c:numCache>
                <c:formatCode>General</c:formatCode>
                <c:ptCount val="8"/>
                <c:pt idx="0">
                  <c:v>0</c:v>
                </c:pt>
                <c:pt idx="1">
                  <c:v>19</c:v>
                </c:pt>
                <c:pt idx="2">
                  <c:v>25.5</c:v>
                </c:pt>
                <c:pt idx="3">
                  <c:v>27</c:v>
                </c:pt>
                <c:pt idx="4">
                  <c:v>32</c:v>
                </c:pt>
                <c:pt idx="5">
                  <c:v>39.25</c:v>
                </c:pt>
                <c:pt idx="6">
                  <c:v>41.75</c:v>
                </c:pt>
                <c:pt idx="7">
                  <c:v>44</c:v>
                </c:pt>
              </c:numCache>
            </c:numRef>
          </c:xVal>
          <c:yVal>
            <c:numRef>
              <c:f>OD!$E$26:$E$33</c:f>
              <c:numCache>
                <c:formatCode>General</c:formatCode>
                <c:ptCount val="8"/>
                <c:pt idx="0">
                  <c:v>4.6190000000000002E-2</c:v>
                </c:pt>
                <c:pt idx="7">
                  <c:v>0.62128000000000005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DC-41A8-B1F5-83AD5B675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851816"/>
        <c:axId val="444852144"/>
      </c:scatterChart>
      <c:valAx>
        <c:axId val="44485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52144"/>
        <c:crosses val="autoZero"/>
        <c:crossBetween val="midCat"/>
      </c:valAx>
      <c:valAx>
        <c:axId val="444852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51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6976452587976265"/>
          <c:y val="0.8766952674104157"/>
          <c:w val="0.62881367317237002"/>
          <c:h val="9.799526665218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4%CO2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OD!$B$35</c:f>
              <c:strCache>
                <c:ptCount val="1"/>
                <c:pt idx="0">
                  <c:v>s5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58281244719420977"/>
                  <c:y val="-0.111820486782900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OD!$A$36:$A$41</c:f>
              <c:numCache>
                <c:formatCode>General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19</c:v>
                </c:pt>
                <c:pt idx="3">
                  <c:v>22.25</c:v>
                </c:pt>
                <c:pt idx="4">
                  <c:v>24</c:v>
                </c:pt>
                <c:pt idx="5">
                  <c:v>24.5</c:v>
                </c:pt>
              </c:numCache>
            </c:numRef>
          </c:xVal>
          <c:yVal>
            <c:numRef>
              <c:f>OD!$B$36:$B$41</c:f>
              <c:numCache>
                <c:formatCode>General</c:formatCode>
                <c:ptCount val="6"/>
                <c:pt idx="0">
                  <c:v>5.2810000000000003E-2</c:v>
                </c:pt>
                <c:pt idx="5">
                  <c:v>0.84708000000000006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66-4D24-BAD7-6F729E401A66}"/>
            </c:ext>
          </c:extLst>
        </c:ser>
        <c:ser>
          <c:idx val="1"/>
          <c:order val="1"/>
          <c:tx>
            <c:strRef>
              <c:f>OD!$C$35</c:f>
              <c:strCache>
                <c:ptCount val="1"/>
                <c:pt idx="0">
                  <c:v>s6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33287512643916656"/>
                  <c:y val="-0.1203923907141307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</a:t>
                    </a:r>
                    <a:r>
                      <a:rPr lang="en-US" sz="1400" baseline="0"/>
                      <a:t>0.0546e</a:t>
                    </a:r>
                    <a:r>
                      <a:rPr lang="en-US" sz="1400" baseline="30000"/>
                      <a:t>0.1117x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OD!$A$36:$A$41</c:f>
              <c:numCache>
                <c:formatCode>General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19</c:v>
                </c:pt>
                <c:pt idx="3">
                  <c:v>22.25</c:v>
                </c:pt>
                <c:pt idx="4">
                  <c:v>24</c:v>
                </c:pt>
                <c:pt idx="5">
                  <c:v>24.5</c:v>
                </c:pt>
              </c:numCache>
            </c:numRef>
          </c:xVal>
          <c:yVal>
            <c:numRef>
              <c:f>OD!$C$36:$C$41</c:f>
              <c:numCache>
                <c:formatCode>General</c:formatCode>
                <c:ptCount val="6"/>
                <c:pt idx="0">
                  <c:v>5.2810000000000003E-2</c:v>
                </c:pt>
                <c:pt idx="1">
                  <c:v>0.14660999999999999</c:v>
                </c:pt>
                <c:pt idx="2">
                  <c:v>0.47226000000000001</c:v>
                </c:pt>
                <c:pt idx="3">
                  <c:v>0.66847999999999996</c:v>
                </c:pt>
                <c:pt idx="4">
                  <c:v>0.78998000000000002</c:v>
                </c:pt>
                <c:pt idx="5">
                  <c:v>0.80257999999999996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66-4D24-BAD7-6F729E401A66}"/>
            </c:ext>
          </c:extLst>
        </c:ser>
        <c:ser>
          <c:idx val="2"/>
          <c:order val="2"/>
          <c:tx>
            <c:strRef>
              <c:f>OD!$D$35</c:f>
              <c:strCache>
                <c:ptCount val="1"/>
                <c:pt idx="0">
                  <c:v>s7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4.1840343987468442E-2"/>
                  <c:y val="-9.80704164070623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OD!$A$36:$A$41</c:f>
              <c:numCache>
                <c:formatCode>General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19</c:v>
                </c:pt>
                <c:pt idx="3">
                  <c:v>22.25</c:v>
                </c:pt>
                <c:pt idx="4">
                  <c:v>24</c:v>
                </c:pt>
                <c:pt idx="5">
                  <c:v>24.5</c:v>
                </c:pt>
              </c:numCache>
            </c:numRef>
          </c:xVal>
          <c:yVal>
            <c:numRef>
              <c:f>OD!$D$36:$D$41</c:f>
              <c:numCache>
                <c:formatCode>General</c:formatCode>
                <c:ptCount val="6"/>
                <c:pt idx="0">
                  <c:v>5.2810000000000003E-2</c:v>
                </c:pt>
                <c:pt idx="5">
                  <c:v>0.87326000000000004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66-4D24-BAD7-6F729E401A66}"/>
            </c:ext>
          </c:extLst>
        </c:ser>
        <c:ser>
          <c:idx val="3"/>
          <c:order val="3"/>
          <c:tx>
            <c:strRef>
              <c:f>OD!$E$35</c:f>
              <c:strCache>
                <c:ptCount val="1"/>
                <c:pt idx="0">
                  <c:v>s8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6580418968794028"/>
                  <c:y val="-0.115059661345488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OD!$A$36:$A$41</c:f>
              <c:numCache>
                <c:formatCode>General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19</c:v>
                </c:pt>
                <c:pt idx="3">
                  <c:v>22.25</c:v>
                </c:pt>
                <c:pt idx="4">
                  <c:v>24</c:v>
                </c:pt>
                <c:pt idx="5">
                  <c:v>24.5</c:v>
                </c:pt>
              </c:numCache>
            </c:numRef>
          </c:xVal>
          <c:yVal>
            <c:numRef>
              <c:f>OD!$E$36:$E$41</c:f>
              <c:numCache>
                <c:formatCode>General</c:formatCode>
                <c:ptCount val="6"/>
                <c:pt idx="0">
                  <c:v>5.2810000000000003E-2</c:v>
                </c:pt>
                <c:pt idx="5">
                  <c:v>0.77673999999999999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66-4D24-BAD7-6F729E401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690096"/>
        <c:axId val="335795072"/>
      </c:scatterChart>
      <c:valAx>
        <c:axId val="33669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795072"/>
        <c:crosses val="autoZero"/>
        <c:crossBetween val="midCat"/>
      </c:valAx>
      <c:valAx>
        <c:axId val="335795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9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8%CO2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OD!$B$43</c:f>
              <c:strCache>
                <c:ptCount val="1"/>
                <c:pt idx="0">
                  <c:v>s9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63026246583942458"/>
                  <c:y val="-0.131023092578776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OD!$A$44:$A$48</c:f>
              <c:numCache>
                <c:formatCode>General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24</c:v>
                </c:pt>
                <c:pt idx="3">
                  <c:v>25.5</c:v>
                </c:pt>
                <c:pt idx="4">
                  <c:v>26</c:v>
                </c:pt>
              </c:numCache>
            </c:numRef>
          </c:xVal>
          <c:yVal>
            <c:numRef>
              <c:f>OD!$B$44:$B$48</c:f>
              <c:numCache>
                <c:formatCode>General</c:formatCode>
                <c:ptCount val="5"/>
                <c:pt idx="0">
                  <c:v>5.0770000000000003E-2</c:v>
                </c:pt>
                <c:pt idx="1">
                  <c:v>0.47464000000000001</c:v>
                </c:pt>
                <c:pt idx="2">
                  <c:v>0.73594000000000004</c:v>
                </c:pt>
                <c:pt idx="3">
                  <c:v>0.86602000000000001</c:v>
                </c:pt>
                <c:pt idx="4">
                  <c:v>0.88568000000000002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26-461A-9444-7DA4F21CB015}"/>
            </c:ext>
          </c:extLst>
        </c:ser>
        <c:ser>
          <c:idx val="1"/>
          <c:order val="1"/>
          <c:tx>
            <c:strRef>
              <c:f>OD!$C$43</c:f>
              <c:strCache>
                <c:ptCount val="1"/>
                <c:pt idx="0">
                  <c:v>s10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45086822047740543"/>
                  <c:y val="-0.118694432115434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OD!$A$44:$A$48</c:f>
              <c:numCache>
                <c:formatCode>General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24</c:v>
                </c:pt>
                <c:pt idx="3">
                  <c:v>25.5</c:v>
                </c:pt>
                <c:pt idx="4">
                  <c:v>26</c:v>
                </c:pt>
              </c:numCache>
            </c:numRef>
          </c:xVal>
          <c:yVal>
            <c:numRef>
              <c:f>OD!$C$44:$C$48</c:f>
              <c:numCache>
                <c:formatCode>General</c:formatCode>
                <c:ptCount val="5"/>
                <c:pt idx="0">
                  <c:v>5.0770000000000003E-2</c:v>
                </c:pt>
                <c:pt idx="4">
                  <c:v>0.87882000000000005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26-461A-9444-7DA4F21CB015}"/>
            </c:ext>
          </c:extLst>
        </c:ser>
        <c:ser>
          <c:idx val="2"/>
          <c:order val="2"/>
          <c:tx>
            <c:strRef>
              <c:f>OD!$D$43</c:f>
              <c:strCache>
                <c:ptCount val="1"/>
                <c:pt idx="0">
                  <c:v>s11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6.6838892070726144E-2"/>
                  <c:y val="-0.121760235313311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OD!$A$44:$A$48</c:f>
              <c:numCache>
                <c:formatCode>General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24</c:v>
                </c:pt>
                <c:pt idx="3">
                  <c:v>25.5</c:v>
                </c:pt>
                <c:pt idx="4">
                  <c:v>26</c:v>
                </c:pt>
              </c:numCache>
            </c:numRef>
          </c:xVal>
          <c:yVal>
            <c:numRef>
              <c:f>OD!$D$44:$D$48</c:f>
              <c:numCache>
                <c:formatCode>General</c:formatCode>
                <c:ptCount val="5"/>
                <c:pt idx="0">
                  <c:v>5.0770000000000003E-2</c:v>
                </c:pt>
                <c:pt idx="4">
                  <c:v>0.89370000000000005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26-461A-9444-7DA4F21CB015}"/>
            </c:ext>
          </c:extLst>
        </c:ser>
        <c:ser>
          <c:idx val="3"/>
          <c:order val="3"/>
          <c:tx>
            <c:strRef>
              <c:f>OD!$E$43</c:f>
              <c:strCache>
                <c:ptCount val="1"/>
                <c:pt idx="0">
                  <c:v>s12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3042345831143623"/>
                  <c:y val="-0.11550001057498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OD!$A$44:$A$48</c:f>
              <c:numCache>
                <c:formatCode>General</c:formatCode>
                <c:ptCount val="5"/>
                <c:pt idx="0">
                  <c:v>0</c:v>
                </c:pt>
                <c:pt idx="1">
                  <c:v>19</c:v>
                </c:pt>
                <c:pt idx="2">
                  <c:v>24</c:v>
                </c:pt>
                <c:pt idx="3">
                  <c:v>25.5</c:v>
                </c:pt>
                <c:pt idx="4">
                  <c:v>26</c:v>
                </c:pt>
              </c:numCache>
            </c:numRef>
          </c:xVal>
          <c:yVal>
            <c:numRef>
              <c:f>OD!$E$44:$E$48</c:f>
              <c:numCache>
                <c:formatCode>General</c:formatCode>
                <c:ptCount val="5"/>
                <c:pt idx="0">
                  <c:v>5.0770000000000003E-2</c:v>
                </c:pt>
                <c:pt idx="4">
                  <c:v>0.91544000000000003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26-461A-9444-7DA4F21C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334096"/>
        <c:axId val="448328848"/>
      </c:scatterChart>
      <c:valAx>
        <c:axId val="44833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28848"/>
        <c:crosses val="autoZero"/>
        <c:crossBetween val="midCat"/>
      </c:valAx>
      <c:valAx>
        <c:axId val="4483288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3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30%CO2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OD!$B$50</c:f>
              <c:strCache>
                <c:ptCount val="1"/>
                <c:pt idx="0">
                  <c:v>s13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66201366686930774"/>
                  <c:y val="-0.133733333333333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OD!$A$51:$A$60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32</c:v>
                </c:pt>
                <c:pt idx="3">
                  <c:v>43.25</c:v>
                </c:pt>
                <c:pt idx="4">
                  <c:v>46</c:v>
                </c:pt>
                <c:pt idx="5">
                  <c:v>52.75</c:v>
                </c:pt>
                <c:pt idx="6">
                  <c:v>67</c:v>
                </c:pt>
                <c:pt idx="7">
                  <c:v>70</c:v>
                </c:pt>
                <c:pt idx="8">
                  <c:v>73.25</c:v>
                </c:pt>
                <c:pt idx="9">
                  <c:v>74.5</c:v>
                </c:pt>
              </c:numCache>
            </c:numRef>
          </c:xVal>
          <c:yVal>
            <c:numRef>
              <c:f>OD!$B$51:$B$60</c:f>
              <c:numCache>
                <c:formatCode>General</c:formatCode>
                <c:ptCount val="10"/>
                <c:pt idx="0">
                  <c:v>4.82E-2</c:v>
                </c:pt>
                <c:pt idx="1">
                  <c:v>0.17734</c:v>
                </c:pt>
                <c:pt idx="2">
                  <c:v>0.20802000000000001</c:v>
                </c:pt>
                <c:pt idx="3">
                  <c:v>0.31868000000000002</c:v>
                </c:pt>
                <c:pt idx="4">
                  <c:v>0.34789999999999999</c:v>
                </c:pt>
                <c:pt idx="5">
                  <c:v>0.41588000000000003</c:v>
                </c:pt>
                <c:pt idx="6">
                  <c:v>0.65268000000000004</c:v>
                </c:pt>
                <c:pt idx="7">
                  <c:v>0.70889999999999997</c:v>
                </c:pt>
                <c:pt idx="8">
                  <c:v>0.77215999999999996</c:v>
                </c:pt>
                <c:pt idx="9">
                  <c:v>0.76792000000000005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B-4CDB-83E7-0A72E0193A69}"/>
            </c:ext>
          </c:extLst>
        </c:ser>
        <c:ser>
          <c:idx val="1"/>
          <c:order val="1"/>
          <c:tx>
            <c:strRef>
              <c:f>OD!$C$50</c:f>
              <c:strCache>
                <c:ptCount val="1"/>
                <c:pt idx="0">
                  <c:v>s14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45937742792469055"/>
                  <c:y val="-0.11673970469224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OD!$A$51:$A$60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32</c:v>
                </c:pt>
                <c:pt idx="3">
                  <c:v>43.25</c:v>
                </c:pt>
                <c:pt idx="4">
                  <c:v>46</c:v>
                </c:pt>
                <c:pt idx="5">
                  <c:v>52.75</c:v>
                </c:pt>
                <c:pt idx="6">
                  <c:v>67</c:v>
                </c:pt>
                <c:pt idx="7">
                  <c:v>70</c:v>
                </c:pt>
                <c:pt idx="8">
                  <c:v>73.25</c:v>
                </c:pt>
                <c:pt idx="9">
                  <c:v>74.5</c:v>
                </c:pt>
              </c:numCache>
            </c:numRef>
          </c:xVal>
          <c:yVal>
            <c:numRef>
              <c:f>OD!$C$51:$C$60</c:f>
              <c:numCache>
                <c:formatCode>General</c:formatCode>
                <c:ptCount val="10"/>
                <c:pt idx="0">
                  <c:v>4.82E-2</c:v>
                </c:pt>
                <c:pt idx="9">
                  <c:v>0.73675999999999997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BB-4CDB-83E7-0A72E0193A69}"/>
            </c:ext>
          </c:extLst>
        </c:ser>
        <c:ser>
          <c:idx val="2"/>
          <c:order val="2"/>
          <c:tx>
            <c:strRef>
              <c:f>OD!$D$50</c:f>
              <c:strCache>
                <c:ptCount val="1"/>
                <c:pt idx="0">
                  <c:v>s15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2608631705393861"/>
                  <c:y val="-0.113488438046197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OD!$A$51:$A$60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32</c:v>
                </c:pt>
                <c:pt idx="3">
                  <c:v>43.25</c:v>
                </c:pt>
                <c:pt idx="4">
                  <c:v>46</c:v>
                </c:pt>
                <c:pt idx="5">
                  <c:v>52.75</c:v>
                </c:pt>
                <c:pt idx="6">
                  <c:v>67</c:v>
                </c:pt>
                <c:pt idx="7">
                  <c:v>70</c:v>
                </c:pt>
                <c:pt idx="8">
                  <c:v>73.25</c:v>
                </c:pt>
                <c:pt idx="9">
                  <c:v>74.5</c:v>
                </c:pt>
              </c:numCache>
            </c:numRef>
          </c:xVal>
          <c:yVal>
            <c:numRef>
              <c:f>OD!$D$51:$D$60</c:f>
              <c:numCache>
                <c:formatCode>General</c:formatCode>
                <c:ptCount val="10"/>
                <c:pt idx="0">
                  <c:v>4.82E-2</c:v>
                </c:pt>
                <c:pt idx="9">
                  <c:v>0.71767999999999998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BB-4CDB-83E7-0A72E0193A69}"/>
            </c:ext>
          </c:extLst>
        </c:ser>
        <c:ser>
          <c:idx val="3"/>
          <c:order val="3"/>
          <c:tx>
            <c:strRef>
              <c:f>OD!$E$50</c:f>
              <c:strCache>
                <c:ptCount val="1"/>
                <c:pt idx="0">
                  <c:v>s16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9.4749531795928849E-2"/>
                  <c:y val="-0.12484444444444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OD!$A$51:$A$60</c:f>
              <c:numCache>
                <c:formatCode>General</c:formatCode>
                <c:ptCount val="10"/>
                <c:pt idx="0">
                  <c:v>0</c:v>
                </c:pt>
                <c:pt idx="1">
                  <c:v>27</c:v>
                </c:pt>
                <c:pt idx="2">
                  <c:v>32</c:v>
                </c:pt>
                <c:pt idx="3">
                  <c:v>43.25</c:v>
                </c:pt>
                <c:pt idx="4">
                  <c:v>46</c:v>
                </c:pt>
                <c:pt idx="5">
                  <c:v>52.75</c:v>
                </c:pt>
                <c:pt idx="6">
                  <c:v>67</c:v>
                </c:pt>
                <c:pt idx="7">
                  <c:v>70</c:v>
                </c:pt>
                <c:pt idx="8">
                  <c:v>73.25</c:v>
                </c:pt>
                <c:pt idx="9">
                  <c:v>74.5</c:v>
                </c:pt>
              </c:numCache>
            </c:numRef>
          </c:xVal>
          <c:yVal>
            <c:numRef>
              <c:f>OD!$E$51:$E$60</c:f>
              <c:numCache>
                <c:formatCode>General</c:formatCode>
                <c:ptCount val="10"/>
                <c:pt idx="0">
                  <c:v>4.82E-2</c:v>
                </c:pt>
                <c:pt idx="9">
                  <c:v>0.79056000000000004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BB-4CDB-83E7-0A72E0193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006584"/>
        <c:axId val="239006912"/>
      </c:scatterChart>
      <c:valAx>
        <c:axId val="239006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06912"/>
        <c:crosses val="autoZero"/>
        <c:crossBetween val="midCat"/>
      </c:valAx>
      <c:valAx>
        <c:axId val="2390069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06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Abs spec at final OD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'Pig graph '!$U$1</c:f>
              <c:strCache>
                <c:ptCount val="1"/>
                <c:pt idx="0">
                  <c:v>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'!$U$2:$U$402</c:f>
              <c:numCache>
                <c:formatCode>General</c:formatCode>
                <c:ptCount val="401"/>
                <c:pt idx="0">
                  <c:v>1.2366600000000001</c:v>
                </c:pt>
                <c:pt idx="1">
                  <c:v>1.2376799999999999</c:v>
                </c:pt>
                <c:pt idx="2">
                  <c:v>1.2387999999999999</c:v>
                </c:pt>
                <c:pt idx="3">
                  <c:v>1.24054</c:v>
                </c:pt>
                <c:pt idx="4">
                  <c:v>1.2418199999999999</c:v>
                </c:pt>
                <c:pt idx="5">
                  <c:v>1.24468</c:v>
                </c:pt>
                <c:pt idx="6">
                  <c:v>1.24756</c:v>
                </c:pt>
                <c:pt idx="7">
                  <c:v>1.25092</c:v>
                </c:pt>
                <c:pt idx="8">
                  <c:v>1.2551000000000001</c:v>
                </c:pt>
                <c:pt idx="9">
                  <c:v>1.2586999999999999</c:v>
                </c:pt>
                <c:pt idx="10">
                  <c:v>1.2637</c:v>
                </c:pt>
                <c:pt idx="11">
                  <c:v>1.26874</c:v>
                </c:pt>
                <c:pt idx="12">
                  <c:v>1.2727599999999999</c:v>
                </c:pt>
                <c:pt idx="13">
                  <c:v>1.2780199999999999</c:v>
                </c:pt>
                <c:pt idx="14">
                  <c:v>1.2826599999999999</c:v>
                </c:pt>
                <c:pt idx="15">
                  <c:v>1.2870200000000001</c:v>
                </c:pt>
                <c:pt idx="16">
                  <c:v>1.2918799999999999</c:v>
                </c:pt>
                <c:pt idx="17">
                  <c:v>1.2969999999999999</c:v>
                </c:pt>
                <c:pt idx="18">
                  <c:v>1.30148</c:v>
                </c:pt>
                <c:pt idx="19">
                  <c:v>1.3046199999999999</c:v>
                </c:pt>
                <c:pt idx="20">
                  <c:v>1.30758</c:v>
                </c:pt>
                <c:pt idx="21">
                  <c:v>1.3108200000000001</c:v>
                </c:pt>
                <c:pt idx="22">
                  <c:v>1.3135399999999999</c:v>
                </c:pt>
                <c:pt idx="23">
                  <c:v>1.3158000000000001</c:v>
                </c:pt>
                <c:pt idx="24">
                  <c:v>1.3186</c:v>
                </c:pt>
                <c:pt idx="25">
                  <c:v>1.32084</c:v>
                </c:pt>
                <c:pt idx="26">
                  <c:v>1.32348</c:v>
                </c:pt>
                <c:pt idx="27">
                  <c:v>1.3267199999999999</c:v>
                </c:pt>
                <c:pt idx="28">
                  <c:v>1.3302</c:v>
                </c:pt>
                <c:pt idx="29">
                  <c:v>1.33422</c:v>
                </c:pt>
                <c:pt idx="30">
                  <c:v>1.33918</c:v>
                </c:pt>
                <c:pt idx="31">
                  <c:v>1.3442000000000001</c:v>
                </c:pt>
                <c:pt idx="32">
                  <c:v>1.34992</c:v>
                </c:pt>
                <c:pt idx="33">
                  <c:v>1.3554600000000001</c:v>
                </c:pt>
                <c:pt idx="34">
                  <c:v>1.3610800000000001</c:v>
                </c:pt>
                <c:pt idx="35">
                  <c:v>1.36788</c:v>
                </c:pt>
                <c:pt idx="36">
                  <c:v>1.3741399999999999</c:v>
                </c:pt>
                <c:pt idx="37">
                  <c:v>1.38028</c:v>
                </c:pt>
                <c:pt idx="38">
                  <c:v>1.38558</c:v>
                </c:pt>
                <c:pt idx="39">
                  <c:v>1.3900999999999999</c:v>
                </c:pt>
                <c:pt idx="40">
                  <c:v>1.3935200000000001</c:v>
                </c:pt>
                <c:pt idx="41">
                  <c:v>1.3966400000000001</c:v>
                </c:pt>
                <c:pt idx="42">
                  <c:v>1.3978200000000001</c:v>
                </c:pt>
                <c:pt idx="43">
                  <c:v>1.39764</c:v>
                </c:pt>
                <c:pt idx="44">
                  <c:v>1.39666</c:v>
                </c:pt>
                <c:pt idx="45">
                  <c:v>1.39398</c:v>
                </c:pt>
                <c:pt idx="46">
                  <c:v>1.3892199999999999</c:v>
                </c:pt>
                <c:pt idx="47">
                  <c:v>1.3837200000000001</c:v>
                </c:pt>
                <c:pt idx="48">
                  <c:v>1.3766799999999999</c:v>
                </c:pt>
                <c:pt idx="49">
                  <c:v>1.3690199999999999</c:v>
                </c:pt>
                <c:pt idx="50">
                  <c:v>1.36056</c:v>
                </c:pt>
                <c:pt idx="51">
                  <c:v>1.35148</c:v>
                </c:pt>
                <c:pt idx="52">
                  <c:v>1.3428599999999999</c:v>
                </c:pt>
                <c:pt idx="53">
                  <c:v>1.33552</c:v>
                </c:pt>
                <c:pt idx="54">
                  <c:v>1.3283</c:v>
                </c:pt>
                <c:pt idx="55">
                  <c:v>1.3210999999999999</c:v>
                </c:pt>
                <c:pt idx="56">
                  <c:v>1.3147599999999999</c:v>
                </c:pt>
                <c:pt idx="57">
                  <c:v>1.30908</c:v>
                </c:pt>
                <c:pt idx="58">
                  <c:v>1.3042</c:v>
                </c:pt>
                <c:pt idx="59">
                  <c:v>1.3001400000000001</c:v>
                </c:pt>
                <c:pt idx="60">
                  <c:v>1.29606</c:v>
                </c:pt>
                <c:pt idx="61">
                  <c:v>1.2926</c:v>
                </c:pt>
                <c:pt idx="62">
                  <c:v>1.28898</c:v>
                </c:pt>
                <c:pt idx="63">
                  <c:v>1.2857400000000001</c:v>
                </c:pt>
                <c:pt idx="64">
                  <c:v>1.2823800000000001</c:v>
                </c:pt>
                <c:pt idx="65">
                  <c:v>1.2791399999999999</c:v>
                </c:pt>
                <c:pt idx="66">
                  <c:v>1.27624</c:v>
                </c:pt>
                <c:pt idx="67">
                  <c:v>1.2729200000000001</c:v>
                </c:pt>
                <c:pt idx="68">
                  <c:v>1.2692600000000001</c:v>
                </c:pt>
                <c:pt idx="69">
                  <c:v>1.2654399999999999</c:v>
                </c:pt>
                <c:pt idx="70">
                  <c:v>1.2624200000000001</c:v>
                </c:pt>
                <c:pt idx="71">
                  <c:v>1.2585200000000001</c:v>
                </c:pt>
                <c:pt idx="72">
                  <c:v>1.25474</c:v>
                </c:pt>
                <c:pt idx="73">
                  <c:v>1.25122</c:v>
                </c:pt>
                <c:pt idx="74">
                  <c:v>1.2478</c:v>
                </c:pt>
                <c:pt idx="75">
                  <c:v>1.2438</c:v>
                </c:pt>
                <c:pt idx="76">
                  <c:v>1.24024</c:v>
                </c:pt>
                <c:pt idx="77">
                  <c:v>1.23682</c:v>
                </c:pt>
                <c:pt idx="78">
                  <c:v>1.23342</c:v>
                </c:pt>
                <c:pt idx="79">
                  <c:v>1.23038</c:v>
                </c:pt>
                <c:pt idx="80">
                  <c:v>1.22712</c:v>
                </c:pt>
                <c:pt idx="81">
                  <c:v>1.22458</c:v>
                </c:pt>
                <c:pt idx="82">
                  <c:v>1.2221</c:v>
                </c:pt>
                <c:pt idx="83">
                  <c:v>1.2198800000000001</c:v>
                </c:pt>
                <c:pt idx="84">
                  <c:v>1.2181</c:v>
                </c:pt>
                <c:pt idx="85">
                  <c:v>1.2161</c:v>
                </c:pt>
                <c:pt idx="86">
                  <c:v>1.2151799999999999</c:v>
                </c:pt>
                <c:pt idx="87">
                  <c:v>1.2135400000000001</c:v>
                </c:pt>
                <c:pt idx="88">
                  <c:v>1.21252</c:v>
                </c:pt>
                <c:pt idx="89">
                  <c:v>1.2113400000000001</c:v>
                </c:pt>
                <c:pt idx="90">
                  <c:v>1.2105399999999999</c:v>
                </c:pt>
                <c:pt idx="91">
                  <c:v>1.20922</c:v>
                </c:pt>
                <c:pt idx="92">
                  <c:v>1.2081200000000001</c:v>
                </c:pt>
                <c:pt idx="93">
                  <c:v>1.2069399999999999</c:v>
                </c:pt>
                <c:pt idx="94">
                  <c:v>1.2053199999999999</c:v>
                </c:pt>
                <c:pt idx="95">
                  <c:v>1.2039200000000001</c:v>
                </c:pt>
                <c:pt idx="96">
                  <c:v>1.2020599999999999</c:v>
                </c:pt>
                <c:pt idx="97">
                  <c:v>1.1997599999999999</c:v>
                </c:pt>
                <c:pt idx="98">
                  <c:v>1.1975800000000001</c:v>
                </c:pt>
                <c:pt idx="99">
                  <c:v>1.19482</c:v>
                </c:pt>
                <c:pt idx="100">
                  <c:v>1.1917199999999999</c:v>
                </c:pt>
                <c:pt idx="101">
                  <c:v>1.18866</c:v>
                </c:pt>
                <c:pt idx="102">
                  <c:v>1.18546</c:v>
                </c:pt>
                <c:pt idx="103">
                  <c:v>1.18174</c:v>
                </c:pt>
                <c:pt idx="104">
                  <c:v>1.1775199999999999</c:v>
                </c:pt>
                <c:pt idx="105">
                  <c:v>1.17306</c:v>
                </c:pt>
                <c:pt idx="106">
                  <c:v>1.1684000000000001</c:v>
                </c:pt>
                <c:pt idx="107">
                  <c:v>1.1637200000000001</c:v>
                </c:pt>
                <c:pt idx="108">
                  <c:v>1.15866</c:v>
                </c:pt>
                <c:pt idx="109">
                  <c:v>1.1534800000000001</c:v>
                </c:pt>
                <c:pt idx="110">
                  <c:v>1.1481600000000001</c:v>
                </c:pt>
                <c:pt idx="111">
                  <c:v>1.14286</c:v>
                </c:pt>
                <c:pt idx="112">
                  <c:v>1.13764</c:v>
                </c:pt>
                <c:pt idx="113">
                  <c:v>1.1317200000000001</c:v>
                </c:pt>
                <c:pt idx="114">
                  <c:v>1.1260600000000001</c:v>
                </c:pt>
                <c:pt idx="115">
                  <c:v>1.12036</c:v>
                </c:pt>
                <c:pt idx="116">
                  <c:v>1.11466</c:v>
                </c:pt>
                <c:pt idx="117">
                  <c:v>1.10846</c:v>
                </c:pt>
                <c:pt idx="118">
                  <c:v>1.1026400000000001</c:v>
                </c:pt>
                <c:pt idx="119">
                  <c:v>1.0969</c:v>
                </c:pt>
                <c:pt idx="120">
                  <c:v>1.0911</c:v>
                </c:pt>
                <c:pt idx="121">
                  <c:v>1.0855399999999999</c:v>
                </c:pt>
                <c:pt idx="122">
                  <c:v>1.07972</c:v>
                </c:pt>
                <c:pt idx="123">
                  <c:v>1.0743799999999999</c:v>
                </c:pt>
                <c:pt idx="124">
                  <c:v>1.0687</c:v>
                </c:pt>
                <c:pt idx="125">
                  <c:v>1.06382</c:v>
                </c:pt>
                <c:pt idx="126">
                  <c:v>1.0583199999999999</c:v>
                </c:pt>
                <c:pt idx="127">
                  <c:v>1.05322</c:v>
                </c:pt>
                <c:pt idx="128">
                  <c:v>1.0479400000000001</c:v>
                </c:pt>
                <c:pt idx="129">
                  <c:v>1.0428999999999999</c:v>
                </c:pt>
                <c:pt idx="130">
                  <c:v>1.0379</c:v>
                </c:pt>
                <c:pt idx="131">
                  <c:v>1.0333000000000001</c:v>
                </c:pt>
                <c:pt idx="132">
                  <c:v>1.0288600000000001</c:v>
                </c:pt>
                <c:pt idx="133">
                  <c:v>1.0243599999999999</c:v>
                </c:pt>
                <c:pt idx="134">
                  <c:v>1.01986</c:v>
                </c:pt>
                <c:pt idx="135">
                  <c:v>1.01532</c:v>
                </c:pt>
                <c:pt idx="136">
                  <c:v>1.0112399999999999</c:v>
                </c:pt>
                <c:pt idx="137">
                  <c:v>1.0062199999999999</c:v>
                </c:pt>
                <c:pt idx="138">
                  <c:v>1.0022200000000001</c:v>
                </c:pt>
                <c:pt idx="139">
                  <c:v>0.99883999999999995</c:v>
                </c:pt>
                <c:pt idx="140">
                  <c:v>0.99490000000000001</c:v>
                </c:pt>
                <c:pt idx="141">
                  <c:v>0.99121999999999999</c:v>
                </c:pt>
                <c:pt idx="142">
                  <c:v>0.98760000000000003</c:v>
                </c:pt>
                <c:pt idx="143">
                  <c:v>0.98443999999999998</c:v>
                </c:pt>
                <c:pt idx="144">
                  <c:v>0.98138000000000003</c:v>
                </c:pt>
                <c:pt idx="145">
                  <c:v>0.97799999999999998</c:v>
                </c:pt>
                <c:pt idx="146">
                  <c:v>0.97506000000000004</c:v>
                </c:pt>
                <c:pt idx="147">
                  <c:v>0.97202</c:v>
                </c:pt>
                <c:pt idx="148">
                  <c:v>0.96945999999999999</c:v>
                </c:pt>
                <c:pt idx="149">
                  <c:v>0.96640000000000004</c:v>
                </c:pt>
                <c:pt idx="150">
                  <c:v>0.96365999999999996</c:v>
                </c:pt>
                <c:pt idx="151">
                  <c:v>0.96116000000000001</c:v>
                </c:pt>
                <c:pt idx="152">
                  <c:v>0.95879999999999999</c:v>
                </c:pt>
                <c:pt idx="153">
                  <c:v>0.95657999999999999</c:v>
                </c:pt>
                <c:pt idx="154">
                  <c:v>0.95433999999999997</c:v>
                </c:pt>
                <c:pt idx="155">
                  <c:v>0.95254000000000005</c:v>
                </c:pt>
                <c:pt idx="156">
                  <c:v>0.95054000000000005</c:v>
                </c:pt>
                <c:pt idx="157">
                  <c:v>0.94854000000000005</c:v>
                </c:pt>
                <c:pt idx="158">
                  <c:v>0.94679999999999997</c:v>
                </c:pt>
                <c:pt idx="159">
                  <c:v>0.94520000000000004</c:v>
                </c:pt>
                <c:pt idx="160">
                  <c:v>0.94352000000000003</c:v>
                </c:pt>
                <c:pt idx="161">
                  <c:v>0.94232000000000005</c:v>
                </c:pt>
                <c:pt idx="162">
                  <c:v>0.94076000000000004</c:v>
                </c:pt>
                <c:pt idx="163">
                  <c:v>0.93976000000000004</c:v>
                </c:pt>
                <c:pt idx="164">
                  <c:v>0.93881999999999999</c:v>
                </c:pt>
                <c:pt idx="165">
                  <c:v>0.93786000000000003</c:v>
                </c:pt>
                <c:pt idx="166">
                  <c:v>0.93691999999999998</c:v>
                </c:pt>
                <c:pt idx="167">
                  <c:v>0.93640000000000001</c:v>
                </c:pt>
                <c:pt idx="168">
                  <c:v>0.93600000000000005</c:v>
                </c:pt>
                <c:pt idx="169">
                  <c:v>0.93576000000000004</c:v>
                </c:pt>
                <c:pt idx="170">
                  <c:v>0.93554000000000004</c:v>
                </c:pt>
                <c:pt idx="171">
                  <c:v>0.93557999999999997</c:v>
                </c:pt>
                <c:pt idx="172">
                  <c:v>0.93545999999999996</c:v>
                </c:pt>
                <c:pt idx="173">
                  <c:v>0.93542000000000003</c:v>
                </c:pt>
                <c:pt idx="174">
                  <c:v>0.93559999999999999</c:v>
                </c:pt>
                <c:pt idx="175">
                  <c:v>0.93593999999999999</c:v>
                </c:pt>
                <c:pt idx="176">
                  <c:v>0.93598000000000003</c:v>
                </c:pt>
                <c:pt idx="177">
                  <c:v>0.93633999999999995</c:v>
                </c:pt>
                <c:pt idx="178">
                  <c:v>0.93679999999999997</c:v>
                </c:pt>
                <c:pt idx="179">
                  <c:v>0.93691999999999998</c:v>
                </c:pt>
                <c:pt idx="180">
                  <c:v>0.93713999999999997</c:v>
                </c:pt>
                <c:pt idx="181">
                  <c:v>0.93732000000000004</c:v>
                </c:pt>
                <c:pt idx="182">
                  <c:v>0.93720000000000003</c:v>
                </c:pt>
                <c:pt idx="183">
                  <c:v>0.93733999999999995</c:v>
                </c:pt>
                <c:pt idx="184">
                  <c:v>0.9375</c:v>
                </c:pt>
                <c:pt idx="185">
                  <c:v>0.93740000000000001</c:v>
                </c:pt>
                <c:pt idx="186">
                  <c:v>0.93725999999999998</c:v>
                </c:pt>
                <c:pt idx="187">
                  <c:v>0.93720000000000003</c:v>
                </c:pt>
                <c:pt idx="188">
                  <c:v>0.93725999999999998</c:v>
                </c:pt>
                <c:pt idx="189">
                  <c:v>0.93720000000000003</c:v>
                </c:pt>
                <c:pt idx="190">
                  <c:v>0.93676000000000004</c:v>
                </c:pt>
                <c:pt idx="191">
                  <c:v>0.93669999999999998</c:v>
                </c:pt>
                <c:pt idx="192">
                  <c:v>0.93657999999999997</c:v>
                </c:pt>
                <c:pt idx="193">
                  <c:v>0.93644000000000005</c:v>
                </c:pt>
                <c:pt idx="194">
                  <c:v>0.93610000000000004</c:v>
                </c:pt>
                <c:pt idx="195">
                  <c:v>0.93586000000000003</c:v>
                </c:pt>
                <c:pt idx="196">
                  <c:v>0.93569999999999998</c:v>
                </c:pt>
                <c:pt idx="197">
                  <c:v>0.93530000000000002</c:v>
                </c:pt>
                <c:pt idx="198">
                  <c:v>0.93515999999999999</c:v>
                </c:pt>
                <c:pt idx="199">
                  <c:v>0.93493999999999999</c:v>
                </c:pt>
                <c:pt idx="200">
                  <c:v>0.93464000000000003</c:v>
                </c:pt>
                <c:pt idx="201">
                  <c:v>0.93459999999999999</c:v>
                </c:pt>
                <c:pt idx="202">
                  <c:v>0.93484</c:v>
                </c:pt>
                <c:pt idx="203">
                  <c:v>0.93508000000000002</c:v>
                </c:pt>
                <c:pt idx="204">
                  <c:v>0.93576000000000004</c:v>
                </c:pt>
                <c:pt idx="205">
                  <c:v>0.93644000000000005</c:v>
                </c:pt>
                <c:pt idx="206">
                  <c:v>0.93755999999999995</c:v>
                </c:pt>
                <c:pt idx="207">
                  <c:v>0.93896000000000002</c:v>
                </c:pt>
                <c:pt idx="208">
                  <c:v>0.94042000000000003</c:v>
                </c:pt>
                <c:pt idx="209">
                  <c:v>0.94223999999999997</c:v>
                </c:pt>
                <c:pt idx="210">
                  <c:v>0.94452000000000003</c:v>
                </c:pt>
                <c:pt idx="211">
                  <c:v>0.94701999999999997</c:v>
                </c:pt>
                <c:pt idx="212">
                  <c:v>0.94976000000000005</c:v>
                </c:pt>
                <c:pt idx="213">
                  <c:v>0.95316000000000001</c:v>
                </c:pt>
                <c:pt idx="214">
                  <c:v>0.95648</c:v>
                </c:pt>
                <c:pt idx="215">
                  <c:v>0.96013999999999999</c:v>
                </c:pt>
                <c:pt idx="216">
                  <c:v>0.96430000000000005</c:v>
                </c:pt>
                <c:pt idx="217">
                  <c:v>0.96884000000000003</c:v>
                </c:pt>
                <c:pt idx="218">
                  <c:v>0.97326000000000001</c:v>
                </c:pt>
                <c:pt idx="219">
                  <c:v>0.97789999999999999</c:v>
                </c:pt>
                <c:pt idx="220">
                  <c:v>0.98258000000000001</c:v>
                </c:pt>
                <c:pt idx="221">
                  <c:v>0.98729999999999996</c:v>
                </c:pt>
                <c:pt idx="222">
                  <c:v>0.99206000000000005</c:v>
                </c:pt>
                <c:pt idx="223">
                  <c:v>0.99731999999999998</c:v>
                </c:pt>
                <c:pt idx="224">
                  <c:v>1.0022599999999999</c:v>
                </c:pt>
                <c:pt idx="225">
                  <c:v>1.0072399999999999</c:v>
                </c:pt>
                <c:pt idx="226">
                  <c:v>1.01214</c:v>
                </c:pt>
                <c:pt idx="227">
                  <c:v>1.0167200000000001</c:v>
                </c:pt>
                <c:pt idx="228">
                  <c:v>1.0207200000000001</c:v>
                </c:pt>
                <c:pt idx="229">
                  <c:v>1.0244200000000001</c:v>
                </c:pt>
                <c:pt idx="230">
                  <c:v>1.0280400000000001</c:v>
                </c:pt>
                <c:pt idx="231">
                  <c:v>1.0310600000000001</c:v>
                </c:pt>
                <c:pt idx="232">
                  <c:v>1.0336000000000001</c:v>
                </c:pt>
                <c:pt idx="233">
                  <c:v>1.0354000000000001</c:v>
                </c:pt>
                <c:pt idx="234">
                  <c:v>1.03684</c:v>
                </c:pt>
                <c:pt idx="235">
                  <c:v>1.03748</c:v>
                </c:pt>
                <c:pt idx="236">
                  <c:v>1.0374399999999999</c:v>
                </c:pt>
                <c:pt idx="237">
                  <c:v>1.0367999999999999</c:v>
                </c:pt>
                <c:pt idx="238">
                  <c:v>1.0354000000000001</c:v>
                </c:pt>
                <c:pt idx="239">
                  <c:v>1.03342</c:v>
                </c:pt>
                <c:pt idx="240">
                  <c:v>1.0304</c:v>
                </c:pt>
                <c:pt idx="241">
                  <c:v>1.0271399999999999</c:v>
                </c:pt>
                <c:pt idx="242">
                  <c:v>1.02332</c:v>
                </c:pt>
                <c:pt idx="243">
                  <c:v>1.0186999999999999</c:v>
                </c:pt>
                <c:pt idx="244">
                  <c:v>1.014</c:v>
                </c:pt>
                <c:pt idx="245">
                  <c:v>1.00892</c:v>
                </c:pt>
                <c:pt idx="246">
                  <c:v>1.0038199999999999</c:v>
                </c:pt>
                <c:pt idx="247">
                  <c:v>0.99860000000000004</c:v>
                </c:pt>
                <c:pt idx="248">
                  <c:v>0.99343999999999999</c:v>
                </c:pt>
                <c:pt idx="249">
                  <c:v>0.98831999999999998</c:v>
                </c:pt>
                <c:pt idx="250">
                  <c:v>0.98292000000000002</c:v>
                </c:pt>
                <c:pt idx="251">
                  <c:v>0.97811999999999999</c:v>
                </c:pt>
                <c:pt idx="252">
                  <c:v>0.97323999999999999</c:v>
                </c:pt>
                <c:pt idx="253">
                  <c:v>0.96867999999999999</c:v>
                </c:pt>
                <c:pt idx="254">
                  <c:v>0.96426000000000001</c:v>
                </c:pt>
                <c:pt idx="255">
                  <c:v>0.96018000000000003</c:v>
                </c:pt>
                <c:pt idx="256">
                  <c:v>0.95657999999999999</c:v>
                </c:pt>
                <c:pt idx="257">
                  <c:v>0.95330000000000004</c:v>
                </c:pt>
                <c:pt idx="258">
                  <c:v>0.95065999999999995</c:v>
                </c:pt>
                <c:pt idx="259">
                  <c:v>0.9486</c:v>
                </c:pt>
                <c:pt idx="260">
                  <c:v>0.94732000000000005</c:v>
                </c:pt>
                <c:pt idx="261">
                  <c:v>0.94701999999999997</c:v>
                </c:pt>
                <c:pt idx="262">
                  <c:v>0.94742000000000004</c:v>
                </c:pt>
                <c:pt idx="263">
                  <c:v>0.94894000000000001</c:v>
                </c:pt>
                <c:pt idx="264">
                  <c:v>0.95113999999999999</c:v>
                </c:pt>
                <c:pt idx="265">
                  <c:v>0.95433999999999997</c:v>
                </c:pt>
                <c:pt idx="266">
                  <c:v>0.95852000000000004</c:v>
                </c:pt>
                <c:pt idx="267">
                  <c:v>0.96338000000000001</c:v>
                </c:pt>
                <c:pt idx="268">
                  <c:v>0.96814</c:v>
                </c:pt>
                <c:pt idx="269">
                  <c:v>0.97343999999999997</c:v>
                </c:pt>
                <c:pt idx="270">
                  <c:v>0.97916000000000003</c:v>
                </c:pt>
                <c:pt idx="271">
                  <c:v>0.98485999999999996</c:v>
                </c:pt>
                <c:pt idx="272">
                  <c:v>0.99038000000000004</c:v>
                </c:pt>
                <c:pt idx="273">
                  <c:v>0.99582000000000004</c:v>
                </c:pt>
                <c:pt idx="274">
                  <c:v>1.00116</c:v>
                </c:pt>
                <c:pt idx="275">
                  <c:v>1.00668</c:v>
                </c:pt>
                <c:pt idx="276">
                  <c:v>1.01258</c:v>
                </c:pt>
                <c:pt idx="277">
                  <c:v>1.0185200000000001</c:v>
                </c:pt>
                <c:pt idx="278">
                  <c:v>1.0246599999999999</c:v>
                </c:pt>
                <c:pt idx="279">
                  <c:v>1.03016</c:v>
                </c:pt>
                <c:pt idx="280">
                  <c:v>1.0349200000000001</c:v>
                </c:pt>
                <c:pt idx="281">
                  <c:v>1.03826</c:v>
                </c:pt>
                <c:pt idx="282">
                  <c:v>1.0398799999999999</c:v>
                </c:pt>
                <c:pt idx="283">
                  <c:v>1.0395799999999999</c:v>
                </c:pt>
                <c:pt idx="284">
                  <c:v>1.03714</c:v>
                </c:pt>
                <c:pt idx="285">
                  <c:v>1.0329200000000001</c:v>
                </c:pt>
                <c:pt idx="286">
                  <c:v>1.02694</c:v>
                </c:pt>
                <c:pt idx="287">
                  <c:v>1.01908</c:v>
                </c:pt>
                <c:pt idx="288">
                  <c:v>1.0097400000000001</c:v>
                </c:pt>
                <c:pt idx="289">
                  <c:v>0.99936000000000003</c:v>
                </c:pt>
                <c:pt idx="290">
                  <c:v>0.98816000000000004</c:v>
                </c:pt>
                <c:pt idx="291">
                  <c:v>0.9758</c:v>
                </c:pt>
                <c:pt idx="292">
                  <c:v>0.96406000000000003</c:v>
                </c:pt>
                <c:pt idx="293">
                  <c:v>0.95223999999999998</c:v>
                </c:pt>
                <c:pt idx="294">
                  <c:v>0.93972</c:v>
                </c:pt>
                <c:pt idx="295">
                  <c:v>0.92834000000000005</c:v>
                </c:pt>
                <c:pt idx="296">
                  <c:v>0.9173</c:v>
                </c:pt>
                <c:pt idx="297">
                  <c:v>0.90669999999999995</c:v>
                </c:pt>
                <c:pt idx="298">
                  <c:v>0.89658000000000004</c:v>
                </c:pt>
                <c:pt idx="299">
                  <c:v>0.88741999999999999</c:v>
                </c:pt>
                <c:pt idx="300">
                  <c:v>0.87860000000000005</c:v>
                </c:pt>
                <c:pt idx="301">
                  <c:v>0.87053999999999998</c:v>
                </c:pt>
                <c:pt idx="302">
                  <c:v>0.86317999999999995</c:v>
                </c:pt>
                <c:pt idx="303">
                  <c:v>0.85641999999999996</c:v>
                </c:pt>
                <c:pt idx="304">
                  <c:v>0.85004000000000002</c:v>
                </c:pt>
                <c:pt idx="305">
                  <c:v>0.84389999999999998</c:v>
                </c:pt>
                <c:pt idx="306">
                  <c:v>0.83826000000000001</c:v>
                </c:pt>
                <c:pt idx="307">
                  <c:v>0.83309999999999995</c:v>
                </c:pt>
                <c:pt idx="308">
                  <c:v>0.82811999999999997</c:v>
                </c:pt>
                <c:pt idx="309">
                  <c:v>0.82330000000000003</c:v>
                </c:pt>
                <c:pt idx="310">
                  <c:v>0.81888000000000005</c:v>
                </c:pt>
                <c:pt idx="311">
                  <c:v>0.81476000000000004</c:v>
                </c:pt>
                <c:pt idx="312">
                  <c:v>0.81088000000000005</c:v>
                </c:pt>
                <c:pt idx="313">
                  <c:v>0.80700000000000005</c:v>
                </c:pt>
                <c:pt idx="314">
                  <c:v>0.80337999999999998</c:v>
                </c:pt>
                <c:pt idx="315">
                  <c:v>0.80008000000000001</c:v>
                </c:pt>
                <c:pt idx="316">
                  <c:v>0.79681999999999997</c:v>
                </c:pt>
                <c:pt idx="317">
                  <c:v>0.79369999999999996</c:v>
                </c:pt>
                <c:pt idx="318">
                  <c:v>0.79057999999999995</c:v>
                </c:pt>
                <c:pt idx="319">
                  <c:v>0.78754000000000002</c:v>
                </c:pt>
                <c:pt idx="320">
                  <c:v>0.78464</c:v>
                </c:pt>
                <c:pt idx="321">
                  <c:v>0.78198000000000001</c:v>
                </c:pt>
                <c:pt idx="322">
                  <c:v>0.77932000000000001</c:v>
                </c:pt>
                <c:pt idx="323">
                  <c:v>0.77681999999999995</c:v>
                </c:pt>
                <c:pt idx="324">
                  <c:v>0.77429999999999999</c:v>
                </c:pt>
                <c:pt idx="325">
                  <c:v>0.77171999999999996</c:v>
                </c:pt>
                <c:pt idx="326">
                  <c:v>0.76926000000000005</c:v>
                </c:pt>
                <c:pt idx="327">
                  <c:v>0.76688000000000001</c:v>
                </c:pt>
                <c:pt idx="328">
                  <c:v>0.76463999999999999</c:v>
                </c:pt>
                <c:pt idx="329">
                  <c:v>0.76239999999999997</c:v>
                </c:pt>
                <c:pt idx="330">
                  <c:v>0.76049999999999995</c:v>
                </c:pt>
                <c:pt idx="331">
                  <c:v>0.75819999999999999</c:v>
                </c:pt>
                <c:pt idx="332">
                  <c:v>0.75619999999999998</c:v>
                </c:pt>
                <c:pt idx="333">
                  <c:v>0.75407999999999997</c:v>
                </c:pt>
                <c:pt idx="334">
                  <c:v>0.75195999999999996</c:v>
                </c:pt>
                <c:pt idx="335">
                  <c:v>0.75005999999999995</c:v>
                </c:pt>
                <c:pt idx="336">
                  <c:v>0.74780000000000002</c:v>
                </c:pt>
                <c:pt idx="337">
                  <c:v>0.74578</c:v>
                </c:pt>
                <c:pt idx="338">
                  <c:v>0.74373999999999996</c:v>
                </c:pt>
                <c:pt idx="339">
                  <c:v>0.74194000000000004</c:v>
                </c:pt>
                <c:pt idx="340">
                  <c:v>0.74002000000000001</c:v>
                </c:pt>
                <c:pt idx="341">
                  <c:v>0.73812</c:v>
                </c:pt>
                <c:pt idx="342">
                  <c:v>0.73607999999999996</c:v>
                </c:pt>
                <c:pt idx="343">
                  <c:v>0.73440000000000005</c:v>
                </c:pt>
                <c:pt idx="344">
                  <c:v>0.73258000000000001</c:v>
                </c:pt>
                <c:pt idx="345">
                  <c:v>0.73080000000000001</c:v>
                </c:pt>
                <c:pt idx="346">
                  <c:v>0.72918000000000005</c:v>
                </c:pt>
                <c:pt idx="347">
                  <c:v>0.72726000000000002</c:v>
                </c:pt>
                <c:pt idx="348">
                  <c:v>0.72552000000000005</c:v>
                </c:pt>
                <c:pt idx="349">
                  <c:v>0.72382000000000002</c:v>
                </c:pt>
                <c:pt idx="350">
                  <c:v>0.72214</c:v>
                </c:pt>
                <c:pt idx="351">
                  <c:v>0.72033999999999998</c:v>
                </c:pt>
                <c:pt idx="352">
                  <c:v>0.71867999999999999</c:v>
                </c:pt>
                <c:pt idx="353">
                  <c:v>0.71714</c:v>
                </c:pt>
                <c:pt idx="354">
                  <c:v>0.71560000000000001</c:v>
                </c:pt>
                <c:pt idx="355">
                  <c:v>0.71386000000000005</c:v>
                </c:pt>
                <c:pt idx="356">
                  <c:v>0.71211999999999998</c:v>
                </c:pt>
                <c:pt idx="357">
                  <c:v>0.71060000000000001</c:v>
                </c:pt>
                <c:pt idx="358">
                  <c:v>0.70889999999999997</c:v>
                </c:pt>
                <c:pt idx="359">
                  <c:v>0.70730000000000004</c:v>
                </c:pt>
                <c:pt idx="360">
                  <c:v>0.70572000000000001</c:v>
                </c:pt>
                <c:pt idx="361">
                  <c:v>0.70450000000000002</c:v>
                </c:pt>
                <c:pt idx="362">
                  <c:v>0.70287999999999995</c:v>
                </c:pt>
                <c:pt idx="363">
                  <c:v>0.70123999999999997</c:v>
                </c:pt>
                <c:pt idx="364">
                  <c:v>0.69976000000000005</c:v>
                </c:pt>
                <c:pt idx="365">
                  <c:v>0.69821999999999995</c:v>
                </c:pt>
                <c:pt idx="366">
                  <c:v>0.69672000000000001</c:v>
                </c:pt>
                <c:pt idx="367">
                  <c:v>0.69510000000000005</c:v>
                </c:pt>
                <c:pt idx="368">
                  <c:v>0.69366000000000005</c:v>
                </c:pt>
                <c:pt idx="369">
                  <c:v>0.69220000000000004</c:v>
                </c:pt>
                <c:pt idx="370">
                  <c:v>0.69086000000000003</c:v>
                </c:pt>
                <c:pt idx="371">
                  <c:v>0.68935999999999997</c:v>
                </c:pt>
                <c:pt idx="372">
                  <c:v>0.68789999999999996</c:v>
                </c:pt>
                <c:pt idx="373">
                  <c:v>0.68655999999999995</c:v>
                </c:pt>
                <c:pt idx="374">
                  <c:v>0.68518000000000001</c:v>
                </c:pt>
                <c:pt idx="375">
                  <c:v>0.68371999999999999</c:v>
                </c:pt>
                <c:pt idx="376">
                  <c:v>0.68228</c:v>
                </c:pt>
                <c:pt idx="377">
                  <c:v>0.68100000000000005</c:v>
                </c:pt>
                <c:pt idx="378">
                  <c:v>0.67956000000000005</c:v>
                </c:pt>
                <c:pt idx="379">
                  <c:v>0.67810000000000004</c:v>
                </c:pt>
                <c:pt idx="380">
                  <c:v>0.67681999999999998</c:v>
                </c:pt>
                <c:pt idx="381">
                  <c:v>0.67542000000000002</c:v>
                </c:pt>
                <c:pt idx="382">
                  <c:v>0.67422000000000004</c:v>
                </c:pt>
                <c:pt idx="383">
                  <c:v>0.67266000000000004</c:v>
                </c:pt>
                <c:pt idx="384">
                  <c:v>0.67147999999999997</c:v>
                </c:pt>
                <c:pt idx="385">
                  <c:v>0.66983999999999999</c:v>
                </c:pt>
                <c:pt idx="386">
                  <c:v>0.66859999999999997</c:v>
                </c:pt>
                <c:pt idx="387">
                  <c:v>0.66718</c:v>
                </c:pt>
                <c:pt idx="388">
                  <c:v>0.66586000000000001</c:v>
                </c:pt>
                <c:pt idx="389">
                  <c:v>0.66456000000000004</c:v>
                </c:pt>
                <c:pt idx="390">
                  <c:v>0.66325999999999996</c:v>
                </c:pt>
                <c:pt idx="391">
                  <c:v>0.66168000000000005</c:v>
                </c:pt>
                <c:pt idx="392">
                  <c:v>0.66052</c:v>
                </c:pt>
                <c:pt idx="393">
                  <c:v>0.65913999999999995</c:v>
                </c:pt>
                <c:pt idx="394">
                  <c:v>0.65790000000000004</c:v>
                </c:pt>
                <c:pt idx="395">
                  <c:v>0.65649999999999997</c:v>
                </c:pt>
                <c:pt idx="396">
                  <c:v>0.65505999999999998</c:v>
                </c:pt>
                <c:pt idx="397">
                  <c:v>0.65378000000000003</c:v>
                </c:pt>
                <c:pt idx="398">
                  <c:v>0.65258000000000005</c:v>
                </c:pt>
                <c:pt idx="399">
                  <c:v>0.65124000000000004</c:v>
                </c:pt>
                <c:pt idx="400">
                  <c:v>0.65014000000000005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E6-408E-80C6-9165C6BD0725}"/>
            </c:ext>
          </c:extLst>
        </c:ser>
        <c:ser>
          <c:idx val="1"/>
          <c:order val="1"/>
          <c:tx>
            <c:strRef>
              <c:f>'Pig graph '!$V$1</c:f>
              <c:strCache>
                <c:ptCount val="1"/>
                <c:pt idx="0">
                  <c:v>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'!$V$2:$V$402</c:f>
              <c:numCache>
                <c:formatCode>General</c:formatCode>
                <c:ptCount val="401"/>
                <c:pt idx="0">
                  <c:v>0.88958000000000004</c:v>
                </c:pt>
                <c:pt idx="1">
                  <c:v>0.89095999999999997</c:v>
                </c:pt>
                <c:pt idx="2">
                  <c:v>0.89124000000000003</c:v>
                </c:pt>
                <c:pt idx="3">
                  <c:v>0.89212000000000002</c:v>
                </c:pt>
                <c:pt idx="4">
                  <c:v>0.89324000000000003</c:v>
                </c:pt>
                <c:pt idx="5">
                  <c:v>0.89478000000000002</c:v>
                </c:pt>
                <c:pt idx="6">
                  <c:v>0.89688000000000001</c:v>
                </c:pt>
                <c:pt idx="7">
                  <c:v>0.89924000000000004</c:v>
                </c:pt>
                <c:pt idx="8">
                  <c:v>0.90168000000000004</c:v>
                </c:pt>
                <c:pt idx="9">
                  <c:v>0.90488000000000002</c:v>
                </c:pt>
                <c:pt idx="10">
                  <c:v>0.90820000000000001</c:v>
                </c:pt>
                <c:pt idx="11">
                  <c:v>0.91113999999999995</c:v>
                </c:pt>
                <c:pt idx="12">
                  <c:v>0.91434000000000004</c:v>
                </c:pt>
                <c:pt idx="13">
                  <c:v>0.91759999999999997</c:v>
                </c:pt>
                <c:pt idx="14">
                  <c:v>0.92132000000000003</c:v>
                </c:pt>
                <c:pt idx="15">
                  <c:v>0.92437999999999998</c:v>
                </c:pt>
                <c:pt idx="16">
                  <c:v>0.92798000000000003</c:v>
                </c:pt>
                <c:pt idx="17">
                  <c:v>0.93176000000000003</c:v>
                </c:pt>
                <c:pt idx="18">
                  <c:v>0.93511999999999995</c:v>
                </c:pt>
                <c:pt idx="19">
                  <c:v>0.93733999999999995</c:v>
                </c:pt>
                <c:pt idx="20">
                  <c:v>0.93947999999999998</c:v>
                </c:pt>
                <c:pt idx="21">
                  <c:v>0.94162000000000001</c:v>
                </c:pt>
                <c:pt idx="22">
                  <c:v>0.94359999999999999</c:v>
                </c:pt>
                <c:pt idx="23">
                  <c:v>0.94552000000000003</c:v>
                </c:pt>
                <c:pt idx="24">
                  <c:v>0.94708000000000003</c:v>
                </c:pt>
                <c:pt idx="25">
                  <c:v>0.94898000000000005</c:v>
                </c:pt>
                <c:pt idx="26">
                  <c:v>0.95098000000000005</c:v>
                </c:pt>
                <c:pt idx="27">
                  <c:v>0.95364000000000004</c:v>
                </c:pt>
                <c:pt idx="28">
                  <c:v>0.95601999999999998</c:v>
                </c:pt>
                <c:pt idx="29">
                  <c:v>0.95908000000000004</c:v>
                </c:pt>
                <c:pt idx="30">
                  <c:v>0.96186000000000005</c:v>
                </c:pt>
                <c:pt idx="31">
                  <c:v>0.96553999999999995</c:v>
                </c:pt>
                <c:pt idx="32">
                  <c:v>0.96970000000000001</c:v>
                </c:pt>
                <c:pt idx="33">
                  <c:v>0.97382000000000002</c:v>
                </c:pt>
                <c:pt idx="34">
                  <c:v>0.97763999999999995</c:v>
                </c:pt>
                <c:pt idx="35">
                  <c:v>0.98272000000000004</c:v>
                </c:pt>
                <c:pt idx="36">
                  <c:v>0.98712</c:v>
                </c:pt>
                <c:pt idx="37">
                  <c:v>0.99117999999999995</c:v>
                </c:pt>
                <c:pt idx="38">
                  <c:v>0.99534</c:v>
                </c:pt>
                <c:pt idx="39">
                  <c:v>0.99865999999999999</c:v>
                </c:pt>
                <c:pt idx="40">
                  <c:v>1.0009999999999999</c:v>
                </c:pt>
                <c:pt idx="41">
                  <c:v>1.00332</c:v>
                </c:pt>
                <c:pt idx="42">
                  <c:v>1.0044599999999999</c:v>
                </c:pt>
                <c:pt idx="43">
                  <c:v>1.00488</c:v>
                </c:pt>
                <c:pt idx="44">
                  <c:v>1.0038199999999999</c:v>
                </c:pt>
                <c:pt idx="45">
                  <c:v>1.0017400000000001</c:v>
                </c:pt>
                <c:pt idx="46">
                  <c:v>0.99894000000000005</c:v>
                </c:pt>
                <c:pt idx="47">
                  <c:v>0.99517999999999995</c:v>
                </c:pt>
                <c:pt idx="48">
                  <c:v>0.99063999999999997</c:v>
                </c:pt>
                <c:pt idx="49">
                  <c:v>0.98485999999999996</c:v>
                </c:pt>
                <c:pt idx="50">
                  <c:v>0.97921999999999998</c:v>
                </c:pt>
                <c:pt idx="51">
                  <c:v>0.97307999999999995</c:v>
                </c:pt>
                <c:pt idx="52">
                  <c:v>0.96752000000000005</c:v>
                </c:pt>
                <c:pt idx="53">
                  <c:v>0.96209999999999996</c:v>
                </c:pt>
                <c:pt idx="54">
                  <c:v>0.95730000000000004</c:v>
                </c:pt>
                <c:pt idx="55">
                  <c:v>0.95218000000000003</c:v>
                </c:pt>
                <c:pt idx="56">
                  <c:v>0.94750000000000001</c:v>
                </c:pt>
                <c:pt idx="57">
                  <c:v>0.94357999999999997</c:v>
                </c:pt>
                <c:pt idx="58">
                  <c:v>0.94018000000000002</c:v>
                </c:pt>
                <c:pt idx="59">
                  <c:v>0.93728</c:v>
                </c:pt>
                <c:pt idx="60">
                  <c:v>0.93430000000000002</c:v>
                </c:pt>
                <c:pt idx="61">
                  <c:v>0.93206</c:v>
                </c:pt>
                <c:pt idx="62">
                  <c:v>0.92944000000000004</c:v>
                </c:pt>
                <c:pt idx="63">
                  <c:v>0.92669999999999997</c:v>
                </c:pt>
                <c:pt idx="64">
                  <c:v>0.92445999999999995</c:v>
                </c:pt>
                <c:pt idx="65">
                  <c:v>0.92176000000000002</c:v>
                </c:pt>
                <c:pt idx="66">
                  <c:v>0.91969999999999996</c:v>
                </c:pt>
                <c:pt idx="67">
                  <c:v>0.91718</c:v>
                </c:pt>
                <c:pt idx="68">
                  <c:v>0.9143</c:v>
                </c:pt>
                <c:pt idx="69">
                  <c:v>0.91180000000000005</c:v>
                </c:pt>
                <c:pt idx="70">
                  <c:v>0.90964</c:v>
                </c:pt>
                <c:pt idx="71">
                  <c:v>0.90646000000000004</c:v>
                </c:pt>
                <c:pt idx="72">
                  <c:v>0.90390000000000004</c:v>
                </c:pt>
                <c:pt idx="73">
                  <c:v>0.90115999999999996</c:v>
                </c:pt>
                <c:pt idx="74">
                  <c:v>0.89861999999999997</c:v>
                </c:pt>
                <c:pt idx="75">
                  <c:v>0.89590000000000003</c:v>
                </c:pt>
                <c:pt idx="76">
                  <c:v>0.89327999999999996</c:v>
                </c:pt>
                <c:pt idx="77">
                  <c:v>0.89049999999999996</c:v>
                </c:pt>
                <c:pt idx="78">
                  <c:v>0.88815999999999995</c:v>
                </c:pt>
                <c:pt idx="79">
                  <c:v>0.88595999999999997</c:v>
                </c:pt>
                <c:pt idx="80">
                  <c:v>0.88334000000000001</c:v>
                </c:pt>
                <c:pt idx="81">
                  <c:v>0.88119999999999998</c:v>
                </c:pt>
                <c:pt idx="82">
                  <c:v>0.87927999999999995</c:v>
                </c:pt>
                <c:pt idx="83">
                  <c:v>0.87771999999999994</c:v>
                </c:pt>
                <c:pt idx="84">
                  <c:v>0.87663999999999997</c:v>
                </c:pt>
                <c:pt idx="85">
                  <c:v>0.87527999999999995</c:v>
                </c:pt>
                <c:pt idx="86">
                  <c:v>0.87429999999999997</c:v>
                </c:pt>
                <c:pt idx="87">
                  <c:v>0.87304000000000004</c:v>
                </c:pt>
                <c:pt idx="88">
                  <c:v>0.872</c:v>
                </c:pt>
                <c:pt idx="89">
                  <c:v>0.87129999999999996</c:v>
                </c:pt>
                <c:pt idx="90">
                  <c:v>0.87053999999999998</c:v>
                </c:pt>
                <c:pt idx="91">
                  <c:v>0.86965999999999999</c:v>
                </c:pt>
                <c:pt idx="92">
                  <c:v>0.86880000000000002</c:v>
                </c:pt>
                <c:pt idx="93">
                  <c:v>0.86792000000000002</c:v>
                </c:pt>
                <c:pt idx="94">
                  <c:v>0.86694000000000004</c:v>
                </c:pt>
                <c:pt idx="95">
                  <c:v>0.86553999999999998</c:v>
                </c:pt>
                <c:pt idx="96">
                  <c:v>0.86438000000000004</c:v>
                </c:pt>
                <c:pt idx="97">
                  <c:v>0.86246</c:v>
                </c:pt>
                <c:pt idx="98">
                  <c:v>0.86080000000000001</c:v>
                </c:pt>
                <c:pt idx="99">
                  <c:v>0.85887999999999998</c:v>
                </c:pt>
                <c:pt idx="100">
                  <c:v>0.85660000000000003</c:v>
                </c:pt>
                <c:pt idx="101">
                  <c:v>0.85451999999999995</c:v>
                </c:pt>
                <c:pt idx="102">
                  <c:v>0.85224</c:v>
                </c:pt>
                <c:pt idx="103">
                  <c:v>0.84928000000000003</c:v>
                </c:pt>
                <c:pt idx="104">
                  <c:v>0.84626000000000001</c:v>
                </c:pt>
                <c:pt idx="105">
                  <c:v>0.84284000000000003</c:v>
                </c:pt>
                <c:pt idx="106">
                  <c:v>0.83964000000000005</c:v>
                </c:pt>
                <c:pt idx="107">
                  <c:v>0.83606000000000003</c:v>
                </c:pt>
                <c:pt idx="108">
                  <c:v>0.83235999999999999</c:v>
                </c:pt>
                <c:pt idx="109">
                  <c:v>0.82867999999999997</c:v>
                </c:pt>
                <c:pt idx="110">
                  <c:v>0.82474000000000003</c:v>
                </c:pt>
                <c:pt idx="111">
                  <c:v>0.82069999999999999</c:v>
                </c:pt>
                <c:pt idx="112">
                  <c:v>0.81689999999999996</c:v>
                </c:pt>
                <c:pt idx="113">
                  <c:v>0.81277999999999995</c:v>
                </c:pt>
                <c:pt idx="114">
                  <c:v>0.80874000000000001</c:v>
                </c:pt>
                <c:pt idx="115">
                  <c:v>0.80442000000000002</c:v>
                </c:pt>
                <c:pt idx="116">
                  <c:v>0.80018</c:v>
                </c:pt>
                <c:pt idx="117">
                  <c:v>0.79571999999999998</c:v>
                </c:pt>
                <c:pt idx="118">
                  <c:v>0.79132000000000002</c:v>
                </c:pt>
                <c:pt idx="119">
                  <c:v>0.78698000000000001</c:v>
                </c:pt>
                <c:pt idx="120">
                  <c:v>0.78286</c:v>
                </c:pt>
                <c:pt idx="121">
                  <c:v>0.77866000000000002</c:v>
                </c:pt>
                <c:pt idx="122">
                  <c:v>0.77436000000000005</c:v>
                </c:pt>
                <c:pt idx="123">
                  <c:v>0.77076</c:v>
                </c:pt>
                <c:pt idx="124">
                  <c:v>0.76612000000000002</c:v>
                </c:pt>
                <c:pt idx="125">
                  <c:v>0.76248000000000005</c:v>
                </c:pt>
                <c:pt idx="126">
                  <c:v>0.75851999999999997</c:v>
                </c:pt>
                <c:pt idx="127">
                  <c:v>0.75473999999999997</c:v>
                </c:pt>
                <c:pt idx="128">
                  <c:v>0.751</c:v>
                </c:pt>
                <c:pt idx="129">
                  <c:v>0.74716000000000005</c:v>
                </c:pt>
                <c:pt idx="130">
                  <c:v>0.74339999999999995</c:v>
                </c:pt>
                <c:pt idx="131">
                  <c:v>0.74</c:v>
                </c:pt>
                <c:pt idx="132">
                  <c:v>0.73672000000000004</c:v>
                </c:pt>
                <c:pt idx="133">
                  <c:v>0.73340000000000005</c:v>
                </c:pt>
                <c:pt idx="134">
                  <c:v>0.72997999999999996</c:v>
                </c:pt>
                <c:pt idx="135">
                  <c:v>0.72653999999999996</c:v>
                </c:pt>
                <c:pt idx="136">
                  <c:v>0.72365999999999997</c:v>
                </c:pt>
                <c:pt idx="137">
                  <c:v>0.71984000000000004</c:v>
                </c:pt>
                <c:pt idx="138">
                  <c:v>0.71679999999999999</c:v>
                </c:pt>
                <c:pt idx="139">
                  <c:v>0.71401999999999999</c:v>
                </c:pt>
                <c:pt idx="140">
                  <c:v>0.71116000000000001</c:v>
                </c:pt>
                <c:pt idx="141">
                  <c:v>0.70845999999999998</c:v>
                </c:pt>
                <c:pt idx="142">
                  <c:v>0.7056</c:v>
                </c:pt>
                <c:pt idx="143">
                  <c:v>0.70318000000000003</c:v>
                </c:pt>
                <c:pt idx="144">
                  <c:v>0.70096000000000003</c:v>
                </c:pt>
                <c:pt idx="145">
                  <c:v>0.69840000000000002</c:v>
                </c:pt>
                <c:pt idx="146">
                  <c:v>0.69625999999999999</c:v>
                </c:pt>
                <c:pt idx="147">
                  <c:v>0.69396000000000002</c:v>
                </c:pt>
                <c:pt idx="148">
                  <c:v>0.69167999999999996</c:v>
                </c:pt>
                <c:pt idx="149">
                  <c:v>0.68957999999999997</c:v>
                </c:pt>
                <c:pt idx="150">
                  <c:v>0.6875</c:v>
                </c:pt>
                <c:pt idx="151">
                  <c:v>0.68557999999999997</c:v>
                </c:pt>
                <c:pt idx="152">
                  <c:v>0.68367999999999995</c:v>
                </c:pt>
                <c:pt idx="153">
                  <c:v>0.68186000000000002</c:v>
                </c:pt>
                <c:pt idx="154">
                  <c:v>0.68025999999999998</c:v>
                </c:pt>
                <c:pt idx="155">
                  <c:v>0.67878000000000005</c:v>
                </c:pt>
                <c:pt idx="156">
                  <c:v>0.67710000000000004</c:v>
                </c:pt>
                <c:pt idx="157">
                  <c:v>0.67562</c:v>
                </c:pt>
                <c:pt idx="158">
                  <c:v>0.67432000000000003</c:v>
                </c:pt>
                <c:pt idx="159">
                  <c:v>0.67293999999999998</c:v>
                </c:pt>
                <c:pt idx="160">
                  <c:v>0.67171999999999998</c:v>
                </c:pt>
                <c:pt idx="161">
                  <c:v>0.67068000000000005</c:v>
                </c:pt>
                <c:pt idx="162">
                  <c:v>0.66956000000000004</c:v>
                </c:pt>
                <c:pt idx="163">
                  <c:v>0.66854000000000002</c:v>
                </c:pt>
                <c:pt idx="164">
                  <c:v>0.66769999999999996</c:v>
                </c:pt>
                <c:pt idx="165">
                  <c:v>0.66690000000000005</c:v>
                </c:pt>
                <c:pt idx="166">
                  <c:v>0.66622000000000003</c:v>
                </c:pt>
                <c:pt idx="167">
                  <c:v>0.66571999999999998</c:v>
                </c:pt>
                <c:pt idx="168">
                  <c:v>0.66532000000000002</c:v>
                </c:pt>
                <c:pt idx="169">
                  <c:v>0.66513999999999995</c:v>
                </c:pt>
                <c:pt idx="170">
                  <c:v>0.66479999999999995</c:v>
                </c:pt>
                <c:pt idx="171">
                  <c:v>0.66464000000000001</c:v>
                </c:pt>
                <c:pt idx="172">
                  <c:v>0.66456000000000004</c:v>
                </c:pt>
                <c:pt idx="173">
                  <c:v>0.66439999999999999</c:v>
                </c:pt>
                <c:pt idx="174">
                  <c:v>0.66442000000000001</c:v>
                </c:pt>
                <c:pt idx="175">
                  <c:v>0.66452</c:v>
                </c:pt>
                <c:pt idx="176">
                  <c:v>0.66434000000000004</c:v>
                </c:pt>
                <c:pt idx="177">
                  <c:v>0.66474</c:v>
                </c:pt>
                <c:pt idx="178">
                  <c:v>0.66486000000000001</c:v>
                </c:pt>
                <c:pt idx="179">
                  <c:v>0.66486000000000001</c:v>
                </c:pt>
                <c:pt idx="180">
                  <c:v>0.66481999999999997</c:v>
                </c:pt>
                <c:pt idx="181">
                  <c:v>0.66498000000000002</c:v>
                </c:pt>
                <c:pt idx="182">
                  <c:v>0.66491999999999996</c:v>
                </c:pt>
                <c:pt idx="183">
                  <c:v>0.66479999999999995</c:v>
                </c:pt>
                <c:pt idx="184">
                  <c:v>0.66479999999999995</c:v>
                </c:pt>
                <c:pt idx="185">
                  <c:v>0.66476000000000002</c:v>
                </c:pt>
                <c:pt idx="186">
                  <c:v>0.66456000000000004</c:v>
                </c:pt>
                <c:pt idx="187">
                  <c:v>0.66424000000000005</c:v>
                </c:pt>
                <c:pt idx="188">
                  <c:v>0.66452</c:v>
                </c:pt>
                <c:pt idx="189">
                  <c:v>0.66439999999999999</c:v>
                </c:pt>
                <c:pt idx="190">
                  <c:v>0.66422000000000003</c:v>
                </c:pt>
                <c:pt idx="191">
                  <c:v>0.66400000000000003</c:v>
                </c:pt>
                <c:pt idx="192">
                  <c:v>0.66383999999999999</c:v>
                </c:pt>
                <c:pt idx="193">
                  <c:v>0.66357999999999995</c:v>
                </c:pt>
                <c:pt idx="194">
                  <c:v>0.66342000000000001</c:v>
                </c:pt>
                <c:pt idx="195">
                  <c:v>0.66320000000000001</c:v>
                </c:pt>
                <c:pt idx="196">
                  <c:v>0.66308</c:v>
                </c:pt>
                <c:pt idx="197">
                  <c:v>0.66271999999999998</c:v>
                </c:pt>
                <c:pt idx="198">
                  <c:v>0.66237999999999997</c:v>
                </c:pt>
                <c:pt idx="199">
                  <c:v>0.66220000000000001</c:v>
                </c:pt>
                <c:pt idx="200">
                  <c:v>0.66191999999999995</c:v>
                </c:pt>
                <c:pt idx="201">
                  <c:v>0.66190000000000004</c:v>
                </c:pt>
                <c:pt idx="202">
                  <c:v>0.66191999999999995</c:v>
                </c:pt>
                <c:pt idx="203">
                  <c:v>0.66202000000000005</c:v>
                </c:pt>
                <c:pt idx="204">
                  <c:v>0.66259999999999997</c:v>
                </c:pt>
                <c:pt idx="205">
                  <c:v>0.66305999999999998</c:v>
                </c:pt>
                <c:pt idx="206">
                  <c:v>0.66371999999999998</c:v>
                </c:pt>
                <c:pt idx="207">
                  <c:v>0.66447999999999996</c:v>
                </c:pt>
                <c:pt idx="208">
                  <c:v>0.66556000000000004</c:v>
                </c:pt>
                <c:pt idx="209">
                  <c:v>0.66674</c:v>
                </c:pt>
                <c:pt idx="210">
                  <c:v>0.66818</c:v>
                </c:pt>
                <c:pt idx="211">
                  <c:v>0.66991999999999996</c:v>
                </c:pt>
                <c:pt idx="212">
                  <c:v>0.67178000000000004</c:v>
                </c:pt>
                <c:pt idx="213">
                  <c:v>0.67388000000000003</c:v>
                </c:pt>
                <c:pt idx="214">
                  <c:v>0.67613999999999996</c:v>
                </c:pt>
                <c:pt idx="215">
                  <c:v>0.67871999999999999</c:v>
                </c:pt>
                <c:pt idx="216">
                  <c:v>0.68154000000000003</c:v>
                </c:pt>
                <c:pt idx="217">
                  <c:v>0.68457999999999997</c:v>
                </c:pt>
                <c:pt idx="218">
                  <c:v>0.68767999999999996</c:v>
                </c:pt>
                <c:pt idx="219">
                  <c:v>0.69067999999999996</c:v>
                </c:pt>
                <c:pt idx="220">
                  <c:v>0.69410000000000005</c:v>
                </c:pt>
                <c:pt idx="221">
                  <c:v>0.69718000000000002</c:v>
                </c:pt>
                <c:pt idx="222">
                  <c:v>0.70043999999999995</c:v>
                </c:pt>
                <c:pt idx="223">
                  <c:v>0.70408000000000004</c:v>
                </c:pt>
                <c:pt idx="224">
                  <c:v>0.70752000000000004</c:v>
                </c:pt>
                <c:pt idx="225">
                  <c:v>0.71082000000000001</c:v>
                </c:pt>
                <c:pt idx="226">
                  <c:v>0.71426000000000001</c:v>
                </c:pt>
                <c:pt idx="227">
                  <c:v>0.71740000000000004</c:v>
                </c:pt>
                <c:pt idx="228">
                  <c:v>0.72011999999999998</c:v>
                </c:pt>
                <c:pt idx="229">
                  <c:v>0.72265999999999997</c:v>
                </c:pt>
                <c:pt idx="230">
                  <c:v>0.72509999999999997</c:v>
                </c:pt>
                <c:pt idx="231">
                  <c:v>0.72731999999999997</c:v>
                </c:pt>
                <c:pt idx="232">
                  <c:v>0.72904000000000002</c:v>
                </c:pt>
                <c:pt idx="233">
                  <c:v>0.73033999999999999</c:v>
                </c:pt>
                <c:pt idx="234">
                  <c:v>0.73129999999999995</c:v>
                </c:pt>
                <c:pt idx="235">
                  <c:v>0.73175999999999997</c:v>
                </c:pt>
                <c:pt idx="236">
                  <c:v>0.73177999999999999</c:v>
                </c:pt>
                <c:pt idx="237">
                  <c:v>0.73131999999999997</c:v>
                </c:pt>
                <c:pt idx="238">
                  <c:v>0.73050000000000004</c:v>
                </c:pt>
                <c:pt idx="239">
                  <c:v>0.72916000000000003</c:v>
                </c:pt>
                <c:pt idx="240">
                  <c:v>0.72702</c:v>
                </c:pt>
                <c:pt idx="241">
                  <c:v>0.7248</c:v>
                </c:pt>
                <c:pt idx="242">
                  <c:v>0.72219999999999995</c:v>
                </c:pt>
                <c:pt idx="243">
                  <c:v>0.71914</c:v>
                </c:pt>
                <c:pt idx="244">
                  <c:v>0.71582000000000001</c:v>
                </c:pt>
                <c:pt idx="245">
                  <c:v>0.71250000000000002</c:v>
                </c:pt>
                <c:pt idx="246">
                  <c:v>0.70901999999999998</c:v>
                </c:pt>
                <c:pt idx="247">
                  <c:v>0.70553999999999994</c:v>
                </c:pt>
                <c:pt idx="248">
                  <c:v>0.70201999999999998</c:v>
                </c:pt>
                <c:pt idx="249">
                  <c:v>0.69854000000000005</c:v>
                </c:pt>
                <c:pt idx="250">
                  <c:v>0.69481999999999999</c:v>
                </c:pt>
                <c:pt idx="251">
                  <c:v>0.69166000000000005</c:v>
                </c:pt>
                <c:pt idx="252">
                  <c:v>0.68825999999999998</c:v>
                </c:pt>
                <c:pt idx="253">
                  <c:v>0.68506</c:v>
                </c:pt>
                <c:pt idx="254">
                  <c:v>0.68188000000000004</c:v>
                </c:pt>
                <c:pt idx="255">
                  <c:v>0.67920000000000003</c:v>
                </c:pt>
                <c:pt idx="256">
                  <c:v>0.67681999999999998</c:v>
                </c:pt>
                <c:pt idx="257">
                  <c:v>0.67444000000000004</c:v>
                </c:pt>
                <c:pt idx="258">
                  <c:v>0.67252000000000001</c:v>
                </c:pt>
                <c:pt idx="259">
                  <c:v>0.67113999999999996</c:v>
                </c:pt>
                <c:pt idx="260">
                  <c:v>0.67015999999999998</c:v>
                </c:pt>
                <c:pt idx="261">
                  <c:v>0.66991999999999996</c:v>
                </c:pt>
                <c:pt idx="262">
                  <c:v>0.67013999999999996</c:v>
                </c:pt>
                <c:pt idx="263">
                  <c:v>0.67108000000000001</c:v>
                </c:pt>
                <c:pt idx="264">
                  <c:v>0.67252000000000001</c:v>
                </c:pt>
                <c:pt idx="265">
                  <c:v>0.67474000000000001</c:v>
                </c:pt>
                <c:pt idx="266">
                  <c:v>0.67756000000000005</c:v>
                </c:pt>
                <c:pt idx="267">
                  <c:v>0.68084</c:v>
                </c:pt>
                <c:pt idx="268">
                  <c:v>0.68413999999999997</c:v>
                </c:pt>
                <c:pt idx="269">
                  <c:v>0.68791999999999998</c:v>
                </c:pt>
                <c:pt idx="270">
                  <c:v>0.69162000000000001</c:v>
                </c:pt>
                <c:pt idx="271">
                  <c:v>0.69555999999999996</c:v>
                </c:pt>
                <c:pt idx="272">
                  <c:v>0.69945999999999997</c:v>
                </c:pt>
                <c:pt idx="273">
                  <c:v>0.70321999999999996</c:v>
                </c:pt>
                <c:pt idx="274">
                  <c:v>0.70689999999999997</c:v>
                </c:pt>
                <c:pt idx="275">
                  <c:v>0.71064000000000005</c:v>
                </c:pt>
                <c:pt idx="276">
                  <c:v>0.7147</c:v>
                </c:pt>
                <c:pt idx="277">
                  <c:v>0.71882000000000001</c:v>
                </c:pt>
                <c:pt idx="278">
                  <c:v>0.72296000000000005</c:v>
                </c:pt>
                <c:pt idx="279">
                  <c:v>0.72674000000000005</c:v>
                </c:pt>
                <c:pt idx="280">
                  <c:v>0.72992000000000001</c:v>
                </c:pt>
                <c:pt idx="281">
                  <c:v>0.73233999999999999</c:v>
                </c:pt>
                <c:pt idx="282">
                  <c:v>0.73341999999999996</c:v>
                </c:pt>
                <c:pt idx="283">
                  <c:v>0.73316000000000003</c:v>
                </c:pt>
                <c:pt idx="284">
                  <c:v>0.73155999999999999</c:v>
                </c:pt>
                <c:pt idx="285">
                  <c:v>0.72848000000000002</c:v>
                </c:pt>
                <c:pt idx="286">
                  <c:v>0.72441999999999995</c:v>
                </c:pt>
                <c:pt idx="287">
                  <c:v>0.71884000000000003</c:v>
                </c:pt>
                <c:pt idx="288">
                  <c:v>0.71233999999999997</c:v>
                </c:pt>
                <c:pt idx="289">
                  <c:v>0.70504</c:v>
                </c:pt>
                <c:pt idx="290">
                  <c:v>0.69730000000000003</c:v>
                </c:pt>
                <c:pt idx="291">
                  <c:v>0.68876000000000004</c:v>
                </c:pt>
                <c:pt idx="292">
                  <c:v>0.68059999999999998</c:v>
                </c:pt>
                <c:pt idx="293">
                  <c:v>0.67234000000000005</c:v>
                </c:pt>
                <c:pt idx="294">
                  <c:v>0.66347999999999996</c:v>
                </c:pt>
                <c:pt idx="295">
                  <c:v>0.65573999999999999</c:v>
                </c:pt>
                <c:pt idx="296">
                  <c:v>0.64792000000000005</c:v>
                </c:pt>
                <c:pt idx="297">
                  <c:v>0.64054</c:v>
                </c:pt>
                <c:pt idx="298">
                  <c:v>0.63346000000000002</c:v>
                </c:pt>
                <c:pt idx="299">
                  <c:v>0.62702000000000002</c:v>
                </c:pt>
                <c:pt idx="300">
                  <c:v>0.62083999999999995</c:v>
                </c:pt>
                <c:pt idx="301">
                  <c:v>0.61526000000000003</c:v>
                </c:pt>
                <c:pt idx="302">
                  <c:v>0.61009999999999998</c:v>
                </c:pt>
                <c:pt idx="303">
                  <c:v>0.60543999999999998</c:v>
                </c:pt>
                <c:pt idx="304">
                  <c:v>0.60097999999999996</c:v>
                </c:pt>
                <c:pt idx="305">
                  <c:v>0.59662000000000004</c:v>
                </c:pt>
                <c:pt idx="306">
                  <c:v>0.59262000000000004</c:v>
                </c:pt>
                <c:pt idx="307">
                  <c:v>0.58896000000000004</c:v>
                </c:pt>
                <c:pt idx="308">
                  <c:v>0.58552000000000004</c:v>
                </c:pt>
                <c:pt idx="309">
                  <c:v>0.58206000000000002</c:v>
                </c:pt>
                <c:pt idx="310">
                  <c:v>0.57891999999999999</c:v>
                </c:pt>
                <c:pt idx="311">
                  <c:v>0.57591999999999999</c:v>
                </c:pt>
                <c:pt idx="312">
                  <c:v>0.57316</c:v>
                </c:pt>
                <c:pt idx="313">
                  <c:v>0.57038</c:v>
                </c:pt>
                <c:pt idx="314">
                  <c:v>0.56789999999999996</c:v>
                </c:pt>
                <c:pt idx="315">
                  <c:v>0.56545999999999996</c:v>
                </c:pt>
                <c:pt idx="316">
                  <c:v>0.56303999999999998</c:v>
                </c:pt>
                <c:pt idx="317">
                  <c:v>0.56079999999999997</c:v>
                </c:pt>
                <c:pt idx="318">
                  <c:v>0.55862000000000001</c:v>
                </c:pt>
                <c:pt idx="319">
                  <c:v>0.55652000000000001</c:v>
                </c:pt>
                <c:pt idx="320">
                  <c:v>0.55435999999999996</c:v>
                </c:pt>
                <c:pt idx="321">
                  <c:v>0.55252000000000001</c:v>
                </c:pt>
                <c:pt idx="322">
                  <c:v>0.55067999999999995</c:v>
                </c:pt>
                <c:pt idx="323">
                  <c:v>0.54879999999999995</c:v>
                </c:pt>
                <c:pt idx="324">
                  <c:v>0.54701999999999995</c:v>
                </c:pt>
                <c:pt idx="325">
                  <c:v>0.54527999999999999</c:v>
                </c:pt>
                <c:pt idx="326">
                  <c:v>0.54347999999999996</c:v>
                </c:pt>
                <c:pt idx="327">
                  <c:v>0.54168000000000005</c:v>
                </c:pt>
                <c:pt idx="328">
                  <c:v>0.54005999999999998</c:v>
                </c:pt>
                <c:pt idx="329">
                  <c:v>0.53852</c:v>
                </c:pt>
                <c:pt idx="330">
                  <c:v>0.53708</c:v>
                </c:pt>
                <c:pt idx="331">
                  <c:v>0.53544000000000003</c:v>
                </c:pt>
                <c:pt idx="332">
                  <c:v>0.53393999999999997</c:v>
                </c:pt>
                <c:pt idx="333">
                  <c:v>0.53254000000000001</c:v>
                </c:pt>
                <c:pt idx="334">
                  <c:v>0.53105999999999998</c:v>
                </c:pt>
                <c:pt idx="335">
                  <c:v>0.52966000000000002</c:v>
                </c:pt>
                <c:pt idx="336">
                  <c:v>0.52798</c:v>
                </c:pt>
                <c:pt idx="337">
                  <c:v>0.52658000000000005</c:v>
                </c:pt>
                <c:pt idx="338">
                  <c:v>0.52507999999999999</c:v>
                </c:pt>
                <c:pt idx="339">
                  <c:v>0.52378000000000002</c:v>
                </c:pt>
                <c:pt idx="340">
                  <c:v>0.52244000000000002</c:v>
                </c:pt>
                <c:pt idx="341">
                  <c:v>0.52095999999999998</c:v>
                </c:pt>
                <c:pt idx="342">
                  <c:v>0.51939999999999997</c:v>
                </c:pt>
                <c:pt idx="343">
                  <c:v>0.51817999999999997</c:v>
                </c:pt>
                <c:pt idx="344">
                  <c:v>0.51693999999999996</c:v>
                </c:pt>
                <c:pt idx="345">
                  <c:v>0.51559999999999995</c:v>
                </c:pt>
                <c:pt idx="346">
                  <c:v>0.51439999999999997</c:v>
                </c:pt>
                <c:pt idx="347">
                  <c:v>0.51304000000000005</c:v>
                </c:pt>
                <c:pt idx="348">
                  <c:v>0.51173999999999997</c:v>
                </c:pt>
                <c:pt idx="349">
                  <c:v>0.51044</c:v>
                </c:pt>
                <c:pt idx="350">
                  <c:v>0.50924000000000003</c:v>
                </c:pt>
                <c:pt idx="351">
                  <c:v>0.50788</c:v>
                </c:pt>
                <c:pt idx="352">
                  <c:v>0.50668000000000002</c:v>
                </c:pt>
                <c:pt idx="353">
                  <c:v>0.50556000000000001</c:v>
                </c:pt>
                <c:pt idx="354">
                  <c:v>0.50441999999999998</c:v>
                </c:pt>
                <c:pt idx="355">
                  <c:v>0.50326000000000004</c:v>
                </c:pt>
                <c:pt idx="356">
                  <c:v>0.50190000000000001</c:v>
                </c:pt>
                <c:pt idx="357">
                  <c:v>0.50082000000000004</c:v>
                </c:pt>
                <c:pt idx="358">
                  <c:v>0.49958000000000002</c:v>
                </c:pt>
                <c:pt idx="359">
                  <c:v>0.49837999999999999</c:v>
                </c:pt>
                <c:pt idx="360">
                  <c:v>0.49731999999999998</c:v>
                </c:pt>
                <c:pt idx="361">
                  <c:v>0.49634</c:v>
                </c:pt>
                <c:pt idx="362">
                  <c:v>0.49514000000000002</c:v>
                </c:pt>
                <c:pt idx="363">
                  <c:v>0.49408000000000002</c:v>
                </c:pt>
                <c:pt idx="364">
                  <c:v>0.49281999999999998</c:v>
                </c:pt>
                <c:pt idx="365">
                  <c:v>0.49165999999999999</c:v>
                </c:pt>
                <c:pt idx="366">
                  <c:v>0.49049999999999999</c:v>
                </c:pt>
                <c:pt idx="367">
                  <c:v>0.48921999999999999</c:v>
                </c:pt>
                <c:pt idx="368">
                  <c:v>0.48815999999999998</c:v>
                </c:pt>
                <c:pt idx="369">
                  <c:v>0.48712</c:v>
                </c:pt>
                <c:pt idx="370">
                  <c:v>0.48602000000000001</c:v>
                </c:pt>
                <c:pt idx="371">
                  <c:v>0.48496</c:v>
                </c:pt>
                <c:pt idx="372">
                  <c:v>0.48392000000000002</c:v>
                </c:pt>
                <c:pt idx="373">
                  <c:v>0.48276000000000002</c:v>
                </c:pt>
                <c:pt idx="374">
                  <c:v>0.48176000000000002</c:v>
                </c:pt>
                <c:pt idx="375">
                  <c:v>0.48068</c:v>
                </c:pt>
                <c:pt idx="376">
                  <c:v>0.47958000000000001</c:v>
                </c:pt>
                <c:pt idx="377">
                  <c:v>0.47860000000000003</c:v>
                </c:pt>
                <c:pt idx="378">
                  <c:v>0.47770000000000001</c:v>
                </c:pt>
                <c:pt idx="379">
                  <c:v>0.47660000000000002</c:v>
                </c:pt>
                <c:pt idx="380">
                  <c:v>0.47558</c:v>
                </c:pt>
                <c:pt idx="381">
                  <c:v>0.47442000000000001</c:v>
                </c:pt>
                <c:pt idx="382">
                  <c:v>0.47366000000000003</c:v>
                </c:pt>
                <c:pt idx="383">
                  <c:v>0.47271999999999997</c:v>
                </c:pt>
                <c:pt idx="384">
                  <c:v>0.47158</c:v>
                </c:pt>
                <c:pt idx="385">
                  <c:v>0.47039999999999998</c:v>
                </c:pt>
                <c:pt idx="386">
                  <c:v>0.46954000000000001</c:v>
                </c:pt>
                <c:pt idx="387">
                  <c:v>0.46832000000000001</c:v>
                </c:pt>
                <c:pt idx="388">
                  <c:v>0.46738000000000002</c:v>
                </c:pt>
                <c:pt idx="389">
                  <c:v>0.46639999999999998</c:v>
                </c:pt>
                <c:pt idx="390">
                  <c:v>0.46551999999999999</c:v>
                </c:pt>
                <c:pt idx="391">
                  <c:v>0.46435999999999999</c:v>
                </c:pt>
                <c:pt idx="392">
                  <c:v>0.46339999999999998</c:v>
                </c:pt>
                <c:pt idx="393">
                  <c:v>0.46250000000000002</c:v>
                </c:pt>
                <c:pt idx="394">
                  <c:v>0.46142</c:v>
                </c:pt>
                <c:pt idx="395">
                  <c:v>0.46042</c:v>
                </c:pt>
                <c:pt idx="396">
                  <c:v>0.45948</c:v>
                </c:pt>
                <c:pt idx="397">
                  <c:v>0.45838000000000001</c:v>
                </c:pt>
                <c:pt idx="398">
                  <c:v>0.45735999999999999</c:v>
                </c:pt>
                <c:pt idx="399">
                  <c:v>0.45645999999999998</c:v>
                </c:pt>
                <c:pt idx="400">
                  <c:v>0.45562000000000002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E6-408E-80C6-9165C6BD0725}"/>
            </c:ext>
          </c:extLst>
        </c:ser>
        <c:ser>
          <c:idx val="2"/>
          <c:order val="2"/>
          <c:tx>
            <c:strRef>
              <c:f>'Pig graph '!$W$1</c:f>
              <c:strCache>
                <c:ptCount val="1"/>
                <c:pt idx="0">
                  <c:v>s3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'!$W$2:$W$402</c:f>
              <c:numCache>
                <c:formatCode>General</c:formatCode>
                <c:ptCount val="401"/>
                <c:pt idx="0">
                  <c:v>1.3527199999999999</c:v>
                </c:pt>
                <c:pt idx="1">
                  <c:v>1.3540399999999999</c:v>
                </c:pt>
                <c:pt idx="2">
                  <c:v>1.3556600000000001</c:v>
                </c:pt>
                <c:pt idx="3">
                  <c:v>1.35822</c:v>
                </c:pt>
                <c:pt idx="4">
                  <c:v>1.36002</c:v>
                </c:pt>
                <c:pt idx="5">
                  <c:v>1.3631</c:v>
                </c:pt>
                <c:pt idx="6">
                  <c:v>1.3670599999999999</c:v>
                </c:pt>
                <c:pt idx="7">
                  <c:v>1.3709800000000001</c:v>
                </c:pt>
                <c:pt idx="8">
                  <c:v>1.37592</c:v>
                </c:pt>
                <c:pt idx="9">
                  <c:v>1.3808800000000001</c:v>
                </c:pt>
                <c:pt idx="10">
                  <c:v>1.3866000000000001</c:v>
                </c:pt>
                <c:pt idx="11">
                  <c:v>1.3918999999999999</c:v>
                </c:pt>
                <c:pt idx="12">
                  <c:v>1.3976200000000001</c:v>
                </c:pt>
                <c:pt idx="13">
                  <c:v>1.4031400000000001</c:v>
                </c:pt>
                <c:pt idx="14">
                  <c:v>1.4091800000000001</c:v>
                </c:pt>
                <c:pt idx="15">
                  <c:v>1.4146799999999999</c:v>
                </c:pt>
                <c:pt idx="16">
                  <c:v>1.4198999999999999</c:v>
                </c:pt>
                <c:pt idx="17">
                  <c:v>1.4262999999999999</c:v>
                </c:pt>
                <c:pt idx="18">
                  <c:v>1.4311</c:v>
                </c:pt>
                <c:pt idx="19">
                  <c:v>1.43506</c:v>
                </c:pt>
                <c:pt idx="20">
                  <c:v>1.4389000000000001</c:v>
                </c:pt>
                <c:pt idx="21">
                  <c:v>1.4418</c:v>
                </c:pt>
                <c:pt idx="22">
                  <c:v>1.44608</c:v>
                </c:pt>
                <c:pt idx="23">
                  <c:v>1.4488000000000001</c:v>
                </c:pt>
                <c:pt idx="24">
                  <c:v>1.4518800000000001</c:v>
                </c:pt>
                <c:pt idx="25">
                  <c:v>1.45496</c:v>
                </c:pt>
                <c:pt idx="26">
                  <c:v>1.4581599999999999</c:v>
                </c:pt>
                <c:pt idx="27">
                  <c:v>1.4613400000000001</c:v>
                </c:pt>
                <c:pt idx="28">
                  <c:v>1.46566</c:v>
                </c:pt>
                <c:pt idx="29">
                  <c:v>1.4707399999999999</c:v>
                </c:pt>
                <c:pt idx="30">
                  <c:v>1.4758</c:v>
                </c:pt>
                <c:pt idx="31">
                  <c:v>1.4818199999999999</c:v>
                </c:pt>
                <c:pt idx="32">
                  <c:v>1.48892</c:v>
                </c:pt>
                <c:pt idx="33">
                  <c:v>1.4946600000000001</c:v>
                </c:pt>
                <c:pt idx="34">
                  <c:v>1.5020199999999999</c:v>
                </c:pt>
                <c:pt idx="35">
                  <c:v>1.5093000000000001</c:v>
                </c:pt>
                <c:pt idx="36">
                  <c:v>1.5163599999999999</c:v>
                </c:pt>
                <c:pt idx="37">
                  <c:v>1.52308</c:v>
                </c:pt>
                <c:pt idx="38">
                  <c:v>1.5287999999999999</c:v>
                </c:pt>
                <c:pt idx="39">
                  <c:v>1.5338400000000001</c:v>
                </c:pt>
                <c:pt idx="40">
                  <c:v>1.53796</c:v>
                </c:pt>
                <c:pt idx="41">
                  <c:v>1.5410200000000001</c:v>
                </c:pt>
                <c:pt idx="42">
                  <c:v>1.54226</c:v>
                </c:pt>
                <c:pt idx="43">
                  <c:v>1.5420799999999999</c:v>
                </c:pt>
                <c:pt idx="44">
                  <c:v>1.5402800000000001</c:v>
                </c:pt>
                <c:pt idx="45">
                  <c:v>1.5359400000000001</c:v>
                </c:pt>
                <c:pt idx="46">
                  <c:v>1.5309200000000001</c:v>
                </c:pt>
                <c:pt idx="47">
                  <c:v>1.5240199999999999</c:v>
                </c:pt>
                <c:pt idx="48">
                  <c:v>1.5159</c:v>
                </c:pt>
                <c:pt idx="49">
                  <c:v>1.5067999999999999</c:v>
                </c:pt>
                <c:pt idx="50">
                  <c:v>1.49708</c:v>
                </c:pt>
                <c:pt idx="51">
                  <c:v>1.4869600000000001</c:v>
                </c:pt>
                <c:pt idx="52">
                  <c:v>1.47736</c:v>
                </c:pt>
                <c:pt idx="53">
                  <c:v>1.46862</c:v>
                </c:pt>
                <c:pt idx="54">
                  <c:v>1.46018</c:v>
                </c:pt>
                <c:pt idx="55">
                  <c:v>1.4526600000000001</c:v>
                </c:pt>
                <c:pt idx="56">
                  <c:v>1.44482</c:v>
                </c:pt>
                <c:pt idx="57">
                  <c:v>1.4384999999999999</c:v>
                </c:pt>
                <c:pt idx="58">
                  <c:v>1.43316</c:v>
                </c:pt>
                <c:pt idx="59">
                  <c:v>1.42858</c:v>
                </c:pt>
                <c:pt idx="60">
                  <c:v>1.42374</c:v>
                </c:pt>
                <c:pt idx="61">
                  <c:v>1.4198</c:v>
                </c:pt>
                <c:pt idx="62">
                  <c:v>1.4161999999999999</c:v>
                </c:pt>
                <c:pt idx="63">
                  <c:v>1.41238</c:v>
                </c:pt>
                <c:pt idx="64">
                  <c:v>1.40842</c:v>
                </c:pt>
                <c:pt idx="65">
                  <c:v>1.40472</c:v>
                </c:pt>
                <c:pt idx="66">
                  <c:v>1.401</c:v>
                </c:pt>
                <c:pt idx="67">
                  <c:v>1.39744</c:v>
                </c:pt>
                <c:pt idx="68">
                  <c:v>1.3931</c:v>
                </c:pt>
                <c:pt idx="69">
                  <c:v>1.38906</c:v>
                </c:pt>
                <c:pt idx="70">
                  <c:v>1.3852800000000001</c:v>
                </c:pt>
                <c:pt idx="71">
                  <c:v>1.38086</c:v>
                </c:pt>
                <c:pt idx="72">
                  <c:v>1.3766400000000001</c:v>
                </c:pt>
                <c:pt idx="73">
                  <c:v>1.37252</c:v>
                </c:pt>
                <c:pt idx="74">
                  <c:v>1.3683799999999999</c:v>
                </c:pt>
                <c:pt idx="75">
                  <c:v>1.36432</c:v>
                </c:pt>
                <c:pt idx="76">
                  <c:v>1.36042</c:v>
                </c:pt>
                <c:pt idx="77">
                  <c:v>1.3564799999999999</c:v>
                </c:pt>
                <c:pt idx="78">
                  <c:v>1.35236</c:v>
                </c:pt>
                <c:pt idx="79">
                  <c:v>1.3491</c:v>
                </c:pt>
                <c:pt idx="80">
                  <c:v>1.3455600000000001</c:v>
                </c:pt>
                <c:pt idx="81">
                  <c:v>1.3426800000000001</c:v>
                </c:pt>
                <c:pt idx="82">
                  <c:v>1.3395600000000001</c:v>
                </c:pt>
                <c:pt idx="83">
                  <c:v>1.3376399999999999</c:v>
                </c:pt>
                <c:pt idx="84">
                  <c:v>1.3355399999999999</c:v>
                </c:pt>
                <c:pt idx="85">
                  <c:v>1.3335600000000001</c:v>
                </c:pt>
                <c:pt idx="86">
                  <c:v>1.3322799999999999</c:v>
                </c:pt>
                <c:pt idx="87">
                  <c:v>1.3302400000000001</c:v>
                </c:pt>
                <c:pt idx="88">
                  <c:v>1.3292200000000001</c:v>
                </c:pt>
                <c:pt idx="89">
                  <c:v>1.32786</c:v>
                </c:pt>
                <c:pt idx="90">
                  <c:v>1.32684</c:v>
                </c:pt>
                <c:pt idx="91">
                  <c:v>1.3257399999999999</c:v>
                </c:pt>
                <c:pt idx="92">
                  <c:v>1.3243799999999999</c:v>
                </c:pt>
                <c:pt idx="93">
                  <c:v>1.3230599999999999</c:v>
                </c:pt>
                <c:pt idx="94">
                  <c:v>1.3214399999999999</c:v>
                </c:pt>
                <c:pt idx="95">
                  <c:v>1.31968</c:v>
                </c:pt>
                <c:pt idx="96">
                  <c:v>1.3172600000000001</c:v>
                </c:pt>
                <c:pt idx="97">
                  <c:v>1.3146599999999999</c:v>
                </c:pt>
                <c:pt idx="98">
                  <c:v>1.31226</c:v>
                </c:pt>
                <c:pt idx="99">
                  <c:v>1.3087200000000001</c:v>
                </c:pt>
                <c:pt idx="100">
                  <c:v>1.3053600000000001</c:v>
                </c:pt>
                <c:pt idx="101">
                  <c:v>1.30192</c:v>
                </c:pt>
                <c:pt idx="102">
                  <c:v>1.2980400000000001</c:v>
                </c:pt>
                <c:pt idx="103">
                  <c:v>1.2934600000000001</c:v>
                </c:pt>
                <c:pt idx="104">
                  <c:v>1.28884</c:v>
                </c:pt>
                <c:pt idx="105">
                  <c:v>1.28382</c:v>
                </c:pt>
                <c:pt idx="106">
                  <c:v>1.27844</c:v>
                </c:pt>
                <c:pt idx="107">
                  <c:v>1.27294</c:v>
                </c:pt>
                <c:pt idx="108">
                  <c:v>1.26746</c:v>
                </c:pt>
                <c:pt idx="109">
                  <c:v>1.26132</c:v>
                </c:pt>
                <c:pt idx="110">
                  <c:v>1.2551600000000001</c:v>
                </c:pt>
                <c:pt idx="111">
                  <c:v>1.24888</c:v>
                </c:pt>
                <c:pt idx="112">
                  <c:v>1.2428600000000001</c:v>
                </c:pt>
                <c:pt idx="113">
                  <c:v>1.2362</c:v>
                </c:pt>
                <c:pt idx="114">
                  <c:v>1.2297</c:v>
                </c:pt>
                <c:pt idx="115">
                  <c:v>1.2232000000000001</c:v>
                </c:pt>
                <c:pt idx="116">
                  <c:v>1.21662</c:v>
                </c:pt>
                <c:pt idx="117">
                  <c:v>1.20974</c:v>
                </c:pt>
                <c:pt idx="118">
                  <c:v>1.20322</c:v>
                </c:pt>
                <c:pt idx="119">
                  <c:v>1.1966600000000001</c:v>
                </c:pt>
                <c:pt idx="120">
                  <c:v>1.1897599999999999</c:v>
                </c:pt>
                <c:pt idx="121">
                  <c:v>1.1836199999999999</c:v>
                </c:pt>
                <c:pt idx="122">
                  <c:v>1.1769799999999999</c:v>
                </c:pt>
                <c:pt idx="123">
                  <c:v>1.1711400000000001</c:v>
                </c:pt>
                <c:pt idx="124">
                  <c:v>1.1646799999999999</c:v>
                </c:pt>
                <c:pt idx="125">
                  <c:v>1.1591199999999999</c:v>
                </c:pt>
                <c:pt idx="126">
                  <c:v>1.15296</c:v>
                </c:pt>
                <c:pt idx="127">
                  <c:v>1.1474</c:v>
                </c:pt>
                <c:pt idx="128">
                  <c:v>1.14188</c:v>
                </c:pt>
                <c:pt idx="129">
                  <c:v>1.13574</c:v>
                </c:pt>
                <c:pt idx="130">
                  <c:v>1.13018</c:v>
                </c:pt>
                <c:pt idx="131">
                  <c:v>1.1248400000000001</c:v>
                </c:pt>
                <c:pt idx="132">
                  <c:v>1.12026</c:v>
                </c:pt>
                <c:pt idx="133">
                  <c:v>1.11496</c:v>
                </c:pt>
                <c:pt idx="134">
                  <c:v>1.1100399999999999</c:v>
                </c:pt>
                <c:pt idx="135">
                  <c:v>1.1050800000000001</c:v>
                </c:pt>
                <c:pt idx="136">
                  <c:v>1.1002799999999999</c:v>
                </c:pt>
                <c:pt idx="137">
                  <c:v>1.09476</c:v>
                </c:pt>
                <c:pt idx="138">
                  <c:v>1.0903400000000001</c:v>
                </c:pt>
                <c:pt idx="139">
                  <c:v>1.08636</c:v>
                </c:pt>
                <c:pt idx="140">
                  <c:v>1.0819399999999999</c:v>
                </c:pt>
                <c:pt idx="141">
                  <c:v>1.0781799999999999</c:v>
                </c:pt>
                <c:pt idx="142">
                  <c:v>1.0743199999999999</c:v>
                </c:pt>
                <c:pt idx="143">
                  <c:v>1.07064</c:v>
                </c:pt>
                <c:pt idx="144">
                  <c:v>1.0671999999999999</c:v>
                </c:pt>
                <c:pt idx="145">
                  <c:v>1.0635399999999999</c:v>
                </c:pt>
                <c:pt idx="146">
                  <c:v>1.06036</c:v>
                </c:pt>
                <c:pt idx="147">
                  <c:v>1.05728</c:v>
                </c:pt>
                <c:pt idx="148">
                  <c:v>1.0539799999999999</c:v>
                </c:pt>
                <c:pt idx="149">
                  <c:v>1.0510600000000001</c:v>
                </c:pt>
                <c:pt idx="150">
                  <c:v>1.0481199999999999</c:v>
                </c:pt>
                <c:pt idx="151">
                  <c:v>1.0453399999999999</c:v>
                </c:pt>
                <c:pt idx="152">
                  <c:v>1.04284</c:v>
                </c:pt>
                <c:pt idx="153">
                  <c:v>1.0402800000000001</c:v>
                </c:pt>
                <c:pt idx="154">
                  <c:v>1.0379400000000001</c:v>
                </c:pt>
                <c:pt idx="155">
                  <c:v>1.03582</c:v>
                </c:pt>
                <c:pt idx="156">
                  <c:v>1.0336399999999999</c:v>
                </c:pt>
                <c:pt idx="157">
                  <c:v>1.0316399999999999</c:v>
                </c:pt>
                <c:pt idx="158">
                  <c:v>1.0299400000000001</c:v>
                </c:pt>
                <c:pt idx="159">
                  <c:v>1.0280199999999999</c:v>
                </c:pt>
                <c:pt idx="160">
                  <c:v>1.0264599999999999</c:v>
                </c:pt>
                <c:pt idx="161">
                  <c:v>1.02508</c:v>
                </c:pt>
                <c:pt idx="162">
                  <c:v>1.02356</c:v>
                </c:pt>
                <c:pt idx="163">
                  <c:v>1.0223</c:v>
                </c:pt>
                <c:pt idx="164">
                  <c:v>1.02136</c:v>
                </c:pt>
                <c:pt idx="165">
                  <c:v>1.0206</c:v>
                </c:pt>
                <c:pt idx="166">
                  <c:v>1.01972</c:v>
                </c:pt>
                <c:pt idx="167">
                  <c:v>1.0192600000000001</c:v>
                </c:pt>
                <c:pt idx="168">
                  <c:v>1.0189600000000001</c:v>
                </c:pt>
                <c:pt idx="169">
                  <c:v>1.01868</c:v>
                </c:pt>
                <c:pt idx="170">
                  <c:v>1.01868</c:v>
                </c:pt>
                <c:pt idx="171">
                  <c:v>1.0184599999999999</c:v>
                </c:pt>
                <c:pt idx="172">
                  <c:v>1.0185</c:v>
                </c:pt>
                <c:pt idx="173">
                  <c:v>1.0186999999999999</c:v>
                </c:pt>
                <c:pt idx="174">
                  <c:v>1.0188999999999999</c:v>
                </c:pt>
                <c:pt idx="175">
                  <c:v>1.01932</c:v>
                </c:pt>
                <c:pt idx="176">
                  <c:v>1.0195399999999999</c:v>
                </c:pt>
                <c:pt idx="177">
                  <c:v>1.01996</c:v>
                </c:pt>
                <c:pt idx="178">
                  <c:v>1.0203199999999999</c:v>
                </c:pt>
                <c:pt idx="179">
                  <c:v>1.0206599999999999</c:v>
                </c:pt>
                <c:pt idx="180">
                  <c:v>1.02084</c:v>
                </c:pt>
                <c:pt idx="181">
                  <c:v>1.0212399999999999</c:v>
                </c:pt>
                <c:pt idx="182">
                  <c:v>1.0212399999999999</c:v>
                </c:pt>
                <c:pt idx="183">
                  <c:v>1.02128</c:v>
                </c:pt>
                <c:pt idx="184">
                  <c:v>1.0214000000000001</c:v>
                </c:pt>
                <c:pt idx="185">
                  <c:v>1.02146</c:v>
                </c:pt>
                <c:pt idx="186">
                  <c:v>1.02146</c:v>
                </c:pt>
                <c:pt idx="187">
                  <c:v>1.0215399999999999</c:v>
                </c:pt>
                <c:pt idx="188">
                  <c:v>1.0216000000000001</c:v>
                </c:pt>
                <c:pt idx="189">
                  <c:v>1.0215399999999999</c:v>
                </c:pt>
                <c:pt idx="190">
                  <c:v>1.0213399999999999</c:v>
                </c:pt>
                <c:pt idx="191">
                  <c:v>1.0211399999999999</c:v>
                </c:pt>
                <c:pt idx="192">
                  <c:v>1.02112</c:v>
                </c:pt>
                <c:pt idx="193">
                  <c:v>1.02088</c:v>
                </c:pt>
                <c:pt idx="194">
                  <c:v>1.0206</c:v>
                </c:pt>
                <c:pt idx="195">
                  <c:v>1.0203599999999999</c:v>
                </c:pt>
                <c:pt idx="196">
                  <c:v>1.02024</c:v>
                </c:pt>
                <c:pt idx="197">
                  <c:v>1.01996</c:v>
                </c:pt>
                <c:pt idx="198">
                  <c:v>1.01962</c:v>
                </c:pt>
                <c:pt idx="199">
                  <c:v>1.0196000000000001</c:v>
                </c:pt>
                <c:pt idx="200">
                  <c:v>1.01932</c:v>
                </c:pt>
                <c:pt idx="201">
                  <c:v>1.0194399999999999</c:v>
                </c:pt>
                <c:pt idx="202">
                  <c:v>1.0196799999999999</c:v>
                </c:pt>
                <c:pt idx="203">
                  <c:v>1.0200800000000001</c:v>
                </c:pt>
                <c:pt idx="204">
                  <c:v>1.02094</c:v>
                </c:pt>
                <c:pt idx="205">
                  <c:v>1.02172</c:v>
                </c:pt>
                <c:pt idx="206">
                  <c:v>1.0231600000000001</c:v>
                </c:pt>
                <c:pt idx="207">
                  <c:v>1.0245599999999999</c:v>
                </c:pt>
                <c:pt idx="208">
                  <c:v>1.0262800000000001</c:v>
                </c:pt>
                <c:pt idx="209">
                  <c:v>1.0284199999999999</c:v>
                </c:pt>
                <c:pt idx="210">
                  <c:v>1.0309200000000001</c:v>
                </c:pt>
                <c:pt idx="211">
                  <c:v>1.03382</c:v>
                </c:pt>
                <c:pt idx="212">
                  <c:v>1.03698</c:v>
                </c:pt>
                <c:pt idx="213">
                  <c:v>1.0407200000000001</c:v>
                </c:pt>
                <c:pt idx="214">
                  <c:v>1.0446200000000001</c:v>
                </c:pt>
                <c:pt idx="215">
                  <c:v>1.0486800000000001</c:v>
                </c:pt>
                <c:pt idx="216">
                  <c:v>1.05332</c:v>
                </c:pt>
                <c:pt idx="217">
                  <c:v>1.0584199999999999</c:v>
                </c:pt>
                <c:pt idx="218">
                  <c:v>1.06342</c:v>
                </c:pt>
                <c:pt idx="219">
                  <c:v>1.0684800000000001</c:v>
                </c:pt>
                <c:pt idx="220">
                  <c:v>1.0736600000000001</c:v>
                </c:pt>
                <c:pt idx="221">
                  <c:v>1.0788199999999999</c:v>
                </c:pt>
                <c:pt idx="222">
                  <c:v>1.08422</c:v>
                </c:pt>
                <c:pt idx="223">
                  <c:v>1.08978</c:v>
                </c:pt>
                <c:pt idx="224">
                  <c:v>1.09534</c:v>
                </c:pt>
                <c:pt idx="225">
                  <c:v>1.1007</c:v>
                </c:pt>
                <c:pt idx="226">
                  <c:v>1.10602</c:v>
                </c:pt>
                <c:pt idx="227">
                  <c:v>1.111</c:v>
                </c:pt>
                <c:pt idx="228">
                  <c:v>1.1151800000000001</c:v>
                </c:pt>
                <c:pt idx="229">
                  <c:v>1.11914</c:v>
                </c:pt>
                <c:pt idx="230">
                  <c:v>1.12304</c:v>
                </c:pt>
                <c:pt idx="231">
                  <c:v>1.12616</c:v>
                </c:pt>
                <c:pt idx="232">
                  <c:v>1.1287199999999999</c:v>
                </c:pt>
                <c:pt idx="233">
                  <c:v>1.1306799999999999</c:v>
                </c:pt>
                <c:pt idx="234">
                  <c:v>1.1318999999999999</c:v>
                </c:pt>
                <c:pt idx="235">
                  <c:v>1.13256</c:v>
                </c:pt>
                <c:pt idx="236">
                  <c:v>1.13226</c:v>
                </c:pt>
                <c:pt idx="237">
                  <c:v>1.13134</c:v>
                </c:pt>
                <c:pt idx="238">
                  <c:v>1.12964</c:v>
                </c:pt>
                <c:pt idx="239">
                  <c:v>1.1272800000000001</c:v>
                </c:pt>
                <c:pt idx="240">
                  <c:v>1.1240000000000001</c:v>
                </c:pt>
                <c:pt idx="241">
                  <c:v>1.1200600000000001</c:v>
                </c:pt>
                <c:pt idx="242">
                  <c:v>1.11564</c:v>
                </c:pt>
                <c:pt idx="243">
                  <c:v>1.1105400000000001</c:v>
                </c:pt>
                <c:pt idx="244">
                  <c:v>1.1052</c:v>
                </c:pt>
                <c:pt idx="245">
                  <c:v>1.0995999999999999</c:v>
                </c:pt>
                <c:pt idx="246">
                  <c:v>1.0939000000000001</c:v>
                </c:pt>
                <c:pt idx="247">
                  <c:v>1.0880399999999999</c:v>
                </c:pt>
                <c:pt idx="248">
                  <c:v>1.08236</c:v>
                </c:pt>
                <c:pt idx="249">
                  <c:v>1.07684</c:v>
                </c:pt>
                <c:pt idx="250">
                  <c:v>1.07098</c:v>
                </c:pt>
                <c:pt idx="251">
                  <c:v>1.06552</c:v>
                </c:pt>
                <c:pt idx="252">
                  <c:v>1.0603</c:v>
                </c:pt>
                <c:pt idx="253">
                  <c:v>1.05538</c:v>
                </c:pt>
                <c:pt idx="254">
                  <c:v>1.05044</c:v>
                </c:pt>
                <c:pt idx="255">
                  <c:v>1.0461800000000001</c:v>
                </c:pt>
                <c:pt idx="256">
                  <c:v>1.0423199999999999</c:v>
                </c:pt>
                <c:pt idx="257">
                  <c:v>1.03904</c:v>
                </c:pt>
                <c:pt idx="258">
                  <c:v>1.0362199999999999</c:v>
                </c:pt>
                <c:pt idx="259">
                  <c:v>1.0343</c:v>
                </c:pt>
                <c:pt idx="260">
                  <c:v>1.0332399999999999</c:v>
                </c:pt>
                <c:pt idx="261">
                  <c:v>1.03298</c:v>
                </c:pt>
                <c:pt idx="262">
                  <c:v>1.03382</c:v>
                </c:pt>
                <c:pt idx="263">
                  <c:v>1.0357000000000001</c:v>
                </c:pt>
                <c:pt idx="264">
                  <c:v>1.0387</c:v>
                </c:pt>
                <c:pt idx="265">
                  <c:v>1.0426</c:v>
                </c:pt>
                <c:pt idx="266">
                  <c:v>1.04742</c:v>
                </c:pt>
                <c:pt idx="267">
                  <c:v>1.05308</c:v>
                </c:pt>
                <c:pt idx="268">
                  <c:v>1.0587800000000001</c:v>
                </c:pt>
                <c:pt idx="269">
                  <c:v>1.06494</c:v>
                </c:pt>
                <c:pt idx="270">
                  <c:v>1.0715399999999999</c:v>
                </c:pt>
                <c:pt idx="271">
                  <c:v>1.0781000000000001</c:v>
                </c:pt>
                <c:pt idx="272">
                  <c:v>1.08456</c:v>
                </c:pt>
                <c:pt idx="273">
                  <c:v>1.0907</c:v>
                </c:pt>
                <c:pt idx="274">
                  <c:v>1.0968599999999999</c:v>
                </c:pt>
                <c:pt idx="275">
                  <c:v>1.10294</c:v>
                </c:pt>
                <c:pt idx="276">
                  <c:v>1.1096200000000001</c:v>
                </c:pt>
                <c:pt idx="277">
                  <c:v>1.1164799999999999</c:v>
                </c:pt>
                <c:pt idx="278">
                  <c:v>1.1233200000000001</c:v>
                </c:pt>
                <c:pt idx="279">
                  <c:v>1.1293599999999999</c:v>
                </c:pt>
                <c:pt idx="280">
                  <c:v>1.1345000000000001</c:v>
                </c:pt>
                <c:pt idx="281">
                  <c:v>1.13812</c:v>
                </c:pt>
                <c:pt idx="282">
                  <c:v>1.13984</c:v>
                </c:pt>
                <c:pt idx="283">
                  <c:v>1.1392</c:v>
                </c:pt>
                <c:pt idx="284">
                  <c:v>1.1362000000000001</c:v>
                </c:pt>
                <c:pt idx="285">
                  <c:v>1.1308199999999999</c:v>
                </c:pt>
                <c:pt idx="286">
                  <c:v>1.1237999999999999</c:v>
                </c:pt>
                <c:pt idx="287">
                  <c:v>1.11456</c:v>
                </c:pt>
                <c:pt idx="288">
                  <c:v>1.1037600000000001</c:v>
                </c:pt>
                <c:pt idx="289">
                  <c:v>1.09168</c:v>
                </c:pt>
                <c:pt idx="290">
                  <c:v>1.0788800000000001</c:v>
                </c:pt>
                <c:pt idx="291">
                  <c:v>1.0647800000000001</c:v>
                </c:pt>
                <c:pt idx="292">
                  <c:v>1.0511200000000001</c:v>
                </c:pt>
                <c:pt idx="293">
                  <c:v>1.03766</c:v>
                </c:pt>
                <c:pt idx="294">
                  <c:v>1.0232600000000001</c:v>
                </c:pt>
                <c:pt idx="295">
                  <c:v>1.0103200000000001</c:v>
                </c:pt>
                <c:pt idx="296">
                  <c:v>0.99773999999999996</c:v>
                </c:pt>
                <c:pt idx="297">
                  <c:v>0.98573999999999995</c:v>
                </c:pt>
                <c:pt idx="298">
                  <c:v>0.97445999999999999</c:v>
                </c:pt>
                <c:pt idx="299">
                  <c:v>0.96418000000000004</c:v>
                </c:pt>
                <c:pt idx="300">
                  <c:v>0.95420000000000005</c:v>
                </c:pt>
                <c:pt idx="301">
                  <c:v>0.94525999999999999</c:v>
                </c:pt>
                <c:pt idx="302">
                  <c:v>0.93698000000000004</c:v>
                </c:pt>
                <c:pt idx="303">
                  <c:v>0.92932000000000003</c:v>
                </c:pt>
                <c:pt idx="304">
                  <c:v>0.92218</c:v>
                </c:pt>
                <c:pt idx="305">
                  <c:v>0.91552</c:v>
                </c:pt>
                <c:pt idx="306">
                  <c:v>0.90927999999999998</c:v>
                </c:pt>
                <c:pt idx="307">
                  <c:v>0.90354000000000001</c:v>
                </c:pt>
                <c:pt idx="308">
                  <c:v>0.89802000000000004</c:v>
                </c:pt>
                <c:pt idx="309">
                  <c:v>0.89266000000000001</c:v>
                </c:pt>
                <c:pt idx="310">
                  <c:v>0.88770000000000004</c:v>
                </c:pt>
                <c:pt idx="311">
                  <c:v>0.88314000000000004</c:v>
                </c:pt>
                <c:pt idx="312">
                  <c:v>0.87871999999999995</c:v>
                </c:pt>
                <c:pt idx="313">
                  <c:v>0.87453999999999998</c:v>
                </c:pt>
                <c:pt idx="314">
                  <c:v>0.87070000000000003</c:v>
                </c:pt>
                <c:pt idx="315">
                  <c:v>0.86699999999999999</c:v>
                </c:pt>
                <c:pt idx="316">
                  <c:v>0.86331999999999998</c:v>
                </c:pt>
                <c:pt idx="317">
                  <c:v>0.85985999999999996</c:v>
                </c:pt>
                <c:pt idx="318">
                  <c:v>0.85648000000000002</c:v>
                </c:pt>
                <c:pt idx="319">
                  <c:v>0.85306000000000004</c:v>
                </c:pt>
                <c:pt idx="320">
                  <c:v>0.84985999999999995</c:v>
                </c:pt>
                <c:pt idx="321">
                  <c:v>0.84696000000000005</c:v>
                </c:pt>
                <c:pt idx="322">
                  <c:v>0.84414</c:v>
                </c:pt>
                <c:pt idx="323">
                  <c:v>0.84128000000000003</c:v>
                </c:pt>
                <c:pt idx="324">
                  <c:v>0.83860000000000001</c:v>
                </c:pt>
                <c:pt idx="325">
                  <c:v>0.83565999999999996</c:v>
                </c:pt>
                <c:pt idx="326">
                  <c:v>0.83309999999999995</c:v>
                </c:pt>
                <c:pt idx="327">
                  <c:v>0.83042000000000005</c:v>
                </c:pt>
                <c:pt idx="328">
                  <c:v>0.82787999999999995</c:v>
                </c:pt>
                <c:pt idx="329">
                  <c:v>0.8256</c:v>
                </c:pt>
                <c:pt idx="330">
                  <c:v>0.82323999999999997</c:v>
                </c:pt>
                <c:pt idx="331">
                  <c:v>0.82089999999999996</c:v>
                </c:pt>
                <c:pt idx="332">
                  <c:v>0.81866000000000005</c:v>
                </c:pt>
                <c:pt idx="333">
                  <c:v>0.81652000000000002</c:v>
                </c:pt>
                <c:pt idx="334">
                  <c:v>0.81430000000000002</c:v>
                </c:pt>
                <c:pt idx="335">
                  <c:v>0.81215999999999999</c:v>
                </c:pt>
                <c:pt idx="336">
                  <c:v>0.80976000000000004</c:v>
                </c:pt>
                <c:pt idx="337">
                  <c:v>0.8075</c:v>
                </c:pt>
                <c:pt idx="338">
                  <c:v>0.80532000000000004</c:v>
                </c:pt>
                <c:pt idx="339">
                  <c:v>0.80337999999999998</c:v>
                </c:pt>
                <c:pt idx="340">
                  <c:v>0.80120000000000002</c:v>
                </c:pt>
                <c:pt idx="341">
                  <c:v>0.79910000000000003</c:v>
                </c:pt>
                <c:pt idx="342">
                  <c:v>0.79690000000000005</c:v>
                </c:pt>
                <c:pt idx="343">
                  <c:v>0.79496</c:v>
                </c:pt>
                <c:pt idx="344">
                  <c:v>0.79293999999999998</c:v>
                </c:pt>
                <c:pt idx="345">
                  <c:v>0.79083999999999999</c:v>
                </c:pt>
                <c:pt idx="346">
                  <c:v>0.78903999999999996</c:v>
                </c:pt>
                <c:pt idx="347">
                  <c:v>0.78710000000000002</c:v>
                </c:pt>
                <c:pt idx="348">
                  <c:v>0.78524000000000005</c:v>
                </c:pt>
                <c:pt idx="349">
                  <c:v>0.78325999999999996</c:v>
                </c:pt>
                <c:pt idx="350">
                  <c:v>0.78149999999999997</c:v>
                </c:pt>
                <c:pt idx="351">
                  <c:v>0.77954000000000001</c:v>
                </c:pt>
                <c:pt idx="352">
                  <c:v>0.77778000000000003</c:v>
                </c:pt>
                <c:pt idx="353">
                  <c:v>0.77600000000000002</c:v>
                </c:pt>
                <c:pt idx="354">
                  <c:v>0.77429999999999999</c:v>
                </c:pt>
                <c:pt idx="355">
                  <c:v>0.77244000000000002</c:v>
                </c:pt>
                <c:pt idx="356">
                  <c:v>0.77059999999999995</c:v>
                </c:pt>
                <c:pt idx="357">
                  <c:v>0.76892000000000005</c:v>
                </c:pt>
                <c:pt idx="358">
                  <c:v>0.76717999999999997</c:v>
                </c:pt>
                <c:pt idx="359">
                  <c:v>0.76536000000000004</c:v>
                </c:pt>
                <c:pt idx="360">
                  <c:v>0.76370000000000005</c:v>
                </c:pt>
                <c:pt idx="361">
                  <c:v>0.76219999999999999</c:v>
                </c:pt>
                <c:pt idx="362">
                  <c:v>0.76056000000000001</c:v>
                </c:pt>
                <c:pt idx="363">
                  <c:v>0.75878000000000001</c:v>
                </c:pt>
                <c:pt idx="364">
                  <c:v>0.75714000000000004</c:v>
                </c:pt>
                <c:pt idx="365">
                  <c:v>0.75534000000000001</c:v>
                </c:pt>
                <c:pt idx="366">
                  <c:v>0.75366</c:v>
                </c:pt>
                <c:pt idx="367">
                  <c:v>0.75209999999999999</c:v>
                </c:pt>
                <c:pt idx="368">
                  <c:v>0.75053999999999998</c:v>
                </c:pt>
                <c:pt idx="369">
                  <c:v>0.74905999999999995</c:v>
                </c:pt>
                <c:pt idx="370">
                  <c:v>0.74746000000000001</c:v>
                </c:pt>
                <c:pt idx="371">
                  <c:v>0.74587999999999999</c:v>
                </c:pt>
                <c:pt idx="372">
                  <c:v>0.74429999999999996</c:v>
                </c:pt>
                <c:pt idx="373">
                  <c:v>0.74273999999999996</c:v>
                </c:pt>
                <c:pt idx="374">
                  <c:v>0.74134</c:v>
                </c:pt>
                <c:pt idx="375">
                  <c:v>0.73977999999999999</c:v>
                </c:pt>
                <c:pt idx="376">
                  <c:v>0.73816000000000004</c:v>
                </c:pt>
                <c:pt idx="377">
                  <c:v>0.73665999999999998</c:v>
                </c:pt>
                <c:pt idx="378">
                  <c:v>0.73509999999999998</c:v>
                </c:pt>
                <c:pt idx="379">
                  <c:v>0.73358000000000001</c:v>
                </c:pt>
                <c:pt idx="380">
                  <c:v>0.73226000000000002</c:v>
                </c:pt>
                <c:pt idx="381">
                  <c:v>0.73072000000000004</c:v>
                </c:pt>
                <c:pt idx="382">
                  <c:v>0.72940000000000005</c:v>
                </c:pt>
                <c:pt idx="383">
                  <c:v>0.72784000000000004</c:v>
                </c:pt>
                <c:pt idx="384">
                  <c:v>0.72648000000000001</c:v>
                </c:pt>
                <c:pt idx="385">
                  <c:v>0.72482000000000002</c:v>
                </c:pt>
                <c:pt idx="386">
                  <c:v>0.72352000000000005</c:v>
                </c:pt>
                <c:pt idx="387">
                  <c:v>0.72197999999999996</c:v>
                </c:pt>
                <c:pt idx="388">
                  <c:v>0.72048000000000001</c:v>
                </c:pt>
                <c:pt idx="389">
                  <c:v>0.71901999999999999</c:v>
                </c:pt>
                <c:pt idx="390">
                  <c:v>0.71765999999999996</c:v>
                </c:pt>
                <c:pt idx="391">
                  <c:v>0.71616000000000002</c:v>
                </c:pt>
                <c:pt idx="392">
                  <c:v>0.71472000000000002</c:v>
                </c:pt>
                <c:pt idx="393">
                  <c:v>0.71321999999999997</c:v>
                </c:pt>
                <c:pt idx="394">
                  <c:v>0.71187999999999996</c:v>
                </c:pt>
                <c:pt idx="395">
                  <c:v>0.71038000000000001</c:v>
                </c:pt>
                <c:pt idx="396">
                  <c:v>0.70901999999999998</c:v>
                </c:pt>
                <c:pt idx="397">
                  <c:v>0.70762000000000003</c:v>
                </c:pt>
                <c:pt idx="398">
                  <c:v>0.70626</c:v>
                </c:pt>
                <c:pt idx="399">
                  <c:v>0.70486000000000004</c:v>
                </c:pt>
                <c:pt idx="400">
                  <c:v>0.70364000000000004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E6-408E-80C6-9165C6BD0725}"/>
            </c:ext>
          </c:extLst>
        </c:ser>
        <c:ser>
          <c:idx val="3"/>
          <c:order val="3"/>
          <c:tx>
            <c:strRef>
              <c:f>'Pig graph '!$X$1</c:f>
              <c:strCache>
                <c:ptCount val="1"/>
                <c:pt idx="0">
                  <c:v>s4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'!$X$2:$X$402</c:f>
              <c:numCache>
                <c:formatCode>General</c:formatCode>
                <c:ptCount val="401"/>
                <c:pt idx="0">
                  <c:v>1.03366</c:v>
                </c:pt>
                <c:pt idx="1">
                  <c:v>1.0347599999999999</c:v>
                </c:pt>
                <c:pt idx="2">
                  <c:v>1.03556</c:v>
                </c:pt>
                <c:pt idx="3">
                  <c:v>1.03738</c:v>
                </c:pt>
                <c:pt idx="4">
                  <c:v>1.0384199999999999</c:v>
                </c:pt>
                <c:pt idx="5">
                  <c:v>1.0403199999999999</c:v>
                </c:pt>
                <c:pt idx="6">
                  <c:v>1.04318</c:v>
                </c:pt>
                <c:pt idx="7">
                  <c:v>1.04596</c:v>
                </c:pt>
                <c:pt idx="8">
                  <c:v>1.0493399999999999</c:v>
                </c:pt>
                <c:pt idx="9">
                  <c:v>1.0534399999999999</c:v>
                </c:pt>
                <c:pt idx="10">
                  <c:v>1.05752</c:v>
                </c:pt>
                <c:pt idx="11">
                  <c:v>1.0613999999999999</c:v>
                </c:pt>
                <c:pt idx="12">
                  <c:v>1.06528</c:v>
                </c:pt>
                <c:pt idx="13">
                  <c:v>1.0693999999999999</c:v>
                </c:pt>
                <c:pt idx="14">
                  <c:v>1.0737000000000001</c:v>
                </c:pt>
                <c:pt idx="15">
                  <c:v>1.0779399999999999</c:v>
                </c:pt>
                <c:pt idx="16">
                  <c:v>1.08206</c:v>
                </c:pt>
                <c:pt idx="17">
                  <c:v>1.0864</c:v>
                </c:pt>
                <c:pt idx="18">
                  <c:v>1.0902799999999999</c:v>
                </c:pt>
                <c:pt idx="19">
                  <c:v>1.0934200000000001</c:v>
                </c:pt>
                <c:pt idx="20">
                  <c:v>1.0956399999999999</c:v>
                </c:pt>
                <c:pt idx="21">
                  <c:v>1.0987</c:v>
                </c:pt>
                <c:pt idx="22">
                  <c:v>1.1009599999999999</c:v>
                </c:pt>
                <c:pt idx="23">
                  <c:v>1.1032200000000001</c:v>
                </c:pt>
                <c:pt idx="24">
                  <c:v>1.1053200000000001</c:v>
                </c:pt>
                <c:pt idx="25">
                  <c:v>1.1080399999999999</c:v>
                </c:pt>
                <c:pt idx="26">
                  <c:v>1.1105</c:v>
                </c:pt>
                <c:pt idx="27">
                  <c:v>1.1131</c:v>
                </c:pt>
                <c:pt idx="28">
                  <c:v>1.1163400000000001</c:v>
                </c:pt>
                <c:pt idx="29">
                  <c:v>1.12008</c:v>
                </c:pt>
                <c:pt idx="30">
                  <c:v>1.12384</c:v>
                </c:pt>
                <c:pt idx="31">
                  <c:v>1.1282000000000001</c:v>
                </c:pt>
                <c:pt idx="32">
                  <c:v>1.13354</c:v>
                </c:pt>
                <c:pt idx="33">
                  <c:v>1.13784</c:v>
                </c:pt>
                <c:pt idx="34">
                  <c:v>1.14306</c:v>
                </c:pt>
                <c:pt idx="35">
                  <c:v>1.14886</c:v>
                </c:pt>
                <c:pt idx="36">
                  <c:v>1.15442</c:v>
                </c:pt>
                <c:pt idx="37">
                  <c:v>1.1594800000000001</c:v>
                </c:pt>
                <c:pt idx="38">
                  <c:v>1.1644600000000001</c:v>
                </c:pt>
                <c:pt idx="39">
                  <c:v>1.1682999999999999</c:v>
                </c:pt>
                <c:pt idx="40">
                  <c:v>1.17188</c:v>
                </c:pt>
                <c:pt idx="41">
                  <c:v>1.17398</c:v>
                </c:pt>
                <c:pt idx="42">
                  <c:v>1.17578</c:v>
                </c:pt>
                <c:pt idx="43">
                  <c:v>1.1758200000000001</c:v>
                </c:pt>
                <c:pt idx="44">
                  <c:v>1.1747799999999999</c:v>
                </c:pt>
                <c:pt idx="45">
                  <c:v>1.17228</c:v>
                </c:pt>
                <c:pt idx="46">
                  <c:v>1.16882</c:v>
                </c:pt>
                <c:pt idx="47">
                  <c:v>1.16422</c:v>
                </c:pt>
                <c:pt idx="48">
                  <c:v>1.15838</c:v>
                </c:pt>
                <c:pt idx="49">
                  <c:v>1.1515200000000001</c:v>
                </c:pt>
                <c:pt idx="50">
                  <c:v>1.1441600000000001</c:v>
                </c:pt>
                <c:pt idx="51">
                  <c:v>1.1371800000000001</c:v>
                </c:pt>
                <c:pt idx="52">
                  <c:v>1.1297600000000001</c:v>
                </c:pt>
                <c:pt idx="53">
                  <c:v>1.12348</c:v>
                </c:pt>
                <c:pt idx="54">
                  <c:v>1.1171599999999999</c:v>
                </c:pt>
                <c:pt idx="55">
                  <c:v>1.1113</c:v>
                </c:pt>
                <c:pt idx="56">
                  <c:v>1.1058399999999999</c:v>
                </c:pt>
                <c:pt idx="57">
                  <c:v>1.1009</c:v>
                </c:pt>
                <c:pt idx="58">
                  <c:v>1.0968</c:v>
                </c:pt>
                <c:pt idx="59">
                  <c:v>1.0929800000000001</c:v>
                </c:pt>
                <c:pt idx="60">
                  <c:v>1.08954</c:v>
                </c:pt>
                <c:pt idx="61">
                  <c:v>1.0865400000000001</c:v>
                </c:pt>
                <c:pt idx="62">
                  <c:v>1.0838000000000001</c:v>
                </c:pt>
                <c:pt idx="63">
                  <c:v>1.08074</c:v>
                </c:pt>
                <c:pt idx="64">
                  <c:v>1.0777600000000001</c:v>
                </c:pt>
                <c:pt idx="65">
                  <c:v>1.0748599999999999</c:v>
                </c:pt>
                <c:pt idx="66">
                  <c:v>1.0721400000000001</c:v>
                </c:pt>
                <c:pt idx="67">
                  <c:v>1.06924</c:v>
                </c:pt>
                <c:pt idx="68">
                  <c:v>1.0662799999999999</c:v>
                </c:pt>
                <c:pt idx="69">
                  <c:v>1.0629599999999999</c:v>
                </c:pt>
                <c:pt idx="70">
                  <c:v>1.0601799999999999</c:v>
                </c:pt>
                <c:pt idx="71">
                  <c:v>1.0569200000000001</c:v>
                </c:pt>
                <c:pt idx="72">
                  <c:v>1.0536399999999999</c:v>
                </c:pt>
                <c:pt idx="73">
                  <c:v>1.05036</c:v>
                </c:pt>
                <c:pt idx="74">
                  <c:v>1.04758</c:v>
                </c:pt>
                <c:pt idx="75">
                  <c:v>1.0443199999999999</c:v>
                </c:pt>
                <c:pt idx="76">
                  <c:v>1.04104</c:v>
                </c:pt>
                <c:pt idx="77">
                  <c:v>1.0378799999999999</c:v>
                </c:pt>
                <c:pt idx="78">
                  <c:v>1.0347</c:v>
                </c:pt>
                <c:pt idx="79">
                  <c:v>1.0321400000000001</c:v>
                </c:pt>
                <c:pt idx="80">
                  <c:v>1.02884</c:v>
                </c:pt>
                <c:pt idx="81">
                  <c:v>1.0265599999999999</c:v>
                </c:pt>
                <c:pt idx="82">
                  <c:v>1.0242</c:v>
                </c:pt>
                <c:pt idx="83">
                  <c:v>1.0225</c:v>
                </c:pt>
                <c:pt idx="84">
                  <c:v>1.02084</c:v>
                </c:pt>
                <c:pt idx="85">
                  <c:v>1.0194399999999999</c:v>
                </c:pt>
                <c:pt idx="86">
                  <c:v>1.0184599999999999</c:v>
                </c:pt>
                <c:pt idx="87">
                  <c:v>1.0168999999999999</c:v>
                </c:pt>
                <c:pt idx="88">
                  <c:v>1.0159</c:v>
                </c:pt>
                <c:pt idx="89">
                  <c:v>1.0150399999999999</c:v>
                </c:pt>
                <c:pt idx="90">
                  <c:v>1.01416</c:v>
                </c:pt>
                <c:pt idx="91">
                  <c:v>1.0132399999999999</c:v>
                </c:pt>
                <c:pt idx="92">
                  <c:v>1.01214</c:v>
                </c:pt>
                <c:pt idx="93">
                  <c:v>1.0115000000000001</c:v>
                </c:pt>
                <c:pt idx="94">
                  <c:v>1.01004</c:v>
                </c:pt>
                <c:pt idx="95">
                  <c:v>1.0088600000000001</c:v>
                </c:pt>
                <c:pt idx="96">
                  <c:v>1.0073799999999999</c:v>
                </c:pt>
                <c:pt idx="97">
                  <c:v>1.00522</c:v>
                </c:pt>
                <c:pt idx="98">
                  <c:v>1.0033799999999999</c:v>
                </c:pt>
                <c:pt idx="99">
                  <c:v>1.0011000000000001</c:v>
                </c:pt>
                <c:pt idx="100">
                  <c:v>0.99865999999999999</c:v>
                </c:pt>
                <c:pt idx="101">
                  <c:v>0.99617999999999995</c:v>
                </c:pt>
                <c:pt idx="102">
                  <c:v>0.99339999999999995</c:v>
                </c:pt>
                <c:pt idx="103">
                  <c:v>0.99006000000000005</c:v>
                </c:pt>
                <c:pt idx="104">
                  <c:v>0.98651999999999995</c:v>
                </c:pt>
                <c:pt idx="105">
                  <c:v>0.98270000000000002</c:v>
                </c:pt>
                <c:pt idx="106">
                  <c:v>0.97887999999999997</c:v>
                </c:pt>
                <c:pt idx="107">
                  <c:v>0.97463999999999995</c:v>
                </c:pt>
                <c:pt idx="108">
                  <c:v>0.97040000000000004</c:v>
                </c:pt>
                <c:pt idx="109">
                  <c:v>0.96586000000000005</c:v>
                </c:pt>
                <c:pt idx="110">
                  <c:v>0.96121999999999996</c:v>
                </c:pt>
                <c:pt idx="111">
                  <c:v>0.95652000000000004</c:v>
                </c:pt>
                <c:pt idx="112">
                  <c:v>0.95206000000000002</c:v>
                </c:pt>
                <c:pt idx="113">
                  <c:v>0.9466</c:v>
                </c:pt>
                <c:pt idx="114">
                  <c:v>0.94167999999999996</c:v>
                </c:pt>
                <c:pt idx="115">
                  <c:v>0.93676000000000004</c:v>
                </c:pt>
                <c:pt idx="116">
                  <c:v>0.93154000000000003</c:v>
                </c:pt>
                <c:pt idx="117">
                  <c:v>0.9264</c:v>
                </c:pt>
                <c:pt idx="118">
                  <c:v>0.92118</c:v>
                </c:pt>
                <c:pt idx="119">
                  <c:v>0.91583999999999999</c:v>
                </c:pt>
                <c:pt idx="120">
                  <c:v>0.91069999999999995</c:v>
                </c:pt>
                <c:pt idx="121">
                  <c:v>0.90568000000000004</c:v>
                </c:pt>
                <c:pt idx="122">
                  <c:v>0.90076000000000001</c:v>
                </c:pt>
                <c:pt idx="123">
                  <c:v>0.89607999999999999</c:v>
                </c:pt>
                <c:pt idx="124">
                  <c:v>0.89102000000000003</c:v>
                </c:pt>
                <c:pt idx="125">
                  <c:v>0.88660000000000005</c:v>
                </c:pt>
                <c:pt idx="126">
                  <c:v>0.88217999999999996</c:v>
                </c:pt>
                <c:pt idx="127">
                  <c:v>0.87734000000000001</c:v>
                </c:pt>
                <c:pt idx="128">
                  <c:v>0.87297999999999998</c:v>
                </c:pt>
                <c:pt idx="129">
                  <c:v>0.86828000000000005</c:v>
                </c:pt>
                <c:pt idx="130">
                  <c:v>0.86385999999999996</c:v>
                </c:pt>
                <c:pt idx="131">
                  <c:v>0.85992000000000002</c:v>
                </c:pt>
                <c:pt idx="132">
                  <c:v>0.85597999999999996</c:v>
                </c:pt>
                <c:pt idx="133">
                  <c:v>0.85202</c:v>
                </c:pt>
                <c:pt idx="134">
                  <c:v>0.84823999999999999</c:v>
                </c:pt>
                <c:pt idx="135">
                  <c:v>0.84418000000000004</c:v>
                </c:pt>
                <c:pt idx="136">
                  <c:v>0.84065999999999996</c:v>
                </c:pt>
                <c:pt idx="137">
                  <c:v>0.83628000000000002</c:v>
                </c:pt>
                <c:pt idx="138">
                  <c:v>0.83279999999999998</c:v>
                </c:pt>
                <c:pt idx="139">
                  <c:v>0.82957999999999998</c:v>
                </c:pt>
                <c:pt idx="140">
                  <c:v>0.82625999999999999</c:v>
                </c:pt>
                <c:pt idx="141">
                  <c:v>0.82328000000000001</c:v>
                </c:pt>
                <c:pt idx="142">
                  <c:v>0.82020000000000004</c:v>
                </c:pt>
                <c:pt idx="143">
                  <c:v>0.81716</c:v>
                </c:pt>
                <c:pt idx="144">
                  <c:v>0.81464000000000003</c:v>
                </c:pt>
                <c:pt idx="145">
                  <c:v>0.81167999999999996</c:v>
                </c:pt>
                <c:pt idx="146">
                  <c:v>0.80901999999999996</c:v>
                </c:pt>
                <c:pt idx="147">
                  <c:v>0.80652000000000001</c:v>
                </c:pt>
                <c:pt idx="148">
                  <c:v>0.80378000000000005</c:v>
                </c:pt>
                <c:pt idx="149">
                  <c:v>0.80142000000000002</c:v>
                </c:pt>
                <c:pt idx="150">
                  <c:v>0.79908000000000001</c:v>
                </c:pt>
                <c:pt idx="151">
                  <c:v>0.79681999999999997</c:v>
                </c:pt>
                <c:pt idx="152">
                  <c:v>0.79457999999999995</c:v>
                </c:pt>
                <c:pt idx="153">
                  <c:v>0.79276000000000002</c:v>
                </c:pt>
                <c:pt idx="154">
                  <c:v>0.79091999999999996</c:v>
                </c:pt>
                <c:pt idx="155">
                  <c:v>0.78917999999999999</c:v>
                </c:pt>
                <c:pt idx="156">
                  <c:v>0.78737999999999997</c:v>
                </c:pt>
                <c:pt idx="157">
                  <c:v>0.78573999999999999</c:v>
                </c:pt>
                <c:pt idx="158">
                  <c:v>0.78424000000000005</c:v>
                </c:pt>
                <c:pt idx="159">
                  <c:v>0.78259999999999996</c:v>
                </c:pt>
                <c:pt idx="160">
                  <c:v>0.78137999999999996</c:v>
                </c:pt>
                <c:pt idx="161">
                  <c:v>0.78012000000000004</c:v>
                </c:pt>
                <c:pt idx="162">
                  <c:v>0.77890000000000004</c:v>
                </c:pt>
                <c:pt idx="163">
                  <c:v>0.77803999999999995</c:v>
                </c:pt>
                <c:pt idx="164">
                  <c:v>0.77715999999999996</c:v>
                </c:pt>
                <c:pt idx="165">
                  <c:v>0.77642</c:v>
                </c:pt>
                <c:pt idx="166">
                  <c:v>0.77551999999999999</c:v>
                </c:pt>
                <c:pt idx="167">
                  <c:v>0.77490000000000003</c:v>
                </c:pt>
                <c:pt idx="168">
                  <c:v>0.77456000000000003</c:v>
                </c:pt>
                <c:pt idx="169">
                  <c:v>0.7742</c:v>
                </c:pt>
                <c:pt idx="170">
                  <c:v>0.77395999999999998</c:v>
                </c:pt>
                <c:pt idx="171">
                  <c:v>0.77385999999999999</c:v>
                </c:pt>
                <c:pt idx="172">
                  <c:v>0.77378000000000002</c:v>
                </c:pt>
                <c:pt idx="173">
                  <c:v>0.77378000000000002</c:v>
                </c:pt>
                <c:pt idx="174">
                  <c:v>0.77390000000000003</c:v>
                </c:pt>
                <c:pt idx="175">
                  <c:v>0.77415999999999996</c:v>
                </c:pt>
                <c:pt idx="176">
                  <c:v>0.77414000000000005</c:v>
                </c:pt>
                <c:pt idx="177">
                  <c:v>0.77442</c:v>
                </c:pt>
                <c:pt idx="178">
                  <c:v>0.77471999999999996</c:v>
                </c:pt>
                <c:pt idx="179">
                  <c:v>0.77481999999999995</c:v>
                </c:pt>
                <c:pt idx="180">
                  <c:v>0.77490000000000003</c:v>
                </c:pt>
                <c:pt idx="181">
                  <c:v>0.77517999999999998</c:v>
                </c:pt>
                <c:pt idx="182">
                  <c:v>0.77493999999999996</c:v>
                </c:pt>
                <c:pt idx="183">
                  <c:v>0.77493999999999996</c:v>
                </c:pt>
                <c:pt idx="184">
                  <c:v>0.77500000000000002</c:v>
                </c:pt>
                <c:pt idx="185">
                  <c:v>0.77500000000000002</c:v>
                </c:pt>
                <c:pt idx="186">
                  <c:v>0.77473999999999998</c:v>
                </c:pt>
                <c:pt idx="187">
                  <c:v>0.77466000000000002</c:v>
                </c:pt>
                <c:pt idx="188">
                  <c:v>0.77466000000000002</c:v>
                </c:pt>
                <c:pt idx="189">
                  <c:v>0.77483999999999997</c:v>
                </c:pt>
                <c:pt idx="190">
                  <c:v>0.77454000000000001</c:v>
                </c:pt>
                <c:pt idx="191">
                  <c:v>0.77392000000000005</c:v>
                </c:pt>
                <c:pt idx="192">
                  <c:v>0.77395999999999998</c:v>
                </c:pt>
                <c:pt idx="193">
                  <c:v>0.77380000000000004</c:v>
                </c:pt>
                <c:pt idx="194">
                  <c:v>0.77378000000000002</c:v>
                </c:pt>
                <c:pt idx="195">
                  <c:v>0.77351999999999999</c:v>
                </c:pt>
                <c:pt idx="196">
                  <c:v>0.77307999999999999</c:v>
                </c:pt>
                <c:pt idx="197">
                  <c:v>0.77307999999999999</c:v>
                </c:pt>
                <c:pt idx="198">
                  <c:v>0.77273999999999998</c:v>
                </c:pt>
                <c:pt idx="199">
                  <c:v>0.77268000000000003</c:v>
                </c:pt>
                <c:pt idx="200">
                  <c:v>0.77251999999999998</c:v>
                </c:pt>
                <c:pt idx="201">
                  <c:v>0.77227999999999997</c:v>
                </c:pt>
                <c:pt idx="202">
                  <c:v>0.77256000000000002</c:v>
                </c:pt>
                <c:pt idx="203">
                  <c:v>0.77268000000000003</c:v>
                </c:pt>
                <c:pt idx="204">
                  <c:v>0.77314000000000005</c:v>
                </c:pt>
                <c:pt idx="205">
                  <c:v>0.77390000000000003</c:v>
                </c:pt>
                <c:pt idx="206">
                  <c:v>0.77483999999999997</c:v>
                </c:pt>
                <c:pt idx="207">
                  <c:v>0.77583999999999997</c:v>
                </c:pt>
                <c:pt idx="208">
                  <c:v>0.77714000000000005</c:v>
                </c:pt>
                <c:pt idx="209">
                  <c:v>0.77861999999999998</c:v>
                </c:pt>
                <c:pt idx="210">
                  <c:v>0.78051999999999999</c:v>
                </c:pt>
                <c:pt idx="211">
                  <c:v>0.78268000000000004</c:v>
                </c:pt>
                <c:pt idx="212">
                  <c:v>0.78500000000000003</c:v>
                </c:pt>
                <c:pt idx="213">
                  <c:v>0.78783999999999998</c:v>
                </c:pt>
                <c:pt idx="214">
                  <c:v>0.79079999999999995</c:v>
                </c:pt>
                <c:pt idx="215">
                  <c:v>0.79405999999999999</c:v>
                </c:pt>
                <c:pt idx="216">
                  <c:v>0.79745999999999995</c:v>
                </c:pt>
                <c:pt idx="217">
                  <c:v>0.80130000000000001</c:v>
                </c:pt>
                <c:pt idx="218">
                  <c:v>0.80508000000000002</c:v>
                </c:pt>
                <c:pt idx="219">
                  <c:v>0.80891999999999997</c:v>
                </c:pt>
                <c:pt idx="220">
                  <c:v>0.81289999999999996</c:v>
                </c:pt>
                <c:pt idx="221">
                  <c:v>0.81703999999999999</c:v>
                </c:pt>
                <c:pt idx="222">
                  <c:v>0.82096000000000002</c:v>
                </c:pt>
                <c:pt idx="223">
                  <c:v>0.82565999999999995</c:v>
                </c:pt>
                <c:pt idx="224">
                  <c:v>0.82974000000000003</c:v>
                </c:pt>
                <c:pt idx="225">
                  <c:v>0.83389999999999997</c:v>
                </c:pt>
                <c:pt idx="226">
                  <c:v>0.83819999999999995</c:v>
                </c:pt>
                <c:pt idx="227">
                  <c:v>0.84201999999999999</c:v>
                </c:pt>
                <c:pt idx="228">
                  <c:v>0.84552000000000005</c:v>
                </c:pt>
                <c:pt idx="229">
                  <c:v>0.84865999999999997</c:v>
                </c:pt>
                <c:pt idx="230">
                  <c:v>0.85172000000000003</c:v>
                </c:pt>
                <c:pt idx="231">
                  <c:v>0.85429999999999995</c:v>
                </c:pt>
                <c:pt idx="232">
                  <c:v>0.85626000000000002</c:v>
                </c:pt>
                <c:pt idx="233">
                  <c:v>0.85792000000000002</c:v>
                </c:pt>
                <c:pt idx="234">
                  <c:v>0.85909999999999997</c:v>
                </c:pt>
                <c:pt idx="235">
                  <c:v>0.85968</c:v>
                </c:pt>
                <c:pt idx="236">
                  <c:v>0.85972000000000004</c:v>
                </c:pt>
                <c:pt idx="237">
                  <c:v>0.85916000000000003</c:v>
                </c:pt>
                <c:pt idx="238">
                  <c:v>0.85809999999999997</c:v>
                </c:pt>
                <c:pt idx="239">
                  <c:v>0.85629999999999995</c:v>
                </c:pt>
                <c:pt idx="240">
                  <c:v>0.85372000000000003</c:v>
                </c:pt>
                <c:pt idx="241">
                  <c:v>0.85085999999999995</c:v>
                </c:pt>
                <c:pt idx="242">
                  <c:v>0.84755999999999998</c:v>
                </c:pt>
                <c:pt idx="243">
                  <c:v>0.84375999999999995</c:v>
                </c:pt>
                <c:pt idx="244">
                  <c:v>0.83964000000000005</c:v>
                </c:pt>
                <c:pt idx="245">
                  <c:v>0.83535999999999999</c:v>
                </c:pt>
                <c:pt idx="246">
                  <c:v>0.83101999999999998</c:v>
                </c:pt>
                <c:pt idx="247">
                  <c:v>0.82662000000000002</c:v>
                </c:pt>
                <c:pt idx="248">
                  <c:v>0.82232000000000005</c:v>
                </c:pt>
                <c:pt idx="249">
                  <c:v>0.81796000000000002</c:v>
                </c:pt>
                <c:pt idx="250">
                  <c:v>0.81332000000000004</c:v>
                </c:pt>
                <c:pt idx="251">
                  <c:v>0.80920000000000003</c:v>
                </c:pt>
                <c:pt idx="252">
                  <c:v>0.80506</c:v>
                </c:pt>
                <c:pt idx="253">
                  <c:v>0.80105999999999999</c:v>
                </c:pt>
                <c:pt idx="254">
                  <c:v>0.79713999999999996</c:v>
                </c:pt>
                <c:pt idx="255">
                  <c:v>0.79368000000000005</c:v>
                </c:pt>
                <c:pt idx="256">
                  <c:v>0.79068000000000005</c:v>
                </c:pt>
                <c:pt idx="257">
                  <c:v>0.78790000000000004</c:v>
                </c:pt>
                <c:pt idx="258">
                  <c:v>0.78552</c:v>
                </c:pt>
                <c:pt idx="259">
                  <c:v>0.78395999999999999</c:v>
                </c:pt>
                <c:pt idx="260">
                  <c:v>0.78290000000000004</c:v>
                </c:pt>
                <c:pt idx="261">
                  <c:v>0.78247999999999995</c:v>
                </c:pt>
                <c:pt idx="262">
                  <c:v>0.78291999999999995</c:v>
                </c:pt>
                <c:pt idx="263">
                  <c:v>0.78424000000000005</c:v>
                </c:pt>
                <c:pt idx="264">
                  <c:v>0.78622000000000003</c:v>
                </c:pt>
                <c:pt idx="265">
                  <c:v>0.78917999999999999</c:v>
                </c:pt>
                <c:pt idx="266">
                  <c:v>0.79271999999999998</c:v>
                </c:pt>
                <c:pt idx="267">
                  <c:v>0.79701999999999995</c:v>
                </c:pt>
                <c:pt idx="268">
                  <c:v>0.80123999999999995</c:v>
                </c:pt>
                <c:pt idx="269">
                  <c:v>0.80603999999999998</c:v>
                </c:pt>
                <c:pt idx="270">
                  <c:v>0.81086000000000003</c:v>
                </c:pt>
                <c:pt idx="271">
                  <c:v>0.81586000000000003</c:v>
                </c:pt>
                <c:pt idx="272">
                  <c:v>0.82067999999999997</c:v>
                </c:pt>
                <c:pt idx="273">
                  <c:v>0.82538</c:v>
                </c:pt>
                <c:pt idx="274">
                  <c:v>0.83008000000000004</c:v>
                </c:pt>
                <c:pt idx="275">
                  <c:v>0.83477999999999997</c:v>
                </c:pt>
                <c:pt idx="276">
                  <c:v>0.83989999999999998</c:v>
                </c:pt>
                <c:pt idx="277">
                  <c:v>0.84506000000000003</c:v>
                </c:pt>
                <c:pt idx="278">
                  <c:v>0.85038000000000002</c:v>
                </c:pt>
                <c:pt idx="279">
                  <c:v>0.85509999999999997</c:v>
                </c:pt>
                <c:pt idx="280">
                  <c:v>0.85916000000000003</c:v>
                </c:pt>
                <c:pt idx="281">
                  <c:v>0.86221999999999999</c:v>
                </c:pt>
                <c:pt idx="282">
                  <c:v>0.86370000000000002</c:v>
                </c:pt>
                <c:pt idx="283">
                  <c:v>0.86351999999999995</c:v>
                </c:pt>
                <c:pt idx="284">
                  <c:v>0.86158000000000001</c:v>
                </c:pt>
                <c:pt idx="285">
                  <c:v>0.85782000000000003</c:v>
                </c:pt>
                <c:pt idx="286">
                  <c:v>0.85265999999999997</c:v>
                </c:pt>
                <c:pt idx="287">
                  <c:v>0.84587999999999997</c:v>
                </c:pt>
                <c:pt idx="288">
                  <c:v>0.83775999999999995</c:v>
                </c:pt>
                <c:pt idx="289">
                  <c:v>0.82887999999999995</c:v>
                </c:pt>
                <c:pt idx="290">
                  <c:v>0.81911999999999996</c:v>
                </c:pt>
                <c:pt idx="291">
                  <c:v>0.80844000000000005</c:v>
                </c:pt>
                <c:pt idx="292">
                  <c:v>0.79827999999999999</c:v>
                </c:pt>
                <c:pt idx="293">
                  <c:v>0.78800000000000003</c:v>
                </c:pt>
                <c:pt idx="294">
                  <c:v>0.77705999999999997</c:v>
                </c:pt>
                <c:pt idx="295">
                  <c:v>0.76707999999999998</c:v>
                </c:pt>
                <c:pt idx="296">
                  <c:v>0.75748000000000004</c:v>
                </c:pt>
                <c:pt idx="297">
                  <c:v>0.74814000000000003</c:v>
                </c:pt>
                <c:pt idx="298">
                  <c:v>0.73950000000000005</c:v>
                </c:pt>
                <c:pt idx="299">
                  <c:v>0.73148000000000002</c:v>
                </c:pt>
                <c:pt idx="300">
                  <c:v>0.72384000000000004</c:v>
                </c:pt>
                <c:pt idx="301">
                  <c:v>0.71686000000000005</c:v>
                </c:pt>
                <c:pt idx="302">
                  <c:v>0.71042000000000005</c:v>
                </c:pt>
                <c:pt idx="303">
                  <c:v>0.70462000000000002</c:v>
                </c:pt>
                <c:pt idx="304">
                  <c:v>0.69906000000000001</c:v>
                </c:pt>
                <c:pt idx="305">
                  <c:v>0.69369999999999998</c:v>
                </c:pt>
                <c:pt idx="306">
                  <c:v>0.68881999999999999</c:v>
                </c:pt>
                <c:pt idx="307">
                  <c:v>0.68437999999999999</c:v>
                </c:pt>
                <c:pt idx="308">
                  <c:v>0.68008000000000002</c:v>
                </c:pt>
                <c:pt idx="309">
                  <c:v>0.67584</c:v>
                </c:pt>
                <c:pt idx="310">
                  <c:v>0.67205999999999999</c:v>
                </c:pt>
                <c:pt idx="311">
                  <c:v>0.66842000000000001</c:v>
                </c:pt>
                <c:pt idx="312">
                  <c:v>0.66505999999999998</c:v>
                </c:pt>
                <c:pt idx="313">
                  <c:v>0.66168000000000005</c:v>
                </c:pt>
                <c:pt idx="314">
                  <c:v>0.65866000000000002</c:v>
                </c:pt>
                <c:pt idx="315">
                  <c:v>0.65581999999999996</c:v>
                </c:pt>
                <c:pt idx="316">
                  <c:v>0.65291999999999994</c:v>
                </c:pt>
                <c:pt idx="317">
                  <c:v>0.6502</c:v>
                </c:pt>
                <c:pt idx="318">
                  <c:v>0.64736000000000005</c:v>
                </c:pt>
                <c:pt idx="319">
                  <c:v>0.64478000000000002</c:v>
                </c:pt>
                <c:pt idx="320">
                  <c:v>0.64224000000000003</c:v>
                </c:pt>
                <c:pt idx="321">
                  <c:v>0.64002000000000003</c:v>
                </c:pt>
                <c:pt idx="322">
                  <c:v>0.63770000000000004</c:v>
                </c:pt>
                <c:pt idx="323">
                  <c:v>0.63558000000000003</c:v>
                </c:pt>
                <c:pt idx="324">
                  <c:v>0.63346000000000002</c:v>
                </c:pt>
                <c:pt idx="325">
                  <c:v>0.63109999999999999</c:v>
                </c:pt>
                <c:pt idx="326">
                  <c:v>0.62890000000000001</c:v>
                </c:pt>
                <c:pt idx="327">
                  <c:v>0.62692000000000003</c:v>
                </c:pt>
                <c:pt idx="328">
                  <c:v>0.62490000000000001</c:v>
                </c:pt>
                <c:pt idx="329">
                  <c:v>0.62302000000000002</c:v>
                </c:pt>
                <c:pt idx="330">
                  <c:v>0.62128000000000005</c:v>
                </c:pt>
                <c:pt idx="331">
                  <c:v>0.61931999999999998</c:v>
                </c:pt>
                <c:pt idx="332">
                  <c:v>0.61756</c:v>
                </c:pt>
                <c:pt idx="333">
                  <c:v>0.61577999999999999</c:v>
                </c:pt>
                <c:pt idx="334">
                  <c:v>0.61404000000000003</c:v>
                </c:pt>
                <c:pt idx="335">
                  <c:v>0.61241999999999996</c:v>
                </c:pt>
                <c:pt idx="336">
                  <c:v>0.61048000000000002</c:v>
                </c:pt>
                <c:pt idx="337">
                  <c:v>0.60868</c:v>
                </c:pt>
                <c:pt idx="338">
                  <c:v>0.60687999999999998</c:v>
                </c:pt>
                <c:pt idx="339">
                  <c:v>0.60528000000000004</c:v>
                </c:pt>
                <c:pt idx="340">
                  <c:v>0.60358000000000001</c:v>
                </c:pt>
                <c:pt idx="341">
                  <c:v>0.60189999999999999</c:v>
                </c:pt>
                <c:pt idx="342">
                  <c:v>0.60016000000000003</c:v>
                </c:pt>
                <c:pt idx="343">
                  <c:v>0.59865999999999997</c:v>
                </c:pt>
                <c:pt idx="344">
                  <c:v>0.59714</c:v>
                </c:pt>
                <c:pt idx="345">
                  <c:v>0.59558</c:v>
                </c:pt>
                <c:pt idx="346">
                  <c:v>0.59406000000000003</c:v>
                </c:pt>
                <c:pt idx="347">
                  <c:v>0.59245999999999999</c:v>
                </c:pt>
                <c:pt idx="348">
                  <c:v>0.59099999999999997</c:v>
                </c:pt>
                <c:pt idx="349">
                  <c:v>0.58942000000000005</c:v>
                </c:pt>
                <c:pt idx="350">
                  <c:v>0.58797999999999995</c:v>
                </c:pt>
                <c:pt idx="351">
                  <c:v>0.58653999999999995</c:v>
                </c:pt>
                <c:pt idx="352">
                  <c:v>0.58501999999999998</c:v>
                </c:pt>
                <c:pt idx="353">
                  <c:v>0.58374000000000004</c:v>
                </c:pt>
                <c:pt idx="354">
                  <c:v>0.58228000000000002</c:v>
                </c:pt>
                <c:pt idx="355">
                  <c:v>0.58087999999999995</c:v>
                </c:pt>
                <c:pt idx="356">
                  <c:v>0.57933999999999997</c:v>
                </c:pt>
                <c:pt idx="357">
                  <c:v>0.57816000000000001</c:v>
                </c:pt>
                <c:pt idx="358">
                  <c:v>0.57665999999999995</c:v>
                </c:pt>
                <c:pt idx="359">
                  <c:v>0.57520000000000004</c:v>
                </c:pt>
                <c:pt idx="360">
                  <c:v>0.57391999999999999</c:v>
                </c:pt>
                <c:pt idx="361">
                  <c:v>0.5726</c:v>
                </c:pt>
                <c:pt idx="362">
                  <c:v>0.57121999999999995</c:v>
                </c:pt>
                <c:pt idx="363">
                  <c:v>0.56991999999999998</c:v>
                </c:pt>
                <c:pt idx="364">
                  <c:v>0.56854000000000005</c:v>
                </c:pt>
                <c:pt idx="365">
                  <c:v>0.56713999999999998</c:v>
                </c:pt>
                <c:pt idx="366">
                  <c:v>0.56588000000000005</c:v>
                </c:pt>
                <c:pt idx="367">
                  <c:v>0.56447999999999998</c:v>
                </c:pt>
                <c:pt idx="368">
                  <c:v>0.56318000000000001</c:v>
                </c:pt>
                <c:pt idx="369">
                  <c:v>0.56201999999999996</c:v>
                </c:pt>
                <c:pt idx="370">
                  <c:v>0.56076000000000004</c:v>
                </c:pt>
                <c:pt idx="371">
                  <c:v>0.55944000000000005</c:v>
                </c:pt>
                <c:pt idx="372">
                  <c:v>0.55828</c:v>
                </c:pt>
                <c:pt idx="373">
                  <c:v>0.55706</c:v>
                </c:pt>
                <c:pt idx="374">
                  <c:v>0.55584</c:v>
                </c:pt>
                <c:pt idx="375">
                  <c:v>0.55474000000000001</c:v>
                </c:pt>
                <c:pt idx="376">
                  <c:v>0.55334000000000005</c:v>
                </c:pt>
                <c:pt idx="377">
                  <c:v>0.55218</c:v>
                </c:pt>
                <c:pt idx="378">
                  <c:v>0.55108000000000001</c:v>
                </c:pt>
                <c:pt idx="379">
                  <c:v>0.54978000000000005</c:v>
                </c:pt>
                <c:pt idx="380">
                  <c:v>0.54874000000000001</c:v>
                </c:pt>
                <c:pt idx="381">
                  <c:v>0.54745999999999995</c:v>
                </c:pt>
                <c:pt idx="382">
                  <c:v>0.54637999999999998</c:v>
                </c:pt>
                <c:pt idx="383">
                  <c:v>0.54513999999999996</c:v>
                </c:pt>
                <c:pt idx="384">
                  <c:v>0.54405999999999999</c:v>
                </c:pt>
                <c:pt idx="385">
                  <c:v>0.54269999999999996</c:v>
                </c:pt>
                <c:pt idx="386">
                  <c:v>0.54161999999999999</c:v>
                </c:pt>
                <c:pt idx="387">
                  <c:v>0.54044000000000003</c:v>
                </c:pt>
                <c:pt idx="388">
                  <c:v>0.53924000000000005</c:v>
                </c:pt>
                <c:pt idx="389">
                  <c:v>0.53812000000000004</c:v>
                </c:pt>
                <c:pt idx="390">
                  <c:v>0.53708</c:v>
                </c:pt>
                <c:pt idx="391">
                  <c:v>0.53581999999999996</c:v>
                </c:pt>
                <c:pt idx="392">
                  <c:v>0.53469999999999995</c:v>
                </c:pt>
                <c:pt idx="393">
                  <c:v>0.53366000000000002</c:v>
                </c:pt>
                <c:pt idx="394">
                  <c:v>0.53244000000000002</c:v>
                </c:pt>
                <c:pt idx="395">
                  <c:v>0.53127999999999997</c:v>
                </c:pt>
                <c:pt idx="396">
                  <c:v>0.53012000000000004</c:v>
                </c:pt>
                <c:pt idx="397">
                  <c:v>0.52880000000000005</c:v>
                </c:pt>
                <c:pt idx="398">
                  <c:v>0.52802000000000004</c:v>
                </c:pt>
                <c:pt idx="399">
                  <c:v>0.52688000000000001</c:v>
                </c:pt>
                <c:pt idx="400">
                  <c:v>0.52581999999999995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E6-408E-80C6-9165C6BD0725}"/>
            </c:ext>
          </c:extLst>
        </c:ser>
        <c:ser>
          <c:idx val="4"/>
          <c:order val="4"/>
          <c:tx>
            <c:strRef>
              <c:f>'Pig graph '!$Y$1</c:f>
              <c:strCache>
                <c:ptCount val="1"/>
                <c:pt idx="0">
                  <c:v>s5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'!$Y$2:$Y$402</c:f>
              <c:numCache>
                <c:formatCode>General</c:formatCode>
                <c:ptCount val="401"/>
                <c:pt idx="0">
                  <c:v>1.10006</c:v>
                </c:pt>
                <c:pt idx="1">
                  <c:v>1.1007</c:v>
                </c:pt>
                <c:pt idx="2">
                  <c:v>1.1021399999999999</c:v>
                </c:pt>
                <c:pt idx="3">
                  <c:v>1.10276</c:v>
                </c:pt>
                <c:pt idx="4">
                  <c:v>1.1042799999999999</c:v>
                </c:pt>
                <c:pt idx="5">
                  <c:v>1.1058600000000001</c:v>
                </c:pt>
                <c:pt idx="6">
                  <c:v>1.1075999999999999</c:v>
                </c:pt>
                <c:pt idx="7">
                  <c:v>1.1103000000000001</c:v>
                </c:pt>
                <c:pt idx="8">
                  <c:v>1.11294</c:v>
                </c:pt>
                <c:pt idx="9">
                  <c:v>1.1160600000000001</c:v>
                </c:pt>
                <c:pt idx="10">
                  <c:v>1.11856</c:v>
                </c:pt>
                <c:pt idx="11">
                  <c:v>1.1213599999999999</c:v>
                </c:pt>
                <c:pt idx="12">
                  <c:v>1.1242000000000001</c:v>
                </c:pt>
                <c:pt idx="13">
                  <c:v>1.1275599999999999</c:v>
                </c:pt>
                <c:pt idx="14">
                  <c:v>1.1301600000000001</c:v>
                </c:pt>
                <c:pt idx="15">
                  <c:v>1.1329</c:v>
                </c:pt>
                <c:pt idx="16">
                  <c:v>1.1352599999999999</c:v>
                </c:pt>
                <c:pt idx="17">
                  <c:v>1.13812</c:v>
                </c:pt>
                <c:pt idx="18">
                  <c:v>1.14036</c:v>
                </c:pt>
                <c:pt idx="19">
                  <c:v>1.14236</c:v>
                </c:pt>
                <c:pt idx="20">
                  <c:v>1.1438200000000001</c:v>
                </c:pt>
                <c:pt idx="21">
                  <c:v>1.1452</c:v>
                </c:pt>
                <c:pt idx="22">
                  <c:v>1.14652</c:v>
                </c:pt>
                <c:pt idx="23">
                  <c:v>1.147</c:v>
                </c:pt>
                <c:pt idx="24">
                  <c:v>1.14866</c:v>
                </c:pt>
                <c:pt idx="25">
                  <c:v>1.1498200000000001</c:v>
                </c:pt>
                <c:pt idx="26">
                  <c:v>1.1508400000000001</c:v>
                </c:pt>
                <c:pt idx="27">
                  <c:v>1.1526799999999999</c:v>
                </c:pt>
                <c:pt idx="28">
                  <c:v>1.15442</c:v>
                </c:pt>
                <c:pt idx="29">
                  <c:v>1.1569199999999999</c:v>
                </c:pt>
                <c:pt idx="30">
                  <c:v>1.1594</c:v>
                </c:pt>
                <c:pt idx="31">
                  <c:v>1.16214</c:v>
                </c:pt>
                <c:pt idx="32">
                  <c:v>1.1652800000000001</c:v>
                </c:pt>
                <c:pt idx="33">
                  <c:v>1.16812</c:v>
                </c:pt>
                <c:pt idx="34">
                  <c:v>1.1712</c:v>
                </c:pt>
                <c:pt idx="35">
                  <c:v>1.17496</c:v>
                </c:pt>
                <c:pt idx="36">
                  <c:v>1.1778200000000001</c:v>
                </c:pt>
                <c:pt idx="37">
                  <c:v>1.1809400000000001</c:v>
                </c:pt>
                <c:pt idx="38">
                  <c:v>1.1835</c:v>
                </c:pt>
                <c:pt idx="39">
                  <c:v>1.1852400000000001</c:v>
                </c:pt>
                <c:pt idx="40">
                  <c:v>1.1865600000000001</c:v>
                </c:pt>
                <c:pt idx="41">
                  <c:v>1.1869799999999999</c:v>
                </c:pt>
                <c:pt idx="42">
                  <c:v>1.1865600000000001</c:v>
                </c:pt>
                <c:pt idx="43">
                  <c:v>1.1853</c:v>
                </c:pt>
                <c:pt idx="44">
                  <c:v>1.1835599999999999</c:v>
                </c:pt>
                <c:pt idx="45">
                  <c:v>1.18038</c:v>
                </c:pt>
                <c:pt idx="46">
                  <c:v>1.17666</c:v>
                </c:pt>
                <c:pt idx="47">
                  <c:v>1.1725399999999999</c:v>
                </c:pt>
                <c:pt idx="48">
                  <c:v>1.16706</c:v>
                </c:pt>
                <c:pt idx="49">
                  <c:v>1.1614</c:v>
                </c:pt>
                <c:pt idx="50">
                  <c:v>1.1557599999999999</c:v>
                </c:pt>
                <c:pt idx="51">
                  <c:v>1.15076</c:v>
                </c:pt>
                <c:pt idx="52">
                  <c:v>1.1453199999999999</c:v>
                </c:pt>
                <c:pt idx="53">
                  <c:v>1.1404799999999999</c:v>
                </c:pt>
                <c:pt idx="54">
                  <c:v>1.1362000000000001</c:v>
                </c:pt>
                <c:pt idx="55">
                  <c:v>1.13208</c:v>
                </c:pt>
                <c:pt idx="56">
                  <c:v>1.1282399999999999</c:v>
                </c:pt>
                <c:pt idx="57">
                  <c:v>1.125</c:v>
                </c:pt>
                <c:pt idx="58">
                  <c:v>1.12252</c:v>
                </c:pt>
                <c:pt idx="59">
                  <c:v>1.1202000000000001</c:v>
                </c:pt>
                <c:pt idx="60">
                  <c:v>1.11832</c:v>
                </c:pt>
                <c:pt idx="61">
                  <c:v>1.11622</c:v>
                </c:pt>
                <c:pt idx="62">
                  <c:v>1.1147199999999999</c:v>
                </c:pt>
                <c:pt idx="63">
                  <c:v>1.1129199999999999</c:v>
                </c:pt>
                <c:pt idx="64">
                  <c:v>1.1113</c:v>
                </c:pt>
                <c:pt idx="65">
                  <c:v>1.10958</c:v>
                </c:pt>
                <c:pt idx="66">
                  <c:v>1.1077600000000001</c:v>
                </c:pt>
                <c:pt idx="67">
                  <c:v>1.10602</c:v>
                </c:pt>
                <c:pt idx="68">
                  <c:v>1.10416</c:v>
                </c:pt>
                <c:pt idx="69">
                  <c:v>1.10206</c:v>
                </c:pt>
                <c:pt idx="70">
                  <c:v>1.10056</c:v>
                </c:pt>
                <c:pt idx="71">
                  <c:v>1.0985199999999999</c:v>
                </c:pt>
                <c:pt idx="72">
                  <c:v>1.09684</c:v>
                </c:pt>
                <c:pt idx="73">
                  <c:v>1.0948199999999999</c:v>
                </c:pt>
                <c:pt idx="74">
                  <c:v>1.09304</c:v>
                </c:pt>
                <c:pt idx="75">
                  <c:v>1.0914600000000001</c:v>
                </c:pt>
                <c:pt idx="76">
                  <c:v>1.0894999999999999</c:v>
                </c:pt>
                <c:pt idx="77">
                  <c:v>1.0877600000000001</c:v>
                </c:pt>
                <c:pt idx="78">
                  <c:v>1.08646</c:v>
                </c:pt>
                <c:pt idx="79">
                  <c:v>1.08484</c:v>
                </c:pt>
                <c:pt idx="80">
                  <c:v>1.0833999999999999</c:v>
                </c:pt>
                <c:pt idx="81">
                  <c:v>1.0828599999999999</c:v>
                </c:pt>
                <c:pt idx="82">
                  <c:v>1.0815399999999999</c:v>
                </c:pt>
                <c:pt idx="83">
                  <c:v>1.0804199999999999</c:v>
                </c:pt>
                <c:pt idx="84">
                  <c:v>1.0796600000000001</c:v>
                </c:pt>
                <c:pt idx="85">
                  <c:v>1.0791999999999999</c:v>
                </c:pt>
                <c:pt idx="86">
                  <c:v>1.07908</c:v>
                </c:pt>
                <c:pt idx="87">
                  <c:v>1.0784</c:v>
                </c:pt>
                <c:pt idx="88">
                  <c:v>1.0781000000000001</c:v>
                </c:pt>
                <c:pt idx="89">
                  <c:v>1.0779399999999999</c:v>
                </c:pt>
                <c:pt idx="90">
                  <c:v>1.07758</c:v>
                </c:pt>
                <c:pt idx="91">
                  <c:v>1.0770599999999999</c:v>
                </c:pt>
                <c:pt idx="92">
                  <c:v>1.0768800000000001</c:v>
                </c:pt>
                <c:pt idx="93">
                  <c:v>1.0762</c:v>
                </c:pt>
                <c:pt idx="94">
                  <c:v>1.0755399999999999</c:v>
                </c:pt>
                <c:pt idx="95">
                  <c:v>1.0747599999999999</c:v>
                </c:pt>
                <c:pt idx="96">
                  <c:v>1.07392</c:v>
                </c:pt>
                <c:pt idx="97">
                  <c:v>1.0723</c:v>
                </c:pt>
                <c:pt idx="98">
                  <c:v>1.0712200000000001</c:v>
                </c:pt>
                <c:pt idx="99">
                  <c:v>1.06986</c:v>
                </c:pt>
                <c:pt idx="100">
                  <c:v>1.0682</c:v>
                </c:pt>
                <c:pt idx="101">
                  <c:v>1.0665800000000001</c:v>
                </c:pt>
                <c:pt idx="102">
                  <c:v>1.0647800000000001</c:v>
                </c:pt>
                <c:pt idx="103">
                  <c:v>1.0626199999999999</c:v>
                </c:pt>
                <c:pt idx="104">
                  <c:v>1.0605199999999999</c:v>
                </c:pt>
                <c:pt idx="105">
                  <c:v>1.05796</c:v>
                </c:pt>
                <c:pt idx="106">
                  <c:v>1.0557000000000001</c:v>
                </c:pt>
                <c:pt idx="107">
                  <c:v>1.0528599999999999</c:v>
                </c:pt>
                <c:pt idx="108">
                  <c:v>1.0500400000000001</c:v>
                </c:pt>
                <c:pt idx="109">
                  <c:v>1.04742</c:v>
                </c:pt>
                <c:pt idx="110">
                  <c:v>1.0445199999999999</c:v>
                </c:pt>
                <c:pt idx="111">
                  <c:v>1.0418799999999999</c:v>
                </c:pt>
                <c:pt idx="112">
                  <c:v>1.03928</c:v>
                </c:pt>
                <c:pt idx="113">
                  <c:v>1.0364599999999999</c:v>
                </c:pt>
                <c:pt idx="114">
                  <c:v>1.03342</c:v>
                </c:pt>
                <c:pt idx="115">
                  <c:v>1.0304599999999999</c:v>
                </c:pt>
                <c:pt idx="116">
                  <c:v>1.02756</c:v>
                </c:pt>
                <c:pt idx="117">
                  <c:v>1.0244200000000001</c:v>
                </c:pt>
                <c:pt idx="118">
                  <c:v>1.02166</c:v>
                </c:pt>
                <c:pt idx="119">
                  <c:v>1.0186200000000001</c:v>
                </c:pt>
                <c:pt idx="120">
                  <c:v>1.01596</c:v>
                </c:pt>
                <c:pt idx="121">
                  <c:v>1.0130999999999999</c:v>
                </c:pt>
                <c:pt idx="122">
                  <c:v>1.0103800000000001</c:v>
                </c:pt>
                <c:pt idx="123">
                  <c:v>1.0077</c:v>
                </c:pt>
                <c:pt idx="124">
                  <c:v>1.00512</c:v>
                </c:pt>
                <c:pt idx="125">
                  <c:v>1.00302</c:v>
                </c:pt>
                <c:pt idx="126">
                  <c:v>1.0001599999999999</c:v>
                </c:pt>
                <c:pt idx="127">
                  <c:v>0.99783999999999995</c:v>
                </c:pt>
                <c:pt idx="128">
                  <c:v>0.996</c:v>
                </c:pt>
                <c:pt idx="129">
                  <c:v>0.99321999999999999</c:v>
                </c:pt>
                <c:pt idx="130">
                  <c:v>0.99107999999999996</c:v>
                </c:pt>
                <c:pt idx="131">
                  <c:v>0.98870000000000002</c:v>
                </c:pt>
                <c:pt idx="132">
                  <c:v>0.98651999999999995</c:v>
                </c:pt>
                <c:pt idx="133">
                  <c:v>0.98462000000000005</c:v>
                </c:pt>
                <c:pt idx="134">
                  <c:v>0.98263999999999996</c:v>
                </c:pt>
                <c:pt idx="135">
                  <c:v>0.98051999999999995</c:v>
                </c:pt>
                <c:pt idx="136">
                  <c:v>0.97906000000000004</c:v>
                </c:pt>
                <c:pt idx="137">
                  <c:v>0.97672000000000003</c:v>
                </c:pt>
                <c:pt idx="138">
                  <c:v>0.97445999999999999</c:v>
                </c:pt>
                <c:pt idx="139">
                  <c:v>0.97323999999999999</c:v>
                </c:pt>
                <c:pt idx="140">
                  <c:v>0.9718</c:v>
                </c:pt>
                <c:pt idx="141">
                  <c:v>0.97030000000000005</c:v>
                </c:pt>
                <c:pt idx="142">
                  <c:v>0.96862000000000004</c:v>
                </c:pt>
                <c:pt idx="143">
                  <c:v>0.96728000000000003</c:v>
                </c:pt>
                <c:pt idx="144">
                  <c:v>0.96604000000000001</c:v>
                </c:pt>
                <c:pt idx="145">
                  <c:v>0.96435999999999999</c:v>
                </c:pt>
                <c:pt idx="146">
                  <c:v>0.96362000000000003</c:v>
                </c:pt>
                <c:pt idx="147">
                  <c:v>0.96233999999999997</c:v>
                </c:pt>
                <c:pt idx="148">
                  <c:v>0.96094000000000002</c:v>
                </c:pt>
                <c:pt idx="149">
                  <c:v>0.96013999999999999</c:v>
                </c:pt>
                <c:pt idx="150">
                  <c:v>0.95877999999999997</c:v>
                </c:pt>
                <c:pt idx="151">
                  <c:v>0.95782</c:v>
                </c:pt>
                <c:pt idx="152">
                  <c:v>0.95677999999999996</c:v>
                </c:pt>
                <c:pt idx="153">
                  <c:v>0.95594000000000001</c:v>
                </c:pt>
                <c:pt idx="154">
                  <c:v>0.95508000000000004</c:v>
                </c:pt>
                <c:pt idx="155">
                  <c:v>0.95445999999999998</c:v>
                </c:pt>
                <c:pt idx="156">
                  <c:v>0.95357999999999998</c:v>
                </c:pt>
                <c:pt idx="157">
                  <c:v>0.95287999999999995</c:v>
                </c:pt>
                <c:pt idx="158">
                  <c:v>0.95199999999999996</c:v>
                </c:pt>
                <c:pt idx="159">
                  <c:v>0.95138</c:v>
                </c:pt>
                <c:pt idx="160">
                  <c:v>0.95072000000000001</c:v>
                </c:pt>
                <c:pt idx="161">
                  <c:v>0.95028000000000001</c:v>
                </c:pt>
                <c:pt idx="162">
                  <c:v>0.94976000000000005</c:v>
                </c:pt>
                <c:pt idx="163">
                  <c:v>0.94923999999999997</c:v>
                </c:pt>
                <c:pt idx="164">
                  <c:v>0.94910000000000005</c:v>
                </c:pt>
                <c:pt idx="165">
                  <c:v>0.94886000000000004</c:v>
                </c:pt>
                <c:pt idx="166">
                  <c:v>0.94847999999999999</c:v>
                </c:pt>
                <c:pt idx="167">
                  <c:v>0.94828000000000001</c:v>
                </c:pt>
                <c:pt idx="168">
                  <c:v>0.94818000000000002</c:v>
                </c:pt>
                <c:pt idx="169">
                  <c:v>0.94840000000000002</c:v>
                </c:pt>
                <c:pt idx="170">
                  <c:v>0.94852000000000003</c:v>
                </c:pt>
                <c:pt idx="171">
                  <c:v>0.94854000000000005</c:v>
                </c:pt>
                <c:pt idx="172">
                  <c:v>0.94852000000000003</c:v>
                </c:pt>
                <c:pt idx="173">
                  <c:v>0.9486</c:v>
                </c:pt>
                <c:pt idx="174">
                  <c:v>0.94864000000000004</c:v>
                </c:pt>
                <c:pt idx="175">
                  <c:v>0.94916</c:v>
                </c:pt>
                <c:pt idx="176">
                  <c:v>0.94938</c:v>
                </c:pt>
                <c:pt idx="177">
                  <c:v>0.94976000000000005</c:v>
                </c:pt>
                <c:pt idx="178">
                  <c:v>0.95009999999999994</c:v>
                </c:pt>
                <c:pt idx="179">
                  <c:v>0.95028000000000001</c:v>
                </c:pt>
                <c:pt idx="180">
                  <c:v>0.95032000000000005</c:v>
                </c:pt>
                <c:pt idx="181">
                  <c:v>0.95054000000000005</c:v>
                </c:pt>
                <c:pt idx="182">
                  <c:v>0.95098000000000005</c:v>
                </c:pt>
                <c:pt idx="183">
                  <c:v>0.95089999999999997</c:v>
                </c:pt>
                <c:pt idx="184">
                  <c:v>0.95089999999999997</c:v>
                </c:pt>
                <c:pt idx="185">
                  <c:v>0.95120000000000005</c:v>
                </c:pt>
                <c:pt idx="186">
                  <c:v>0.95125999999999999</c:v>
                </c:pt>
                <c:pt idx="187">
                  <c:v>0.95169999999999999</c:v>
                </c:pt>
                <c:pt idx="188">
                  <c:v>0.95155999999999996</c:v>
                </c:pt>
                <c:pt idx="189">
                  <c:v>0.95177999999999996</c:v>
                </c:pt>
                <c:pt idx="190">
                  <c:v>0.95154000000000005</c:v>
                </c:pt>
                <c:pt idx="191">
                  <c:v>0.95155999999999996</c:v>
                </c:pt>
                <c:pt idx="192">
                  <c:v>0.95169999999999999</c:v>
                </c:pt>
                <c:pt idx="193">
                  <c:v>0.95172000000000001</c:v>
                </c:pt>
                <c:pt idx="194">
                  <c:v>0.95189999999999997</c:v>
                </c:pt>
                <c:pt idx="195">
                  <c:v>0.95184000000000002</c:v>
                </c:pt>
                <c:pt idx="196">
                  <c:v>0.95150000000000001</c:v>
                </c:pt>
                <c:pt idx="197">
                  <c:v>0.95132000000000005</c:v>
                </c:pt>
                <c:pt idx="198">
                  <c:v>0.95125999999999999</c:v>
                </c:pt>
                <c:pt idx="199">
                  <c:v>0.95125999999999999</c:v>
                </c:pt>
                <c:pt idx="200">
                  <c:v>0.95120000000000005</c:v>
                </c:pt>
                <c:pt idx="201">
                  <c:v>0.95130000000000003</c:v>
                </c:pt>
                <c:pt idx="202">
                  <c:v>0.95143999999999995</c:v>
                </c:pt>
                <c:pt idx="203">
                  <c:v>0.95176000000000005</c:v>
                </c:pt>
                <c:pt idx="204">
                  <c:v>0.95208000000000004</c:v>
                </c:pt>
                <c:pt idx="205">
                  <c:v>0.95254000000000005</c:v>
                </c:pt>
                <c:pt idx="206">
                  <c:v>0.95299999999999996</c:v>
                </c:pt>
                <c:pt idx="207">
                  <c:v>0.95376000000000005</c:v>
                </c:pt>
                <c:pt idx="208">
                  <c:v>0.95472000000000001</c:v>
                </c:pt>
                <c:pt idx="209">
                  <c:v>0.95548</c:v>
                </c:pt>
                <c:pt idx="210">
                  <c:v>0.95653999999999995</c:v>
                </c:pt>
                <c:pt idx="211">
                  <c:v>0.95798000000000005</c:v>
                </c:pt>
                <c:pt idx="212">
                  <c:v>0.95928000000000002</c:v>
                </c:pt>
                <c:pt idx="213">
                  <c:v>0.96099999999999997</c:v>
                </c:pt>
                <c:pt idx="214">
                  <c:v>0.96292</c:v>
                </c:pt>
                <c:pt idx="215">
                  <c:v>0.96484000000000003</c:v>
                </c:pt>
                <c:pt idx="216">
                  <c:v>0.96675999999999995</c:v>
                </c:pt>
                <c:pt idx="217">
                  <c:v>0.96918000000000004</c:v>
                </c:pt>
                <c:pt idx="218">
                  <c:v>0.97126000000000001</c:v>
                </c:pt>
                <c:pt idx="219">
                  <c:v>0.97353999999999996</c:v>
                </c:pt>
                <c:pt idx="220">
                  <c:v>0.97604000000000002</c:v>
                </c:pt>
                <c:pt idx="221">
                  <c:v>0.97836000000000001</c:v>
                </c:pt>
                <c:pt idx="222">
                  <c:v>0.98055999999999999</c:v>
                </c:pt>
                <c:pt idx="223">
                  <c:v>0.98306000000000004</c:v>
                </c:pt>
                <c:pt idx="224">
                  <c:v>0.98562000000000005</c:v>
                </c:pt>
                <c:pt idx="225">
                  <c:v>0.98782000000000003</c:v>
                </c:pt>
                <c:pt idx="226">
                  <c:v>0.99026000000000003</c:v>
                </c:pt>
                <c:pt idx="227">
                  <c:v>0.99234</c:v>
                </c:pt>
                <c:pt idx="228">
                  <c:v>0.99436000000000002</c:v>
                </c:pt>
                <c:pt idx="229">
                  <c:v>0.99594000000000005</c:v>
                </c:pt>
                <c:pt idx="230">
                  <c:v>0.99746000000000001</c:v>
                </c:pt>
                <c:pt idx="231">
                  <c:v>0.99890000000000001</c:v>
                </c:pt>
                <c:pt idx="232">
                  <c:v>0.99994000000000005</c:v>
                </c:pt>
                <c:pt idx="233">
                  <c:v>1.0008600000000001</c:v>
                </c:pt>
                <c:pt idx="234">
                  <c:v>1.00122</c:v>
                </c:pt>
                <c:pt idx="235">
                  <c:v>1.0015000000000001</c:v>
                </c:pt>
                <c:pt idx="236">
                  <c:v>1.00122</c:v>
                </c:pt>
                <c:pt idx="237">
                  <c:v>1.0008600000000001</c:v>
                </c:pt>
                <c:pt idx="238">
                  <c:v>1.0000599999999999</c:v>
                </c:pt>
                <c:pt idx="239">
                  <c:v>0.99894000000000005</c:v>
                </c:pt>
                <c:pt idx="240">
                  <c:v>0.99756</c:v>
                </c:pt>
                <c:pt idx="241">
                  <c:v>0.99583999999999995</c:v>
                </c:pt>
                <c:pt idx="242">
                  <c:v>0.99417999999999995</c:v>
                </c:pt>
                <c:pt idx="243">
                  <c:v>0.99239999999999995</c:v>
                </c:pt>
                <c:pt idx="244">
                  <c:v>0.99029999999999996</c:v>
                </c:pt>
                <c:pt idx="245">
                  <c:v>0.98804000000000003</c:v>
                </c:pt>
                <c:pt idx="246">
                  <c:v>0.98595999999999995</c:v>
                </c:pt>
                <c:pt idx="247">
                  <c:v>0.98358000000000001</c:v>
                </c:pt>
                <c:pt idx="248">
                  <c:v>0.98148000000000002</c:v>
                </c:pt>
                <c:pt idx="249">
                  <c:v>0.97921999999999998</c:v>
                </c:pt>
                <c:pt idx="250">
                  <c:v>0.97706000000000004</c:v>
                </c:pt>
                <c:pt idx="251">
                  <c:v>0.97475999999999996</c:v>
                </c:pt>
                <c:pt idx="252">
                  <c:v>0.97250000000000003</c:v>
                </c:pt>
                <c:pt idx="253">
                  <c:v>0.97055999999999998</c:v>
                </c:pt>
                <c:pt idx="254">
                  <c:v>0.96848000000000001</c:v>
                </c:pt>
                <c:pt idx="255">
                  <c:v>0.96657999999999999</c:v>
                </c:pt>
                <c:pt idx="256">
                  <c:v>0.96494000000000002</c:v>
                </c:pt>
                <c:pt idx="257">
                  <c:v>0.96353999999999995</c:v>
                </c:pt>
                <c:pt idx="258">
                  <c:v>0.96233999999999997</c:v>
                </c:pt>
                <c:pt idx="259">
                  <c:v>0.96157999999999999</c:v>
                </c:pt>
                <c:pt idx="260">
                  <c:v>0.96116000000000001</c:v>
                </c:pt>
                <c:pt idx="261">
                  <c:v>0.96123999999999998</c:v>
                </c:pt>
                <c:pt idx="262">
                  <c:v>0.96174000000000004</c:v>
                </c:pt>
                <c:pt idx="263">
                  <c:v>0.96274000000000004</c:v>
                </c:pt>
                <c:pt idx="264">
                  <c:v>0.96431999999999995</c:v>
                </c:pt>
                <c:pt idx="265">
                  <c:v>0.96643999999999997</c:v>
                </c:pt>
                <c:pt idx="266">
                  <c:v>0.96887999999999996</c:v>
                </c:pt>
                <c:pt idx="267">
                  <c:v>0.97189999999999999</c:v>
                </c:pt>
                <c:pt idx="268">
                  <c:v>0.97504000000000002</c:v>
                </c:pt>
                <c:pt idx="269">
                  <c:v>0.97833999999999999</c:v>
                </c:pt>
                <c:pt idx="270">
                  <c:v>0.98182000000000003</c:v>
                </c:pt>
                <c:pt idx="271">
                  <c:v>0.98516000000000004</c:v>
                </c:pt>
                <c:pt idx="272">
                  <c:v>0.98858000000000001</c:v>
                </c:pt>
                <c:pt idx="273">
                  <c:v>0.99165999999999999</c:v>
                </c:pt>
                <c:pt idx="274">
                  <c:v>0.99472000000000005</c:v>
                </c:pt>
                <c:pt idx="275">
                  <c:v>0.99768000000000001</c:v>
                </c:pt>
                <c:pt idx="276">
                  <c:v>1.0008600000000001</c:v>
                </c:pt>
                <c:pt idx="277">
                  <c:v>1.0041599999999999</c:v>
                </c:pt>
                <c:pt idx="278">
                  <c:v>1.00736</c:v>
                </c:pt>
                <c:pt idx="279">
                  <c:v>1.0102800000000001</c:v>
                </c:pt>
                <c:pt idx="280">
                  <c:v>1.0125999999999999</c:v>
                </c:pt>
                <c:pt idx="281">
                  <c:v>1.0142</c:v>
                </c:pt>
                <c:pt idx="282">
                  <c:v>1.0145599999999999</c:v>
                </c:pt>
                <c:pt idx="283">
                  <c:v>1.01386</c:v>
                </c:pt>
                <c:pt idx="284">
                  <c:v>1.0117799999999999</c:v>
                </c:pt>
                <c:pt idx="285">
                  <c:v>1.00864</c:v>
                </c:pt>
                <c:pt idx="286">
                  <c:v>1.00464</c:v>
                </c:pt>
                <c:pt idx="287">
                  <c:v>0.99941999999999998</c:v>
                </c:pt>
                <c:pt idx="288">
                  <c:v>0.99321999999999999</c:v>
                </c:pt>
                <c:pt idx="289">
                  <c:v>0.98677999999999999</c:v>
                </c:pt>
                <c:pt idx="290">
                  <c:v>0.97975999999999996</c:v>
                </c:pt>
                <c:pt idx="291">
                  <c:v>0.97219999999999995</c:v>
                </c:pt>
                <c:pt idx="292">
                  <c:v>0.96506000000000003</c:v>
                </c:pt>
                <c:pt idx="293">
                  <c:v>0.95791999999999999</c:v>
                </c:pt>
                <c:pt idx="294">
                  <c:v>0.95065999999999995</c:v>
                </c:pt>
                <c:pt idx="295">
                  <c:v>0.94416</c:v>
                </c:pt>
                <c:pt idx="296">
                  <c:v>0.93766000000000005</c:v>
                </c:pt>
                <c:pt idx="297">
                  <c:v>0.93152000000000001</c:v>
                </c:pt>
                <c:pt idx="298">
                  <c:v>0.92581999999999998</c:v>
                </c:pt>
                <c:pt idx="299">
                  <c:v>0.92059999999999997</c:v>
                </c:pt>
                <c:pt idx="300">
                  <c:v>0.91579999999999995</c:v>
                </c:pt>
                <c:pt idx="301">
                  <c:v>0.91091999999999995</c:v>
                </c:pt>
                <c:pt idx="302">
                  <c:v>0.90681999999999996</c:v>
                </c:pt>
                <c:pt idx="303">
                  <c:v>0.90298</c:v>
                </c:pt>
                <c:pt idx="304">
                  <c:v>0.89937999999999996</c:v>
                </c:pt>
                <c:pt idx="305">
                  <c:v>0.89602000000000004</c:v>
                </c:pt>
                <c:pt idx="306">
                  <c:v>0.89276</c:v>
                </c:pt>
                <c:pt idx="307">
                  <c:v>0.88973999999999998</c:v>
                </c:pt>
                <c:pt idx="308">
                  <c:v>0.88705999999999996</c:v>
                </c:pt>
                <c:pt idx="309">
                  <c:v>0.88412000000000002</c:v>
                </c:pt>
                <c:pt idx="310">
                  <c:v>0.88153999999999999</c:v>
                </c:pt>
                <c:pt idx="311">
                  <c:v>0.87916000000000005</c:v>
                </c:pt>
                <c:pt idx="312">
                  <c:v>0.87695999999999996</c:v>
                </c:pt>
                <c:pt idx="313">
                  <c:v>0.87475999999999998</c:v>
                </c:pt>
                <c:pt idx="314">
                  <c:v>0.87278</c:v>
                </c:pt>
                <c:pt idx="315">
                  <c:v>0.87078</c:v>
                </c:pt>
                <c:pt idx="316">
                  <c:v>0.86883999999999995</c:v>
                </c:pt>
                <c:pt idx="317">
                  <c:v>0.86706000000000005</c:v>
                </c:pt>
                <c:pt idx="318">
                  <c:v>0.86519999999999997</c:v>
                </c:pt>
                <c:pt idx="319">
                  <c:v>0.86350000000000005</c:v>
                </c:pt>
                <c:pt idx="320">
                  <c:v>0.86165999999999998</c:v>
                </c:pt>
                <c:pt idx="321">
                  <c:v>0.86014000000000002</c:v>
                </c:pt>
                <c:pt idx="322">
                  <c:v>0.85855999999999999</c:v>
                </c:pt>
                <c:pt idx="323">
                  <c:v>0.85702</c:v>
                </c:pt>
                <c:pt idx="324">
                  <c:v>0.85551999999999995</c:v>
                </c:pt>
                <c:pt idx="325">
                  <c:v>0.85392000000000001</c:v>
                </c:pt>
                <c:pt idx="326">
                  <c:v>0.85241999999999996</c:v>
                </c:pt>
                <c:pt idx="327">
                  <c:v>0.85097999999999996</c:v>
                </c:pt>
                <c:pt idx="328">
                  <c:v>0.84967999999999999</c:v>
                </c:pt>
                <c:pt idx="329">
                  <c:v>0.84823999999999999</c:v>
                </c:pt>
                <c:pt idx="330">
                  <c:v>0.84708000000000006</c:v>
                </c:pt>
                <c:pt idx="331">
                  <c:v>0.84575999999999996</c:v>
                </c:pt>
                <c:pt idx="332">
                  <c:v>0.84452000000000005</c:v>
                </c:pt>
                <c:pt idx="333">
                  <c:v>0.84336</c:v>
                </c:pt>
                <c:pt idx="334">
                  <c:v>0.84204000000000001</c:v>
                </c:pt>
                <c:pt idx="335">
                  <c:v>0.8407</c:v>
                </c:pt>
                <c:pt idx="336">
                  <c:v>0.83935999999999999</c:v>
                </c:pt>
                <c:pt idx="337">
                  <c:v>0.83801999999999999</c:v>
                </c:pt>
                <c:pt idx="338">
                  <c:v>0.83679999999999999</c:v>
                </c:pt>
                <c:pt idx="339">
                  <c:v>0.8357</c:v>
                </c:pt>
                <c:pt idx="340">
                  <c:v>0.83455999999999997</c:v>
                </c:pt>
                <c:pt idx="341">
                  <c:v>0.83326</c:v>
                </c:pt>
                <c:pt idx="342">
                  <c:v>0.83187999999999995</c:v>
                </c:pt>
                <c:pt idx="343">
                  <c:v>0.83072000000000001</c:v>
                </c:pt>
                <c:pt idx="344">
                  <c:v>0.82950000000000002</c:v>
                </c:pt>
                <c:pt idx="345">
                  <c:v>0.82843999999999995</c:v>
                </c:pt>
                <c:pt idx="346">
                  <c:v>0.82718000000000003</c:v>
                </c:pt>
                <c:pt idx="347">
                  <c:v>0.82618000000000003</c:v>
                </c:pt>
                <c:pt idx="348">
                  <c:v>0.82521999999999995</c:v>
                </c:pt>
                <c:pt idx="349">
                  <c:v>0.82387999999999995</c:v>
                </c:pt>
                <c:pt idx="350">
                  <c:v>0.82282</c:v>
                </c:pt>
                <c:pt idx="351">
                  <c:v>0.82150000000000001</c:v>
                </c:pt>
                <c:pt idx="352">
                  <c:v>0.82045999999999997</c:v>
                </c:pt>
                <c:pt idx="353">
                  <c:v>0.81947999999999999</c:v>
                </c:pt>
                <c:pt idx="354">
                  <c:v>0.81842000000000004</c:v>
                </c:pt>
                <c:pt idx="355">
                  <c:v>0.81732000000000005</c:v>
                </c:pt>
                <c:pt idx="356">
                  <c:v>0.81603999999999999</c:v>
                </c:pt>
                <c:pt idx="357">
                  <c:v>0.81516</c:v>
                </c:pt>
                <c:pt idx="358">
                  <c:v>0.81399999999999995</c:v>
                </c:pt>
                <c:pt idx="359">
                  <c:v>0.81289999999999996</c:v>
                </c:pt>
                <c:pt idx="360">
                  <c:v>0.81167999999999996</c:v>
                </c:pt>
                <c:pt idx="361">
                  <c:v>0.81088000000000005</c:v>
                </c:pt>
                <c:pt idx="362">
                  <c:v>0.80981999999999998</c:v>
                </c:pt>
                <c:pt idx="363">
                  <c:v>0.80867999999999995</c:v>
                </c:pt>
                <c:pt idx="364">
                  <c:v>0.80755999999999994</c:v>
                </c:pt>
                <c:pt idx="365">
                  <c:v>0.80662</c:v>
                </c:pt>
                <c:pt idx="366">
                  <c:v>0.80554000000000003</c:v>
                </c:pt>
                <c:pt idx="367">
                  <c:v>0.80447999999999997</c:v>
                </c:pt>
                <c:pt idx="368">
                  <c:v>0.80344000000000004</c:v>
                </c:pt>
                <c:pt idx="369">
                  <c:v>0.80249999999999999</c:v>
                </c:pt>
                <c:pt idx="370">
                  <c:v>0.8014</c:v>
                </c:pt>
                <c:pt idx="371">
                  <c:v>0.80030000000000001</c:v>
                </c:pt>
                <c:pt idx="372">
                  <c:v>0.79927999999999999</c:v>
                </c:pt>
                <c:pt idx="373">
                  <c:v>0.79837999999999998</c:v>
                </c:pt>
                <c:pt idx="374">
                  <c:v>0.79747999999999997</c:v>
                </c:pt>
                <c:pt idx="375">
                  <c:v>0.79642000000000002</c:v>
                </c:pt>
                <c:pt idx="376">
                  <c:v>0.79532000000000003</c:v>
                </c:pt>
                <c:pt idx="377">
                  <c:v>0.79437999999999998</c:v>
                </c:pt>
                <c:pt idx="378">
                  <c:v>0.79330000000000001</c:v>
                </c:pt>
                <c:pt idx="379">
                  <c:v>0.79225999999999996</c:v>
                </c:pt>
                <c:pt idx="380">
                  <c:v>0.79161999999999999</c:v>
                </c:pt>
                <c:pt idx="381">
                  <c:v>0.79039999999999999</c:v>
                </c:pt>
                <c:pt idx="382">
                  <c:v>0.78946000000000005</c:v>
                </c:pt>
                <c:pt idx="383">
                  <c:v>0.78817999999999999</c:v>
                </c:pt>
                <c:pt idx="384">
                  <c:v>0.78749999999999998</c:v>
                </c:pt>
                <c:pt idx="385">
                  <c:v>0.78652</c:v>
                </c:pt>
                <c:pt idx="386">
                  <c:v>0.78556000000000004</c:v>
                </c:pt>
                <c:pt idx="387">
                  <c:v>0.78452</c:v>
                </c:pt>
                <c:pt idx="388">
                  <c:v>0.78354000000000001</c:v>
                </c:pt>
                <c:pt idx="389">
                  <c:v>0.78259999999999996</c:v>
                </c:pt>
                <c:pt idx="390">
                  <c:v>0.78158000000000005</c:v>
                </c:pt>
                <c:pt idx="391">
                  <c:v>0.78059999999999996</c:v>
                </c:pt>
                <c:pt idx="392">
                  <c:v>0.77964</c:v>
                </c:pt>
                <c:pt idx="393">
                  <c:v>0.77854000000000001</c:v>
                </c:pt>
                <c:pt idx="394">
                  <c:v>0.77764</c:v>
                </c:pt>
                <c:pt idx="395">
                  <c:v>0.77668000000000004</c:v>
                </c:pt>
                <c:pt idx="396">
                  <c:v>0.77547999999999995</c:v>
                </c:pt>
                <c:pt idx="397">
                  <c:v>0.77449999999999997</c:v>
                </c:pt>
                <c:pt idx="398">
                  <c:v>0.77361999999999997</c:v>
                </c:pt>
                <c:pt idx="399">
                  <c:v>0.77276</c:v>
                </c:pt>
                <c:pt idx="400">
                  <c:v>0.77192000000000005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E6-408E-80C6-9165C6BD0725}"/>
            </c:ext>
          </c:extLst>
        </c:ser>
        <c:ser>
          <c:idx val="5"/>
          <c:order val="5"/>
          <c:tx>
            <c:strRef>
              <c:f>'Pig graph '!$Z$1</c:f>
              <c:strCache>
                <c:ptCount val="1"/>
                <c:pt idx="0">
                  <c:v>s6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'!$Z$2:$Z$402</c:f>
              <c:numCache>
                <c:formatCode>General</c:formatCode>
                <c:ptCount val="401"/>
                <c:pt idx="0">
                  <c:v>1.07138</c:v>
                </c:pt>
                <c:pt idx="1">
                  <c:v>1.07142</c:v>
                </c:pt>
                <c:pt idx="2">
                  <c:v>1.0724400000000001</c:v>
                </c:pt>
                <c:pt idx="3">
                  <c:v>1.0739799999999999</c:v>
                </c:pt>
                <c:pt idx="4">
                  <c:v>1.0755399999999999</c:v>
                </c:pt>
                <c:pt idx="5">
                  <c:v>1.0767199999999999</c:v>
                </c:pt>
                <c:pt idx="6">
                  <c:v>1.0788</c:v>
                </c:pt>
                <c:pt idx="7">
                  <c:v>1.0817000000000001</c:v>
                </c:pt>
                <c:pt idx="8">
                  <c:v>1.08368</c:v>
                </c:pt>
                <c:pt idx="9">
                  <c:v>1.0868800000000001</c:v>
                </c:pt>
                <c:pt idx="10">
                  <c:v>1.08988</c:v>
                </c:pt>
                <c:pt idx="11">
                  <c:v>1.09246</c:v>
                </c:pt>
                <c:pt idx="12">
                  <c:v>1.09558</c:v>
                </c:pt>
                <c:pt idx="13">
                  <c:v>1.0995200000000001</c:v>
                </c:pt>
                <c:pt idx="14">
                  <c:v>1.10206</c:v>
                </c:pt>
                <c:pt idx="15">
                  <c:v>1.1043000000000001</c:v>
                </c:pt>
                <c:pt idx="16">
                  <c:v>1.1070199999999999</c:v>
                </c:pt>
                <c:pt idx="17">
                  <c:v>1.1105400000000001</c:v>
                </c:pt>
                <c:pt idx="18">
                  <c:v>1.1126</c:v>
                </c:pt>
                <c:pt idx="19">
                  <c:v>1.1145400000000001</c:v>
                </c:pt>
                <c:pt idx="20">
                  <c:v>1.1160600000000001</c:v>
                </c:pt>
                <c:pt idx="21">
                  <c:v>1.1169199999999999</c:v>
                </c:pt>
                <c:pt idx="22">
                  <c:v>1.11832</c:v>
                </c:pt>
                <c:pt idx="23">
                  <c:v>1.1187800000000001</c:v>
                </c:pt>
                <c:pt idx="24">
                  <c:v>1.12002</c:v>
                </c:pt>
                <c:pt idx="25">
                  <c:v>1.1211800000000001</c:v>
                </c:pt>
                <c:pt idx="26">
                  <c:v>1.1221399999999999</c:v>
                </c:pt>
                <c:pt idx="27">
                  <c:v>1.12442</c:v>
                </c:pt>
                <c:pt idx="28">
                  <c:v>1.1261000000000001</c:v>
                </c:pt>
                <c:pt idx="29">
                  <c:v>1.1285000000000001</c:v>
                </c:pt>
                <c:pt idx="30">
                  <c:v>1.1310199999999999</c:v>
                </c:pt>
                <c:pt idx="31">
                  <c:v>1.1337200000000001</c:v>
                </c:pt>
                <c:pt idx="32">
                  <c:v>1.1372</c:v>
                </c:pt>
                <c:pt idx="33">
                  <c:v>1.14042</c:v>
                </c:pt>
                <c:pt idx="34">
                  <c:v>1.1432800000000001</c:v>
                </c:pt>
                <c:pt idx="35">
                  <c:v>1.1471</c:v>
                </c:pt>
                <c:pt idx="36">
                  <c:v>1.15036</c:v>
                </c:pt>
                <c:pt idx="37">
                  <c:v>1.15384</c:v>
                </c:pt>
                <c:pt idx="38">
                  <c:v>1.15652</c:v>
                </c:pt>
                <c:pt idx="39">
                  <c:v>1.15866</c:v>
                </c:pt>
                <c:pt idx="40">
                  <c:v>1.1599200000000001</c:v>
                </c:pt>
                <c:pt idx="41">
                  <c:v>1.1608000000000001</c:v>
                </c:pt>
                <c:pt idx="42">
                  <c:v>1.16028</c:v>
                </c:pt>
                <c:pt idx="43">
                  <c:v>1.15906</c:v>
                </c:pt>
                <c:pt idx="44">
                  <c:v>1.1572199999999999</c:v>
                </c:pt>
                <c:pt idx="45">
                  <c:v>1.1539999999999999</c:v>
                </c:pt>
                <c:pt idx="46">
                  <c:v>1.14968</c:v>
                </c:pt>
                <c:pt idx="47">
                  <c:v>1.1453199999999999</c:v>
                </c:pt>
                <c:pt idx="48">
                  <c:v>1.14008</c:v>
                </c:pt>
                <c:pt idx="49">
                  <c:v>1.1339999999999999</c:v>
                </c:pt>
                <c:pt idx="50">
                  <c:v>1.12792</c:v>
                </c:pt>
                <c:pt idx="51">
                  <c:v>1.1221000000000001</c:v>
                </c:pt>
                <c:pt idx="52">
                  <c:v>1.11612</c:v>
                </c:pt>
                <c:pt idx="53">
                  <c:v>1.1109</c:v>
                </c:pt>
                <c:pt idx="54">
                  <c:v>1.1064400000000001</c:v>
                </c:pt>
                <c:pt idx="55">
                  <c:v>1.1017999999999999</c:v>
                </c:pt>
                <c:pt idx="56">
                  <c:v>1.0975999999999999</c:v>
                </c:pt>
                <c:pt idx="57">
                  <c:v>1.09378</c:v>
                </c:pt>
                <c:pt idx="58">
                  <c:v>1.0909800000000001</c:v>
                </c:pt>
                <c:pt idx="59">
                  <c:v>1.0881000000000001</c:v>
                </c:pt>
                <c:pt idx="60">
                  <c:v>1.08602</c:v>
                </c:pt>
                <c:pt idx="61">
                  <c:v>1.0839799999999999</c:v>
                </c:pt>
                <c:pt idx="62">
                  <c:v>1.08206</c:v>
                </c:pt>
                <c:pt idx="63">
                  <c:v>1.0804199999999999</c:v>
                </c:pt>
                <c:pt idx="64">
                  <c:v>1.0783</c:v>
                </c:pt>
                <c:pt idx="65">
                  <c:v>1.0766199999999999</c:v>
                </c:pt>
                <c:pt idx="66">
                  <c:v>1.07464</c:v>
                </c:pt>
                <c:pt idx="67">
                  <c:v>1.0730200000000001</c:v>
                </c:pt>
                <c:pt idx="68">
                  <c:v>1.07098</c:v>
                </c:pt>
                <c:pt idx="69">
                  <c:v>1.0688200000000001</c:v>
                </c:pt>
                <c:pt idx="70">
                  <c:v>1.06724</c:v>
                </c:pt>
                <c:pt idx="71">
                  <c:v>1.0650599999999999</c:v>
                </c:pt>
                <c:pt idx="72">
                  <c:v>1.0630200000000001</c:v>
                </c:pt>
                <c:pt idx="73">
                  <c:v>1.06118</c:v>
                </c:pt>
                <c:pt idx="74">
                  <c:v>1.0592600000000001</c:v>
                </c:pt>
                <c:pt idx="75">
                  <c:v>1.0572600000000001</c:v>
                </c:pt>
                <c:pt idx="76">
                  <c:v>1.0554600000000001</c:v>
                </c:pt>
                <c:pt idx="77">
                  <c:v>1.0537399999999999</c:v>
                </c:pt>
                <c:pt idx="78">
                  <c:v>1.05206</c:v>
                </c:pt>
                <c:pt idx="79">
                  <c:v>1.05054</c:v>
                </c:pt>
                <c:pt idx="80">
                  <c:v>1.0490999999999999</c:v>
                </c:pt>
                <c:pt idx="81">
                  <c:v>1.04816</c:v>
                </c:pt>
                <c:pt idx="82">
                  <c:v>1.0468999999999999</c:v>
                </c:pt>
                <c:pt idx="83">
                  <c:v>1.0457799999999999</c:v>
                </c:pt>
                <c:pt idx="84">
                  <c:v>1.0449600000000001</c:v>
                </c:pt>
                <c:pt idx="85">
                  <c:v>1.04426</c:v>
                </c:pt>
                <c:pt idx="86">
                  <c:v>1.04382</c:v>
                </c:pt>
                <c:pt idx="87">
                  <c:v>1.0429600000000001</c:v>
                </c:pt>
                <c:pt idx="88">
                  <c:v>1.04264</c:v>
                </c:pt>
                <c:pt idx="89">
                  <c:v>1.04244</c:v>
                </c:pt>
                <c:pt idx="90">
                  <c:v>1.04196</c:v>
                </c:pt>
                <c:pt idx="91">
                  <c:v>1.04142</c:v>
                </c:pt>
                <c:pt idx="92">
                  <c:v>1.0410200000000001</c:v>
                </c:pt>
                <c:pt idx="93">
                  <c:v>1.0405599999999999</c:v>
                </c:pt>
                <c:pt idx="94">
                  <c:v>1.03986</c:v>
                </c:pt>
                <c:pt idx="95">
                  <c:v>1.03894</c:v>
                </c:pt>
                <c:pt idx="96">
                  <c:v>1.0380199999999999</c:v>
                </c:pt>
                <c:pt idx="97">
                  <c:v>1.0373600000000001</c:v>
                </c:pt>
                <c:pt idx="98">
                  <c:v>1.03592</c:v>
                </c:pt>
                <c:pt idx="99">
                  <c:v>1.0341400000000001</c:v>
                </c:pt>
                <c:pt idx="100">
                  <c:v>1.03274</c:v>
                </c:pt>
                <c:pt idx="101">
                  <c:v>1.0309200000000001</c:v>
                </c:pt>
                <c:pt idx="102">
                  <c:v>1.0291999999999999</c:v>
                </c:pt>
                <c:pt idx="103">
                  <c:v>1.0266999999999999</c:v>
                </c:pt>
                <c:pt idx="104">
                  <c:v>1.0244200000000001</c:v>
                </c:pt>
                <c:pt idx="105">
                  <c:v>1.0221199999999999</c:v>
                </c:pt>
                <c:pt idx="106">
                  <c:v>1.01956</c:v>
                </c:pt>
                <c:pt idx="107">
                  <c:v>1.0167600000000001</c:v>
                </c:pt>
                <c:pt idx="108">
                  <c:v>1.0140400000000001</c:v>
                </c:pt>
                <c:pt idx="109">
                  <c:v>1.01108</c:v>
                </c:pt>
                <c:pt idx="110">
                  <c:v>1.0083</c:v>
                </c:pt>
                <c:pt idx="111">
                  <c:v>1.0056400000000001</c:v>
                </c:pt>
                <c:pt idx="112">
                  <c:v>1.0028600000000001</c:v>
                </c:pt>
                <c:pt idx="113">
                  <c:v>0.99982000000000004</c:v>
                </c:pt>
                <c:pt idx="114">
                  <c:v>0.99697999999999998</c:v>
                </c:pt>
                <c:pt idx="115">
                  <c:v>0.99380000000000002</c:v>
                </c:pt>
                <c:pt idx="116">
                  <c:v>0.99077999999999999</c:v>
                </c:pt>
                <c:pt idx="117">
                  <c:v>0.98746</c:v>
                </c:pt>
                <c:pt idx="118">
                  <c:v>0.98463999999999996</c:v>
                </c:pt>
                <c:pt idx="119">
                  <c:v>0.98155999999999999</c:v>
                </c:pt>
                <c:pt idx="120">
                  <c:v>0.97875999999999996</c:v>
                </c:pt>
                <c:pt idx="121">
                  <c:v>0.97597999999999996</c:v>
                </c:pt>
                <c:pt idx="122">
                  <c:v>0.97306000000000004</c:v>
                </c:pt>
                <c:pt idx="123">
                  <c:v>0.97030000000000005</c:v>
                </c:pt>
                <c:pt idx="124">
                  <c:v>0.96740000000000004</c:v>
                </c:pt>
                <c:pt idx="125">
                  <c:v>0.96518000000000004</c:v>
                </c:pt>
                <c:pt idx="126">
                  <c:v>0.96218000000000004</c:v>
                </c:pt>
                <c:pt idx="127">
                  <c:v>0.95989999999999998</c:v>
                </c:pt>
                <c:pt idx="128">
                  <c:v>0.95767999999999998</c:v>
                </c:pt>
                <c:pt idx="129">
                  <c:v>0.95486000000000004</c:v>
                </c:pt>
                <c:pt idx="130">
                  <c:v>0.95277999999999996</c:v>
                </c:pt>
                <c:pt idx="131">
                  <c:v>0.95065999999999995</c:v>
                </c:pt>
                <c:pt idx="132">
                  <c:v>0.94845999999999997</c:v>
                </c:pt>
                <c:pt idx="133">
                  <c:v>0.94620000000000004</c:v>
                </c:pt>
                <c:pt idx="134">
                  <c:v>0.94447999999999999</c:v>
                </c:pt>
                <c:pt idx="135">
                  <c:v>0.94232000000000005</c:v>
                </c:pt>
                <c:pt idx="136">
                  <c:v>0.94052000000000002</c:v>
                </c:pt>
                <c:pt idx="137">
                  <c:v>0.93798000000000004</c:v>
                </c:pt>
                <c:pt idx="138">
                  <c:v>0.93610000000000004</c:v>
                </c:pt>
                <c:pt idx="139">
                  <c:v>0.93464000000000003</c:v>
                </c:pt>
                <c:pt idx="140">
                  <c:v>0.93308000000000002</c:v>
                </c:pt>
                <c:pt idx="141">
                  <c:v>0.93130000000000002</c:v>
                </c:pt>
                <c:pt idx="142">
                  <c:v>0.92962</c:v>
                </c:pt>
                <c:pt idx="143">
                  <c:v>0.92837999999999998</c:v>
                </c:pt>
                <c:pt idx="144">
                  <c:v>0.92703999999999998</c:v>
                </c:pt>
                <c:pt idx="145">
                  <c:v>0.92537999999999998</c:v>
                </c:pt>
                <c:pt idx="146">
                  <c:v>0.92449999999999999</c:v>
                </c:pt>
                <c:pt idx="147">
                  <c:v>0.92327999999999999</c:v>
                </c:pt>
                <c:pt idx="148">
                  <c:v>0.92190000000000005</c:v>
                </c:pt>
                <c:pt idx="149">
                  <c:v>0.92101999999999995</c:v>
                </c:pt>
                <c:pt idx="150">
                  <c:v>0.91952</c:v>
                </c:pt>
                <c:pt idx="151">
                  <c:v>0.91859999999999997</c:v>
                </c:pt>
                <c:pt idx="152">
                  <c:v>0.91737999999999997</c:v>
                </c:pt>
                <c:pt idx="153">
                  <c:v>0.91649999999999998</c:v>
                </c:pt>
                <c:pt idx="154">
                  <c:v>0.91571999999999998</c:v>
                </c:pt>
                <c:pt idx="155">
                  <c:v>0.91498000000000002</c:v>
                </c:pt>
                <c:pt idx="156">
                  <c:v>0.91405999999999998</c:v>
                </c:pt>
                <c:pt idx="157">
                  <c:v>0.91325999999999996</c:v>
                </c:pt>
                <c:pt idx="158">
                  <c:v>0.91288000000000002</c:v>
                </c:pt>
                <c:pt idx="159">
                  <c:v>0.91213999999999995</c:v>
                </c:pt>
                <c:pt idx="160">
                  <c:v>0.91166000000000003</c:v>
                </c:pt>
                <c:pt idx="161">
                  <c:v>0.91132000000000002</c:v>
                </c:pt>
                <c:pt idx="162">
                  <c:v>0.91076000000000001</c:v>
                </c:pt>
                <c:pt idx="163">
                  <c:v>0.9103</c:v>
                </c:pt>
                <c:pt idx="164">
                  <c:v>0.90988000000000002</c:v>
                </c:pt>
                <c:pt idx="165">
                  <c:v>0.90998000000000001</c:v>
                </c:pt>
                <c:pt idx="166">
                  <c:v>0.90966000000000002</c:v>
                </c:pt>
                <c:pt idx="167">
                  <c:v>0.90952</c:v>
                </c:pt>
                <c:pt idx="168">
                  <c:v>0.90939999999999999</c:v>
                </c:pt>
                <c:pt idx="169">
                  <c:v>0.90942000000000001</c:v>
                </c:pt>
                <c:pt idx="170">
                  <c:v>0.90946000000000005</c:v>
                </c:pt>
                <c:pt idx="171">
                  <c:v>0.90981999999999996</c:v>
                </c:pt>
                <c:pt idx="172">
                  <c:v>0.90988000000000002</c:v>
                </c:pt>
                <c:pt idx="173">
                  <c:v>0.90998000000000001</c:v>
                </c:pt>
                <c:pt idx="174">
                  <c:v>0.91003999999999996</c:v>
                </c:pt>
                <c:pt idx="175">
                  <c:v>0.91039999999999999</c:v>
                </c:pt>
                <c:pt idx="176">
                  <c:v>0.91091999999999995</c:v>
                </c:pt>
                <c:pt idx="177">
                  <c:v>0.91139999999999999</c:v>
                </c:pt>
                <c:pt idx="178">
                  <c:v>0.91180000000000005</c:v>
                </c:pt>
                <c:pt idx="179">
                  <c:v>0.91191999999999995</c:v>
                </c:pt>
                <c:pt idx="180">
                  <c:v>0.9123</c:v>
                </c:pt>
                <c:pt idx="181">
                  <c:v>0.91249999999999998</c:v>
                </c:pt>
                <c:pt idx="182">
                  <c:v>0.91290000000000004</c:v>
                </c:pt>
                <c:pt idx="183">
                  <c:v>0.91295999999999999</c:v>
                </c:pt>
                <c:pt idx="184">
                  <c:v>0.91312000000000004</c:v>
                </c:pt>
                <c:pt idx="185">
                  <c:v>0.91317999999999999</c:v>
                </c:pt>
                <c:pt idx="186">
                  <c:v>0.91335999999999995</c:v>
                </c:pt>
                <c:pt idx="187">
                  <c:v>0.91347999999999996</c:v>
                </c:pt>
                <c:pt idx="188">
                  <c:v>0.91359999999999997</c:v>
                </c:pt>
                <c:pt idx="189">
                  <c:v>0.91381999999999997</c:v>
                </c:pt>
                <c:pt idx="190">
                  <c:v>0.91381999999999997</c:v>
                </c:pt>
                <c:pt idx="191">
                  <c:v>0.91393999999999997</c:v>
                </c:pt>
                <c:pt idx="192">
                  <c:v>0.91412000000000004</c:v>
                </c:pt>
                <c:pt idx="193">
                  <c:v>0.91422000000000003</c:v>
                </c:pt>
                <c:pt idx="194">
                  <c:v>0.91417999999999999</c:v>
                </c:pt>
                <c:pt idx="195">
                  <c:v>0.91412000000000004</c:v>
                </c:pt>
                <c:pt idx="196">
                  <c:v>0.91403999999999996</c:v>
                </c:pt>
                <c:pt idx="197">
                  <c:v>0.91381999999999997</c:v>
                </c:pt>
                <c:pt idx="198">
                  <c:v>0.91393999999999997</c:v>
                </c:pt>
                <c:pt idx="199">
                  <c:v>0.91393999999999997</c:v>
                </c:pt>
                <c:pt idx="200">
                  <c:v>0.91378000000000004</c:v>
                </c:pt>
                <c:pt idx="201">
                  <c:v>0.91398000000000001</c:v>
                </c:pt>
                <c:pt idx="202">
                  <c:v>0.91427999999999998</c:v>
                </c:pt>
                <c:pt idx="203">
                  <c:v>0.91456000000000004</c:v>
                </c:pt>
                <c:pt idx="204">
                  <c:v>0.91488000000000003</c:v>
                </c:pt>
                <c:pt idx="205">
                  <c:v>0.91556000000000004</c:v>
                </c:pt>
                <c:pt idx="206">
                  <c:v>0.9163</c:v>
                </c:pt>
                <c:pt idx="207">
                  <c:v>0.91693999999999998</c:v>
                </c:pt>
                <c:pt idx="208">
                  <c:v>0.91801999999999995</c:v>
                </c:pt>
                <c:pt idx="209">
                  <c:v>0.91886000000000001</c:v>
                </c:pt>
                <c:pt idx="210">
                  <c:v>0.92008000000000001</c:v>
                </c:pt>
                <c:pt idx="211">
                  <c:v>0.92154000000000003</c:v>
                </c:pt>
                <c:pt idx="212">
                  <c:v>0.92310000000000003</c:v>
                </c:pt>
                <c:pt idx="213">
                  <c:v>0.92498000000000002</c:v>
                </c:pt>
                <c:pt idx="214">
                  <c:v>0.92712000000000006</c:v>
                </c:pt>
                <c:pt idx="215">
                  <c:v>0.92920000000000003</c:v>
                </c:pt>
                <c:pt idx="216">
                  <c:v>0.93128</c:v>
                </c:pt>
                <c:pt idx="217">
                  <c:v>0.93396000000000001</c:v>
                </c:pt>
                <c:pt idx="218">
                  <c:v>0.93644000000000005</c:v>
                </c:pt>
                <c:pt idx="219">
                  <c:v>0.93899999999999995</c:v>
                </c:pt>
                <c:pt idx="220">
                  <c:v>0.94145999999999996</c:v>
                </c:pt>
                <c:pt idx="221">
                  <c:v>0.94411999999999996</c:v>
                </c:pt>
                <c:pt idx="222">
                  <c:v>0.94667999999999997</c:v>
                </c:pt>
                <c:pt idx="223">
                  <c:v>0.94950000000000001</c:v>
                </c:pt>
                <c:pt idx="224">
                  <c:v>0.95228000000000002</c:v>
                </c:pt>
                <c:pt idx="225">
                  <c:v>0.95472000000000001</c:v>
                </c:pt>
                <c:pt idx="226">
                  <c:v>0.95740000000000003</c:v>
                </c:pt>
                <c:pt idx="227">
                  <c:v>0.95972000000000002</c:v>
                </c:pt>
                <c:pt idx="228">
                  <c:v>0.96182000000000001</c:v>
                </c:pt>
                <c:pt idx="229">
                  <c:v>0.96379999999999999</c:v>
                </c:pt>
                <c:pt idx="230">
                  <c:v>0.96545999999999998</c:v>
                </c:pt>
                <c:pt idx="231">
                  <c:v>0.96709999999999996</c:v>
                </c:pt>
                <c:pt idx="232">
                  <c:v>0.96838000000000002</c:v>
                </c:pt>
                <c:pt idx="233">
                  <c:v>0.96958</c:v>
                </c:pt>
                <c:pt idx="234">
                  <c:v>0.96997999999999995</c:v>
                </c:pt>
                <c:pt idx="235">
                  <c:v>0.97028000000000003</c:v>
                </c:pt>
                <c:pt idx="236">
                  <c:v>0.97033999999999998</c:v>
                </c:pt>
                <c:pt idx="237">
                  <c:v>0.96987999999999996</c:v>
                </c:pt>
                <c:pt idx="238">
                  <c:v>0.96914</c:v>
                </c:pt>
                <c:pt idx="239">
                  <c:v>0.96808000000000005</c:v>
                </c:pt>
                <c:pt idx="240">
                  <c:v>0.96655999999999997</c:v>
                </c:pt>
                <c:pt idx="241">
                  <c:v>0.96484000000000003</c:v>
                </c:pt>
                <c:pt idx="242">
                  <c:v>0.96304000000000001</c:v>
                </c:pt>
                <c:pt idx="243">
                  <c:v>0.96087999999999996</c:v>
                </c:pt>
                <c:pt idx="244">
                  <c:v>0.95864000000000005</c:v>
                </c:pt>
                <c:pt idx="245">
                  <c:v>0.95620000000000005</c:v>
                </c:pt>
                <c:pt idx="246">
                  <c:v>0.95398000000000005</c:v>
                </c:pt>
                <c:pt idx="247">
                  <c:v>0.95143999999999995</c:v>
                </c:pt>
                <c:pt idx="248">
                  <c:v>0.94898000000000005</c:v>
                </c:pt>
                <c:pt idx="249">
                  <c:v>0.9466</c:v>
                </c:pt>
                <c:pt idx="250">
                  <c:v>0.94396000000000002</c:v>
                </c:pt>
                <c:pt idx="251">
                  <c:v>0.94155999999999995</c:v>
                </c:pt>
                <c:pt idx="252">
                  <c:v>0.93918000000000001</c:v>
                </c:pt>
                <c:pt idx="253">
                  <c:v>0.93701999999999996</c:v>
                </c:pt>
                <c:pt idx="254">
                  <c:v>0.93469999999999998</c:v>
                </c:pt>
                <c:pt idx="255">
                  <c:v>0.93255999999999994</c:v>
                </c:pt>
                <c:pt idx="256">
                  <c:v>0.93076000000000003</c:v>
                </c:pt>
                <c:pt idx="257">
                  <c:v>0.92930000000000001</c:v>
                </c:pt>
                <c:pt idx="258">
                  <c:v>0.92803999999999998</c:v>
                </c:pt>
                <c:pt idx="259">
                  <c:v>0.92712000000000006</c:v>
                </c:pt>
                <c:pt idx="260">
                  <c:v>0.92652000000000001</c:v>
                </c:pt>
                <c:pt idx="261">
                  <c:v>0.92642000000000002</c:v>
                </c:pt>
                <c:pt idx="262">
                  <c:v>0.92693999999999999</c:v>
                </c:pt>
                <c:pt idx="263">
                  <c:v>0.92791999999999997</c:v>
                </c:pt>
                <c:pt idx="264">
                  <c:v>0.92944000000000004</c:v>
                </c:pt>
                <c:pt idx="265">
                  <c:v>0.93176000000000003</c:v>
                </c:pt>
                <c:pt idx="266">
                  <c:v>0.93442000000000003</c:v>
                </c:pt>
                <c:pt idx="267">
                  <c:v>0.93737999999999999</c:v>
                </c:pt>
                <c:pt idx="268">
                  <c:v>0.94057999999999997</c:v>
                </c:pt>
                <c:pt idx="269">
                  <c:v>0.94389999999999996</c:v>
                </c:pt>
                <c:pt idx="270">
                  <c:v>0.94754000000000005</c:v>
                </c:pt>
                <c:pt idx="271">
                  <c:v>0.95104</c:v>
                </c:pt>
                <c:pt idx="272">
                  <c:v>0.95467999999999997</c:v>
                </c:pt>
                <c:pt idx="273">
                  <c:v>0.95794000000000001</c:v>
                </c:pt>
                <c:pt idx="274">
                  <c:v>0.96121999999999996</c:v>
                </c:pt>
                <c:pt idx="275">
                  <c:v>0.96448</c:v>
                </c:pt>
                <c:pt idx="276">
                  <c:v>0.96772000000000002</c:v>
                </c:pt>
                <c:pt idx="277">
                  <c:v>0.97116000000000002</c:v>
                </c:pt>
                <c:pt idx="278">
                  <c:v>0.97460000000000002</c:v>
                </c:pt>
                <c:pt idx="279">
                  <c:v>0.97775999999999996</c:v>
                </c:pt>
                <c:pt idx="280">
                  <c:v>0.98016000000000003</c:v>
                </c:pt>
                <c:pt idx="281">
                  <c:v>0.98196000000000006</c:v>
                </c:pt>
                <c:pt idx="282">
                  <c:v>0.98251999999999995</c:v>
                </c:pt>
                <c:pt idx="283">
                  <c:v>0.98168</c:v>
                </c:pt>
                <c:pt idx="284">
                  <c:v>0.97968</c:v>
                </c:pt>
                <c:pt idx="285">
                  <c:v>0.97638000000000003</c:v>
                </c:pt>
                <c:pt idx="286">
                  <c:v>0.97216000000000002</c:v>
                </c:pt>
                <c:pt idx="287">
                  <c:v>0.96657999999999999</c:v>
                </c:pt>
                <c:pt idx="288">
                  <c:v>0.96043999999999996</c:v>
                </c:pt>
                <c:pt idx="289">
                  <c:v>0.95355999999999996</c:v>
                </c:pt>
                <c:pt idx="290">
                  <c:v>0.94621999999999995</c:v>
                </c:pt>
                <c:pt idx="291">
                  <c:v>0.93820000000000003</c:v>
                </c:pt>
                <c:pt idx="292">
                  <c:v>0.93069999999999997</c:v>
                </c:pt>
                <c:pt idx="293">
                  <c:v>0.92310000000000003</c:v>
                </c:pt>
                <c:pt idx="294">
                  <c:v>0.91522000000000003</c:v>
                </c:pt>
                <c:pt idx="295">
                  <c:v>0.90832000000000002</c:v>
                </c:pt>
                <c:pt idx="296">
                  <c:v>0.90139999999999998</c:v>
                </c:pt>
                <c:pt idx="297">
                  <c:v>0.89492000000000005</c:v>
                </c:pt>
                <c:pt idx="298">
                  <c:v>0.88882000000000005</c:v>
                </c:pt>
                <c:pt idx="299">
                  <c:v>0.88329999999999997</c:v>
                </c:pt>
                <c:pt idx="300">
                  <c:v>0.87792000000000003</c:v>
                </c:pt>
                <c:pt idx="301">
                  <c:v>0.87280000000000002</c:v>
                </c:pt>
                <c:pt idx="302">
                  <c:v>0.86831999999999998</c:v>
                </c:pt>
                <c:pt idx="303">
                  <c:v>0.86409999999999998</c:v>
                </c:pt>
                <c:pt idx="304">
                  <c:v>0.86019999999999996</c:v>
                </c:pt>
                <c:pt idx="305">
                  <c:v>0.85650000000000004</c:v>
                </c:pt>
                <c:pt idx="306">
                  <c:v>0.85287999999999997</c:v>
                </c:pt>
                <c:pt idx="307">
                  <c:v>0.84975999999999996</c:v>
                </c:pt>
                <c:pt idx="308">
                  <c:v>0.84658</c:v>
                </c:pt>
                <c:pt idx="309">
                  <c:v>0.84355999999999998</c:v>
                </c:pt>
                <c:pt idx="310">
                  <c:v>0.84065999999999996</c:v>
                </c:pt>
                <c:pt idx="311">
                  <c:v>0.83801999999999999</c:v>
                </c:pt>
                <c:pt idx="312">
                  <c:v>0.83548</c:v>
                </c:pt>
                <c:pt idx="313">
                  <c:v>0.83306000000000002</c:v>
                </c:pt>
                <c:pt idx="314">
                  <c:v>0.83087999999999995</c:v>
                </c:pt>
                <c:pt idx="315">
                  <c:v>0.82876000000000005</c:v>
                </c:pt>
                <c:pt idx="316">
                  <c:v>0.8266</c:v>
                </c:pt>
                <c:pt idx="317">
                  <c:v>0.82452000000000003</c:v>
                </c:pt>
                <c:pt idx="318">
                  <c:v>0.82247999999999999</c:v>
                </c:pt>
                <c:pt idx="319">
                  <c:v>0.82052000000000003</c:v>
                </c:pt>
                <c:pt idx="320">
                  <c:v>0.81864000000000003</c:v>
                </c:pt>
                <c:pt idx="321">
                  <c:v>0.81679999999999997</c:v>
                </c:pt>
                <c:pt idx="322">
                  <c:v>0.81503999999999999</c:v>
                </c:pt>
                <c:pt idx="323">
                  <c:v>0.8135</c:v>
                </c:pt>
                <c:pt idx="324">
                  <c:v>0.81198000000000004</c:v>
                </c:pt>
                <c:pt idx="325">
                  <c:v>0.81018000000000001</c:v>
                </c:pt>
                <c:pt idx="326">
                  <c:v>0.80859999999999999</c:v>
                </c:pt>
                <c:pt idx="327">
                  <c:v>0.80693999999999999</c:v>
                </c:pt>
                <c:pt idx="328">
                  <c:v>0.80535999999999996</c:v>
                </c:pt>
                <c:pt idx="329">
                  <c:v>0.80391999999999997</c:v>
                </c:pt>
                <c:pt idx="330">
                  <c:v>0.80257999999999996</c:v>
                </c:pt>
                <c:pt idx="331">
                  <c:v>0.80101999999999995</c:v>
                </c:pt>
                <c:pt idx="332">
                  <c:v>0.79971999999999999</c:v>
                </c:pt>
                <c:pt idx="333">
                  <c:v>0.79834000000000005</c:v>
                </c:pt>
                <c:pt idx="334">
                  <c:v>0.79690000000000005</c:v>
                </c:pt>
                <c:pt idx="335">
                  <c:v>0.79559999999999997</c:v>
                </c:pt>
                <c:pt idx="336">
                  <c:v>0.79403999999999997</c:v>
                </c:pt>
                <c:pt idx="337">
                  <c:v>0.79276000000000002</c:v>
                </c:pt>
                <c:pt idx="338">
                  <c:v>0.79137999999999997</c:v>
                </c:pt>
                <c:pt idx="339">
                  <c:v>0.79013999999999995</c:v>
                </c:pt>
                <c:pt idx="340">
                  <c:v>0.78888000000000003</c:v>
                </c:pt>
                <c:pt idx="341">
                  <c:v>0.78756000000000004</c:v>
                </c:pt>
                <c:pt idx="342">
                  <c:v>0.78625999999999996</c:v>
                </c:pt>
                <c:pt idx="343">
                  <c:v>0.78512000000000004</c:v>
                </c:pt>
                <c:pt idx="344">
                  <c:v>0.78390000000000004</c:v>
                </c:pt>
                <c:pt idx="345">
                  <c:v>0.78266000000000002</c:v>
                </c:pt>
                <c:pt idx="346">
                  <c:v>0.78134000000000003</c:v>
                </c:pt>
                <c:pt idx="347">
                  <c:v>0.78012000000000004</c:v>
                </c:pt>
                <c:pt idx="348">
                  <c:v>0.77907999999999999</c:v>
                </c:pt>
                <c:pt idx="349">
                  <c:v>0.77791999999999994</c:v>
                </c:pt>
                <c:pt idx="350">
                  <c:v>0.77676000000000001</c:v>
                </c:pt>
                <c:pt idx="351">
                  <c:v>0.77566000000000002</c:v>
                </c:pt>
                <c:pt idx="352">
                  <c:v>0.77466000000000002</c:v>
                </c:pt>
                <c:pt idx="353">
                  <c:v>0.77361999999999997</c:v>
                </c:pt>
                <c:pt idx="354">
                  <c:v>0.77244000000000002</c:v>
                </c:pt>
                <c:pt idx="355">
                  <c:v>0.77136000000000005</c:v>
                </c:pt>
                <c:pt idx="356">
                  <c:v>0.77029999999999998</c:v>
                </c:pt>
                <c:pt idx="357">
                  <c:v>0.76922000000000001</c:v>
                </c:pt>
                <c:pt idx="358">
                  <c:v>0.7681</c:v>
                </c:pt>
                <c:pt idx="359">
                  <c:v>0.76707999999999998</c:v>
                </c:pt>
                <c:pt idx="360">
                  <c:v>0.76607999999999998</c:v>
                </c:pt>
                <c:pt idx="361">
                  <c:v>0.76537999999999995</c:v>
                </c:pt>
                <c:pt idx="362">
                  <c:v>0.76449999999999996</c:v>
                </c:pt>
                <c:pt idx="363">
                  <c:v>0.76336000000000004</c:v>
                </c:pt>
                <c:pt idx="364">
                  <c:v>0.76232</c:v>
                </c:pt>
                <c:pt idx="365">
                  <c:v>0.76132</c:v>
                </c:pt>
                <c:pt idx="366">
                  <c:v>0.76037999999999994</c:v>
                </c:pt>
                <c:pt idx="367">
                  <c:v>0.75934000000000001</c:v>
                </c:pt>
                <c:pt idx="368">
                  <c:v>0.75836000000000003</c:v>
                </c:pt>
                <c:pt idx="369">
                  <c:v>0.75741999999999998</c:v>
                </c:pt>
                <c:pt idx="370">
                  <c:v>0.75634000000000001</c:v>
                </c:pt>
                <c:pt idx="371">
                  <c:v>0.75549999999999995</c:v>
                </c:pt>
                <c:pt idx="372">
                  <c:v>0.75446000000000002</c:v>
                </c:pt>
                <c:pt idx="373">
                  <c:v>0.75366</c:v>
                </c:pt>
                <c:pt idx="374">
                  <c:v>0.75273999999999996</c:v>
                </c:pt>
                <c:pt idx="375">
                  <c:v>0.75173999999999996</c:v>
                </c:pt>
                <c:pt idx="376">
                  <c:v>0.75073999999999996</c:v>
                </c:pt>
                <c:pt idx="377">
                  <c:v>0.74990000000000001</c:v>
                </c:pt>
                <c:pt idx="378">
                  <c:v>0.74902000000000002</c:v>
                </c:pt>
                <c:pt idx="379">
                  <c:v>0.74802000000000002</c:v>
                </c:pt>
                <c:pt idx="380">
                  <c:v>0.74731999999999998</c:v>
                </c:pt>
                <c:pt idx="381">
                  <c:v>0.74636000000000002</c:v>
                </c:pt>
                <c:pt idx="382">
                  <c:v>0.74548000000000003</c:v>
                </c:pt>
                <c:pt idx="383">
                  <c:v>0.74453999999999998</c:v>
                </c:pt>
                <c:pt idx="384">
                  <c:v>0.74385999999999997</c:v>
                </c:pt>
                <c:pt idx="385">
                  <c:v>0.74287999999999998</c:v>
                </c:pt>
                <c:pt idx="386">
                  <c:v>0.74194000000000004</c:v>
                </c:pt>
                <c:pt idx="387">
                  <c:v>0.74095999999999995</c:v>
                </c:pt>
                <c:pt idx="388">
                  <c:v>0.74024000000000001</c:v>
                </c:pt>
                <c:pt idx="389">
                  <c:v>0.73931999999999998</c:v>
                </c:pt>
                <c:pt idx="390">
                  <c:v>0.73839999999999995</c:v>
                </c:pt>
                <c:pt idx="391">
                  <c:v>0.73746</c:v>
                </c:pt>
                <c:pt idx="392">
                  <c:v>0.73658000000000001</c:v>
                </c:pt>
                <c:pt idx="393">
                  <c:v>0.73572000000000004</c:v>
                </c:pt>
                <c:pt idx="394">
                  <c:v>0.73485999999999996</c:v>
                </c:pt>
                <c:pt idx="395">
                  <c:v>0.73399999999999999</c:v>
                </c:pt>
                <c:pt idx="396">
                  <c:v>0.73304000000000002</c:v>
                </c:pt>
                <c:pt idx="397">
                  <c:v>0.73206000000000004</c:v>
                </c:pt>
                <c:pt idx="398">
                  <c:v>0.73138000000000003</c:v>
                </c:pt>
                <c:pt idx="399">
                  <c:v>0.73050000000000004</c:v>
                </c:pt>
                <c:pt idx="400">
                  <c:v>0.72968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E6-408E-80C6-9165C6BD0725}"/>
            </c:ext>
          </c:extLst>
        </c:ser>
        <c:ser>
          <c:idx val="6"/>
          <c:order val="6"/>
          <c:tx>
            <c:strRef>
              <c:f>'Pig graph '!$AA$1</c:f>
              <c:strCache>
                <c:ptCount val="1"/>
                <c:pt idx="0">
                  <c:v>s7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'!$AA$2:$AA$402</c:f>
              <c:numCache>
                <c:formatCode>General</c:formatCode>
                <c:ptCount val="401"/>
                <c:pt idx="0">
                  <c:v>1.11422</c:v>
                </c:pt>
                <c:pt idx="1">
                  <c:v>1.11496</c:v>
                </c:pt>
                <c:pt idx="2">
                  <c:v>1.11652</c:v>
                </c:pt>
                <c:pt idx="3">
                  <c:v>1.11774</c:v>
                </c:pt>
                <c:pt idx="4">
                  <c:v>1.11954</c:v>
                </c:pt>
                <c:pt idx="5">
                  <c:v>1.1212800000000001</c:v>
                </c:pt>
                <c:pt idx="6">
                  <c:v>1.12338</c:v>
                </c:pt>
                <c:pt idx="7">
                  <c:v>1.1264000000000001</c:v>
                </c:pt>
                <c:pt idx="8">
                  <c:v>1.1287799999999999</c:v>
                </c:pt>
                <c:pt idx="9">
                  <c:v>1.1319600000000001</c:v>
                </c:pt>
                <c:pt idx="10">
                  <c:v>1.1345799999999999</c:v>
                </c:pt>
                <c:pt idx="11">
                  <c:v>1.13788</c:v>
                </c:pt>
                <c:pt idx="12">
                  <c:v>1.1410199999999999</c:v>
                </c:pt>
                <c:pt idx="13">
                  <c:v>1.1442600000000001</c:v>
                </c:pt>
                <c:pt idx="14">
                  <c:v>1.1471199999999999</c:v>
                </c:pt>
                <c:pt idx="15">
                  <c:v>1.1498200000000001</c:v>
                </c:pt>
                <c:pt idx="16">
                  <c:v>1.1520600000000001</c:v>
                </c:pt>
                <c:pt idx="17">
                  <c:v>1.1557999999999999</c:v>
                </c:pt>
                <c:pt idx="18">
                  <c:v>1.1581999999999999</c:v>
                </c:pt>
                <c:pt idx="19">
                  <c:v>1.1596</c:v>
                </c:pt>
                <c:pt idx="20">
                  <c:v>1.16116</c:v>
                </c:pt>
                <c:pt idx="21">
                  <c:v>1.16266</c:v>
                </c:pt>
                <c:pt idx="22">
                  <c:v>1.16364</c:v>
                </c:pt>
                <c:pt idx="23">
                  <c:v>1.16476</c:v>
                </c:pt>
                <c:pt idx="24">
                  <c:v>1.16574</c:v>
                </c:pt>
                <c:pt idx="25">
                  <c:v>1.1674800000000001</c:v>
                </c:pt>
                <c:pt idx="26">
                  <c:v>1.16828</c:v>
                </c:pt>
                <c:pt idx="27">
                  <c:v>1.1702600000000001</c:v>
                </c:pt>
                <c:pt idx="28">
                  <c:v>1.1722999999999999</c:v>
                </c:pt>
                <c:pt idx="29">
                  <c:v>1.1746000000000001</c:v>
                </c:pt>
                <c:pt idx="30">
                  <c:v>1.1772199999999999</c:v>
                </c:pt>
                <c:pt idx="31">
                  <c:v>1.1800600000000001</c:v>
                </c:pt>
                <c:pt idx="32">
                  <c:v>1.1833400000000001</c:v>
                </c:pt>
                <c:pt idx="33">
                  <c:v>1.18598</c:v>
                </c:pt>
                <c:pt idx="34">
                  <c:v>1.1893400000000001</c:v>
                </c:pt>
                <c:pt idx="35">
                  <c:v>1.1937</c:v>
                </c:pt>
                <c:pt idx="36">
                  <c:v>1.19668</c:v>
                </c:pt>
                <c:pt idx="37">
                  <c:v>1.2000999999999999</c:v>
                </c:pt>
                <c:pt idx="38">
                  <c:v>1.2026600000000001</c:v>
                </c:pt>
                <c:pt idx="39">
                  <c:v>1.2045600000000001</c:v>
                </c:pt>
                <c:pt idx="40">
                  <c:v>1.2056800000000001</c:v>
                </c:pt>
                <c:pt idx="41">
                  <c:v>1.20614</c:v>
                </c:pt>
                <c:pt idx="42">
                  <c:v>1.20566</c:v>
                </c:pt>
                <c:pt idx="43">
                  <c:v>1.20452</c:v>
                </c:pt>
                <c:pt idx="44">
                  <c:v>1.2025399999999999</c:v>
                </c:pt>
                <c:pt idx="45">
                  <c:v>1.1992400000000001</c:v>
                </c:pt>
                <c:pt idx="46">
                  <c:v>1.1954400000000001</c:v>
                </c:pt>
                <c:pt idx="47">
                  <c:v>1.19062</c:v>
                </c:pt>
                <c:pt idx="48">
                  <c:v>1.1852199999999999</c:v>
                </c:pt>
                <c:pt idx="49">
                  <c:v>1.1792</c:v>
                </c:pt>
                <c:pt idx="50">
                  <c:v>1.1733</c:v>
                </c:pt>
                <c:pt idx="51">
                  <c:v>1.1673800000000001</c:v>
                </c:pt>
                <c:pt idx="52">
                  <c:v>1.1616599999999999</c:v>
                </c:pt>
                <c:pt idx="53">
                  <c:v>1.15652</c:v>
                </c:pt>
                <c:pt idx="54">
                  <c:v>1.15198</c:v>
                </c:pt>
                <c:pt idx="55">
                  <c:v>1.14768</c:v>
                </c:pt>
                <c:pt idx="56">
                  <c:v>1.1436200000000001</c:v>
                </c:pt>
                <c:pt idx="57">
                  <c:v>1.14036</c:v>
                </c:pt>
                <c:pt idx="58">
                  <c:v>1.13724</c:v>
                </c:pt>
                <c:pt idx="59">
                  <c:v>1.1351599999999999</c:v>
                </c:pt>
                <c:pt idx="60">
                  <c:v>1.1326000000000001</c:v>
                </c:pt>
                <c:pt idx="61">
                  <c:v>1.1310199999999999</c:v>
                </c:pt>
                <c:pt idx="62">
                  <c:v>1.1291800000000001</c:v>
                </c:pt>
                <c:pt idx="63">
                  <c:v>1.1272800000000001</c:v>
                </c:pt>
                <c:pt idx="64">
                  <c:v>1.1253599999999999</c:v>
                </c:pt>
                <c:pt idx="65">
                  <c:v>1.1236600000000001</c:v>
                </c:pt>
                <c:pt idx="66">
                  <c:v>1.1218600000000001</c:v>
                </c:pt>
                <c:pt idx="67">
                  <c:v>1.1199399999999999</c:v>
                </c:pt>
                <c:pt idx="68">
                  <c:v>1.1183399999999999</c:v>
                </c:pt>
                <c:pt idx="69">
                  <c:v>1.1160000000000001</c:v>
                </c:pt>
                <c:pt idx="70">
                  <c:v>1.11442</c:v>
                </c:pt>
                <c:pt idx="71">
                  <c:v>1.11242</c:v>
                </c:pt>
                <c:pt idx="72">
                  <c:v>1.1104400000000001</c:v>
                </c:pt>
                <c:pt idx="73">
                  <c:v>1.10856</c:v>
                </c:pt>
                <c:pt idx="74">
                  <c:v>1.10676</c:v>
                </c:pt>
                <c:pt idx="75">
                  <c:v>1.1050199999999999</c:v>
                </c:pt>
                <c:pt idx="76">
                  <c:v>1.1029</c:v>
                </c:pt>
                <c:pt idx="77">
                  <c:v>1.10138</c:v>
                </c:pt>
                <c:pt idx="78">
                  <c:v>1.0994200000000001</c:v>
                </c:pt>
                <c:pt idx="79">
                  <c:v>1.09812</c:v>
                </c:pt>
                <c:pt idx="80">
                  <c:v>1.0966800000000001</c:v>
                </c:pt>
                <c:pt idx="81">
                  <c:v>1.09592</c:v>
                </c:pt>
                <c:pt idx="82">
                  <c:v>1.0946400000000001</c:v>
                </c:pt>
                <c:pt idx="83">
                  <c:v>1.09378</c:v>
                </c:pt>
                <c:pt idx="84">
                  <c:v>1.09256</c:v>
                </c:pt>
                <c:pt idx="85">
                  <c:v>1.0920399999999999</c:v>
                </c:pt>
                <c:pt idx="86">
                  <c:v>1.0919399999999999</c:v>
                </c:pt>
                <c:pt idx="87">
                  <c:v>1.09134</c:v>
                </c:pt>
                <c:pt idx="88">
                  <c:v>1.0908599999999999</c:v>
                </c:pt>
                <c:pt idx="89">
                  <c:v>1.09066</c:v>
                </c:pt>
                <c:pt idx="90">
                  <c:v>1.0903</c:v>
                </c:pt>
                <c:pt idx="91">
                  <c:v>1.0900000000000001</c:v>
                </c:pt>
                <c:pt idx="92">
                  <c:v>1.0895999999999999</c:v>
                </c:pt>
                <c:pt idx="93">
                  <c:v>1.08918</c:v>
                </c:pt>
                <c:pt idx="94">
                  <c:v>1.0886</c:v>
                </c:pt>
                <c:pt idx="95">
                  <c:v>1.08786</c:v>
                </c:pt>
                <c:pt idx="96">
                  <c:v>1.0867</c:v>
                </c:pt>
                <c:pt idx="97">
                  <c:v>1.08548</c:v>
                </c:pt>
                <c:pt idx="98">
                  <c:v>1.0842799999999999</c:v>
                </c:pt>
                <c:pt idx="99">
                  <c:v>1.0824800000000001</c:v>
                </c:pt>
                <c:pt idx="100">
                  <c:v>1.08084</c:v>
                </c:pt>
                <c:pt idx="101">
                  <c:v>1.0791999999999999</c:v>
                </c:pt>
                <c:pt idx="102">
                  <c:v>1.07724</c:v>
                </c:pt>
                <c:pt idx="103">
                  <c:v>1.07508</c:v>
                </c:pt>
                <c:pt idx="104">
                  <c:v>1.0727</c:v>
                </c:pt>
                <c:pt idx="105">
                  <c:v>1.0702199999999999</c:v>
                </c:pt>
                <c:pt idx="106">
                  <c:v>1.0674999999999999</c:v>
                </c:pt>
                <c:pt idx="107">
                  <c:v>1.0647800000000001</c:v>
                </c:pt>
                <c:pt idx="108">
                  <c:v>1.0622</c:v>
                </c:pt>
                <c:pt idx="109">
                  <c:v>1.0591999999999999</c:v>
                </c:pt>
                <c:pt idx="110">
                  <c:v>1.05646</c:v>
                </c:pt>
                <c:pt idx="111">
                  <c:v>1.0536799999999999</c:v>
                </c:pt>
                <c:pt idx="112">
                  <c:v>1.0506800000000001</c:v>
                </c:pt>
                <c:pt idx="113">
                  <c:v>1.0475399999999999</c:v>
                </c:pt>
                <c:pt idx="114">
                  <c:v>1.0445800000000001</c:v>
                </c:pt>
                <c:pt idx="115">
                  <c:v>1.0415399999999999</c:v>
                </c:pt>
                <c:pt idx="116">
                  <c:v>1.0383599999999999</c:v>
                </c:pt>
                <c:pt idx="117">
                  <c:v>1.03522</c:v>
                </c:pt>
                <c:pt idx="118">
                  <c:v>1.03216</c:v>
                </c:pt>
                <c:pt idx="119">
                  <c:v>1.02918</c:v>
                </c:pt>
                <c:pt idx="120">
                  <c:v>1.0265599999999999</c:v>
                </c:pt>
                <c:pt idx="121">
                  <c:v>1.0234000000000001</c:v>
                </c:pt>
                <c:pt idx="122">
                  <c:v>1.0205</c:v>
                </c:pt>
                <c:pt idx="123">
                  <c:v>1.0178799999999999</c:v>
                </c:pt>
                <c:pt idx="124">
                  <c:v>1.01492</c:v>
                </c:pt>
                <c:pt idx="125">
                  <c:v>1.01288</c:v>
                </c:pt>
                <c:pt idx="126">
                  <c:v>1.0099400000000001</c:v>
                </c:pt>
                <c:pt idx="127">
                  <c:v>1.00766</c:v>
                </c:pt>
                <c:pt idx="128">
                  <c:v>1.0055000000000001</c:v>
                </c:pt>
                <c:pt idx="129">
                  <c:v>1.0028999999999999</c:v>
                </c:pt>
                <c:pt idx="130">
                  <c:v>1.0005200000000001</c:v>
                </c:pt>
                <c:pt idx="131">
                  <c:v>0.99826000000000004</c:v>
                </c:pt>
                <c:pt idx="132">
                  <c:v>0.99592000000000003</c:v>
                </c:pt>
                <c:pt idx="133">
                  <c:v>0.99385999999999997</c:v>
                </c:pt>
                <c:pt idx="134">
                  <c:v>0.99216000000000004</c:v>
                </c:pt>
                <c:pt idx="135">
                  <c:v>0.99002000000000001</c:v>
                </c:pt>
                <c:pt idx="136">
                  <c:v>0.98817999999999995</c:v>
                </c:pt>
                <c:pt idx="137">
                  <c:v>0.98587999999999998</c:v>
                </c:pt>
                <c:pt idx="138">
                  <c:v>0.98397999999999997</c:v>
                </c:pt>
                <c:pt idx="139">
                  <c:v>0.98253999999999997</c:v>
                </c:pt>
                <c:pt idx="140">
                  <c:v>0.98126000000000002</c:v>
                </c:pt>
                <c:pt idx="141">
                  <c:v>0.97951999999999995</c:v>
                </c:pt>
                <c:pt idx="142">
                  <c:v>0.97796000000000005</c:v>
                </c:pt>
                <c:pt idx="143">
                  <c:v>0.97660000000000002</c:v>
                </c:pt>
                <c:pt idx="144">
                  <c:v>0.97545999999999999</c:v>
                </c:pt>
                <c:pt idx="145">
                  <c:v>0.97389999999999999</c:v>
                </c:pt>
                <c:pt idx="146">
                  <c:v>0.97299999999999998</c:v>
                </c:pt>
                <c:pt idx="147">
                  <c:v>0.97185999999999995</c:v>
                </c:pt>
                <c:pt idx="148">
                  <c:v>0.97045999999999999</c:v>
                </c:pt>
                <c:pt idx="149">
                  <c:v>0.96960000000000002</c:v>
                </c:pt>
                <c:pt idx="150">
                  <c:v>0.96830000000000005</c:v>
                </c:pt>
                <c:pt idx="151">
                  <c:v>0.96740000000000004</c:v>
                </c:pt>
                <c:pt idx="152">
                  <c:v>0.96643999999999997</c:v>
                </c:pt>
                <c:pt idx="153">
                  <c:v>0.96545999999999998</c:v>
                </c:pt>
                <c:pt idx="154">
                  <c:v>0.96464000000000005</c:v>
                </c:pt>
                <c:pt idx="155">
                  <c:v>0.96406000000000003</c:v>
                </c:pt>
                <c:pt idx="156">
                  <c:v>0.96314</c:v>
                </c:pt>
                <c:pt idx="157">
                  <c:v>0.96245999999999998</c:v>
                </c:pt>
                <c:pt idx="158">
                  <c:v>0.96194000000000002</c:v>
                </c:pt>
                <c:pt idx="159">
                  <c:v>0.96133999999999997</c:v>
                </c:pt>
                <c:pt idx="160">
                  <c:v>0.96082000000000001</c:v>
                </c:pt>
                <c:pt idx="161">
                  <c:v>0.96043999999999996</c:v>
                </c:pt>
                <c:pt idx="162">
                  <c:v>0.95979999999999999</c:v>
                </c:pt>
                <c:pt idx="163">
                  <c:v>0.95950000000000002</c:v>
                </c:pt>
                <c:pt idx="164">
                  <c:v>0.95931999999999995</c:v>
                </c:pt>
                <c:pt idx="165">
                  <c:v>0.95920000000000005</c:v>
                </c:pt>
                <c:pt idx="166">
                  <c:v>0.95889999999999997</c:v>
                </c:pt>
                <c:pt idx="167">
                  <c:v>0.95901999999999998</c:v>
                </c:pt>
                <c:pt idx="168">
                  <c:v>0.95913999999999999</c:v>
                </c:pt>
                <c:pt idx="169">
                  <c:v>0.95926</c:v>
                </c:pt>
                <c:pt idx="170">
                  <c:v>0.95916000000000001</c:v>
                </c:pt>
                <c:pt idx="171">
                  <c:v>0.95948</c:v>
                </c:pt>
                <c:pt idx="172">
                  <c:v>0.95955999999999997</c:v>
                </c:pt>
                <c:pt idx="173">
                  <c:v>0.95984000000000003</c:v>
                </c:pt>
                <c:pt idx="174">
                  <c:v>0.96</c:v>
                </c:pt>
                <c:pt idx="175">
                  <c:v>0.96042000000000005</c:v>
                </c:pt>
                <c:pt idx="176">
                  <c:v>0.96075999999999995</c:v>
                </c:pt>
                <c:pt idx="177">
                  <c:v>0.96130000000000004</c:v>
                </c:pt>
                <c:pt idx="178">
                  <c:v>0.96165999999999996</c:v>
                </c:pt>
                <c:pt idx="179">
                  <c:v>0.96182000000000001</c:v>
                </c:pt>
                <c:pt idx="180">
                  <c:v>0.96204000000000001</c:v>
                </c:pt>
                <c:pt idx="181">
                  <c:v>0.96228000000000002</c:v>
                </c:pt>
                <c:pt idx="182">
                  <c:v>0.96282000000000001</c:v>
                </c:pt>
                <c:pt idx="183">
                  <c:v>0.96292</c:v>
                </c:pt>
                <c:pt idx="184">
                  <c:v>0.96316000000000002</c:v>
                </c:pt>
                <c:pt idx="185">
                  <c:v>0.96331999999999995</c:v>
                </c:pt>
                <c:pt idx="186">
                  <c:v>0.96326000000000001</c:v>
                </c:pt>
                <c:pt idx="187">
                  <c:v>0.96379999999999999</c:v>
                </c:pt>
                <c:pt idx="188">
                  <c:v>0.96386000000000005</c:v>
                </c:pt>
                <c:pt idx="189">
                  <c:v>0.96418000000000004</c:v>
                </c:pt>
                <c:pt idx="190">
                  <c:v>0.96408000000000005</c:v>
                </c:pt>
                <c:pt idx="191">
                  <c:v>0.96423999999999999</c:v>
                </c:pt>
                <c:pt idx="192">
                  <c:v>0.96443999999999996</c:v>
                </c:pt>
                <c:pt idx="193">
                  <c:v>0.96455999999999997</c:v>
                </c:pt>
                <c:pt idx="194">
                  <c:v>0.96460000000000001</c:v>
                </c:pt>
                <c:pt idx="195">
                  <c:v>0.96448</c:v>
                </c:pt>
                <c:pt idx="196">
                  <c:v>0.96443999999999996</c:v>
                </c:pt>
                <c:pt idx="197">
                  <c:v>0.96435999999999999</c:v>
                </c:pt>
                <c:pt idx="198">
                  <c:v>0.96438000000000001</c:v>
                </c:pt>
                <c:pt idx="199">
                  <c:v>0.96475999999999995</c:v>
                </c:pt>
                <c:pt idx="200">
                  <c:v>0.96464000000000005</c:v>
                </c:pt>
                <c:pt idx="201">
                  <c:v>0.96482000000000001</c:v>
                </c:pt>
                <c:pt idx="202">
                  <c:v>0.96523999999999999</c:v>
                </c:pt>
                <c:pt idx="203">
                  <c:v>0.96552000000000004</c:v>
                </c:pt>
                <c:pt idx="204">
                  <c:v>0.96575999999999995</c:v>
                </c:pt>
                <c:pt idx="205">
                  <c:v>0.96655999999999997</c:v>
                </c:pt>
                <c:pt idx="206">
                  <c:v>0.96731999999999996</c:v>
                </c:pt>
                <c:pt idx="207">
                  <c:v>0.96809999999999996</c:v>
                </c:pt>
                <c:pt idx="208">
                  <c:v>0.96911999999999998</c:v>
                </c:pt>
                <c:pt idx="209">
                  <c:v>0.97016000000000002</c:v>
                </c:pt>
                <c:pt idx="210">
                  <c:v>0.97150000000000003</c:v>
                </c:pt>
                <c:pt idx="211">
                  <c:v>0.97294000000000003</c:v>
                </c:pt>
                <c:pt idx="212">
                  <c:v>0.97452000000000005</c:v>
                </c:pt>
                <c:pt idx="213">
                  <c:v>0.97643999999999997</c:v>
                </c:pt>
                <c:pt idx="214">
                  <c:v>0.97848000000000002</c:v>
                </c:pt>
                <c:pt idx="215">
                  <c:v>0.98060000000000003</c:v>
                </c:pt>
                <c:pt idx="216">
                  <c:v>0.98282000000000003</c:v>
                </c:pt>
                <c:pt idx="217">
                  <c:v>0.98543999999999998</c:v>
                </c:pt>
                <c:pt idx="218">
                  <c:v>0.98787999999999998</c:v>
                </c:pt>
                <c:pt idx="219">
                  <c:v>0.99043999999999999</c:v>
                </c:pt>
                <c:pt idx="220">
                  <c:v>0.99287999999999998</c:v>
                </c:pt>
                <c:pt idx="221">
                  <c:v>0.99551999999999996</c:v>
                </c:pt>
                <c:pt idx="222">
                  <c:v>0.99809999999999999</c:v>
                </c:pt>
                <c:pt idx="223">
                  <c:v>1.0007600000000001</c:v>
                </c:pt>
                <c:pt idx="224">
                  <c:v>1.0036</c:v>
                </c:pt>
                <c:pt idx="225">
                  <c:v>1.0061599999999999</c:v>
                </c:pt>
                <c:pt idx="226">
                  <c:v>1.00878</c:v>
                </c:pt>
                <c:pt idx="227">
                  <c:v>1.0111399999999999</c:v>
                </c:pt>
                <c:pt idx="228">
                  <c:v>1.01322</c:v>
                </c:pt>
                <c:pt idx="229">
                  <c:v>1.0151399999999999</c:v>
                </c:pt>
                <c:pt idx="230">
                  <c:v>1.0169999999999999</c:v>
                </c:pt>
                <c:pt idx="231">
                  <c:v>1.0184599999999999</c:v>
                </c:pt>
                <c:pt idx="232">
                  <c:v>1.0197799999999999</c:v>
                </c:pt>
                <c:pt idx="233">
                  <c:v>1.02084</c:v>
                </c:pt>
                <c:pt idx="234">
                  <c:v>1.0214000000000001</c:v>
                </c:pt>
                <c:pt idx="235">
                  <c:v>1.0216400000000001</c:v>
                </c:pt>
                <c:pt idx="236">
                  <c:v>1.0215399999999999</c:v>
                </c:pt>
                <c:pt idx="237">
                  <c:v>1.0210600000000001</c:v>
                </c:pt>
                <c:pt idx="238">
                  <c:v>1.02044</c:v>
                </c:pt>
                <c:pt idx="239">
                  <c:v>1.01938</c:v>
                </c:pt>
                <c:pt idx="240">
                  <c:v>1.01786</c:v>
                </c:pt>
                <c:pt idx="241">
                  <c:v>1.0163800000000001</c:v>
                </c:pt>
                <c:pt idx="242">
                  <c:v>1.0145200000000001</c:v>
                </c:pt>
                <c:pt idx="243">
                  <c:v>1.0125200000000001</c:v>
                </c:pt>
                <c:pt idx="244">
                  <c:v>1.01034</c:v>
                </c:pt>
                <c:pt idx="245">
                  <c:v>1.00806</c:v>
                </c:pt>
                <c:pt idx="246">
                  <c:v>1.00586</c:v>
                </c:pt>
                <c:pt idx="247">
                  <c:v>1.0034799999999999</c:v>
                </c:pt>
                <c:pt idx="248">
                  <c:v>1.00122</c:v>
                </c:pt>
                <c:pt idx="249">
                  <c:v>0.99902000000000002</c:v>
                </c:pt>
                <c:pt idx="250">
                  <c:v>0.99670000000000003</c:v>
                </c:pt>
                <c:pt idx="251">
                  <c:v>0.99453999999999998</c:v>
                </c:pt>
                <c:pt idx="252">
                  <c:v>0.99251999999999996</c:v>
                </c:pt>
                <c:pt idx="253">
                  <c:v>0.99050000000000005</c:v>
                </c:pt>
                <c:pt idx="254">
                  <c:v>0.98834</c:v>
                </c:pt>
                <c:pt idx="255">
                  <c:v>0.98665999999999998</c:v>
                </c:pt>
                <c:pt idx="256">
                  <c:v>0.98497999999999997</c:v>
                </c:pt>
                <c:pt idx="257">
                  <c:v>0.98362000000000005</c:v>
                </c:pt>
                <c:pt idx="258">
                  <c:v>0.98240000000000005</c:v>
                </c:pt>
                <c:pt idx="259">
                  <c:v>0.98175999999999997</c:v>
                </c:pt>
                <c:pt idx="260">
                  <c:v>0.98129999999999995</c:v>
                </c:pt>
                <c:pt idx="261">
                  <c:v>0.98150000000000004</c:v>
                </c:pt>
                <c:pt idx="262">
                  <c:v>0.98224</c:v>
                </c:pt>
                <c:pt idx="263">
                  <c:v>0.98348000000000002</c:v>
                </c:pt>
                <c:pt idx="264">
                  <c:v>0.98514000000000002</c:v>
                </c:pt>
                <c:pt idx="265">
                  <c:v>0.98760000000000003</c:v>
                </c:pt>
                <c:pt idx="266">
                  <c:v>0.99041999999999997</c:v>
                </c:pt>
                <c:pt idx="267">
                  <c:v>0.99365999999999999</c:v>
                </c:pt>
                <c:pt idx="268">
                  <c:v>0.99707999999999997</c:v>
                </c:pt>
                <c:pt idx="269">
                  <c:v>1.0004599999999999</c:v>
                </c:pt>
                <c:pt idx="270">
                  <c:v>1.0040800000000001</c:v>
                </c:pt>
                <c:pt idx="271">
                  <c:v>1.0078199999999999</c:v>
                </c:pt>
                <c:pt idx="272">
                  <c:v>1.0114399999999999</c:v>
                </c:pt>
                <c:pt idx="273">
                  <c:v>1.0148999999999999</c:v>
                </c:pt>
                <c:pt idx="274">
                  <c:v>1.0181800000000001</c:v>
                </c:pt>
                <c:pt idx="275">
                  <c:v>1.02136</c:v>
                </c:pt>
                <c:pt idx="276">
                  <c:v>1.0249999999999999</c:v>
                </c:pt>
                <c:pt idx="277">
                  <c:v>1.0285599999999999</c:v>
                </c:pt>
                <c:pt idx="278">
                  <c:v>1.0320199999999999</c:v>
                </c:pt>
                <c:pt idx="279">
                  <c:v>1.03518</c:v>
                </c:pt>
                <c:pt idx="280">
                  <c:v>1.03772</c:v>
                </c:pt>
                <c:pt idx="281">
                  <c:v>1.0394000000000001</c:v>
                </c:pt>
                <c:pt idx="282">
                  <c:v>1.0400400000000001</c:v>
                </c:pt>
                <c:pt idx="283">
                  <c:v>1.0392999999999999</c:v>
                </c:pt>
                <c:pt idx="284">
                  <c:v>1.0373600000000001</c:v>
                </c:pt>
                <c:pt idx="285">
                  <c:v>1.03424</c:v>
                </c:pt>
                <c:pt idx="286">
                  <c:v>1.0301</c:v>
                </c:pt>
                <c:pt idx="287">
                  <c:v>1.0246200000000001</c:v>
                </c:pt>
                <c:pt idx="288">
                  <c:v>1.0185599999999999</c:v>
                </c:pt>
                <c:pt idx="289">
                  <c:v>1.0118799999999999</c:v>
                </c:pt>
                <c:pt idx="290">
                  <c:v>1.0046600000000001</c:v>
                </c:pt>
                <c:pt idx="291">
                  <c:v>0.99685999999999997</c:v>
                </c:pt>
                <c:pt idx="292">
                  <c:v>0.98962000000000006</c:v>
                </c:pt>
                <c:pt idx="293">
                  <c:v>0.98241999999999996</c:v>
                </c:pt>
                <c:pt idx="294">
                  <c:v>0.97494000000000003</c:v>
                </c:pt>
                <c:pt idx="295">
                  <c:v>0.96819999999999995</c:v>
                </c:pt>
                <c:pt idx="296">
                  <c:v>0.96160000000000001</c:v>
                </c:pt>
                <c:pt idx="297">
                  <c:v>0.95538000000000001</c:v>
                </c:pt>
                <c:pt idx="298">
                  <c:v>0.94955999999999996</c:v>
                </c:pt>
                <c:pt idx="299">
                  <c:v>0.94421999999999995</c:v>
                </c:pt>
                <c:pt idx="300">
                  <c:v>0.93918000000000001</c:v>
                </c:pt>
                <c:pt idx="301">
                  <c:v>0.93444000000000005</c:v>
                </c:pt>
                <c:pt idx="302">
                  <c:v>0.93042000000000002</c:v>
                </c:pt>
                <c:pt idx="303">
                  <c:v>0.92652000000000001</c:v>
                </c:pt>
                <c:pt idx="304">
                  <c:v>0.92291999999999996</c:v>
                </c:pt>
                <c:pt idx="305">
                  <c:v>0.91944000000000004</c:v>
                </c:pt>
                <c:pt idx="306">
                  <c:v>0.91620000000000001</c:v>
                </c:pt>
                <c:pt idx="307">
                  <c:v>0.9133</c:v>
                </c:pt>
                <c:pt idx="308">
                  <c:v>0.91064000000000001</c:v>
                </c:pt>
                <c:pt idx="309">
                  <c:v>0.90790000000000004</c:v>
                </c:pt>
                <c:pt idx="310">
                  <c:v>0.90527999999999997</c:v>
                </c:pt>
                <c:pt idx="311">
                  <c:v>0.90298</c:v>
                </c:pt>
                <c:pt idx="312">
                  <c:v>0.90088000000000001</c:v>
                </c:pt>
                <c:pt idx="313">
                  <c:v>0.89883999999999997</c:v>
                </c:pt>
                <c:pt idx="314">
                  <c:v>0.89693999999999996</c:v>
                </c:pt>
                <c:pt idx="315">
                  <c:v>0.89524000000000004</c:v>
                </c:pt>
                <c:pt idx="316">
                  <c:v>0.89337999999999995</c:v>
                </c:pt>
                <c:pt idx="317">
                  <c:v>0.89159999999999995</c:v>
                </c:pt>
                <c:pt idx="318">
                  <c:v>0.88983999999999996</c:v>
                </c:pt>
                <c:pt idx="319">
                  <c:v>0.88822000000000001</c:v>
                </c:pt>
                <c:pt idx="320">
                  <c:v>0.88648000000000005</c:v>
                </c:pt>
                <c:pt idx="321">
                  <c:v>0.88504000000000005</c:v>
                </c:pt>
                <c:pt idx="322">
                  <c:v>0.88370000000000004</c:v>
                </c:pt>
                <c:pt idx="323">
                  <c:v>0.88229999999999997</c:v>
                </c:pt>
                <c:pt idx="324">
                  <c:v>0.88104000000000005</c:v>
                </c:pt>
                <c:pt idx="325">
                  <c:v>0.87948000000000004</c:v>
                </c:pt>
                <c:pt idx="326">
                  <c:v>0.87819999999999998</c:v>
                </c:pt>
                <c:pt idx="327">
                  <c:v>0.87685999999999997</c:v>
                </c:pt>
                <c:pt idx="328">
                  <c:v>0.87563999999999997</c:v>
                </c:pt>
                <c:pt idx="329">
                  <c:v>0.87448000000000004</c:v>
                </c:pt>
                <c:pt idx="330">
                  <c:v>0.87326000000000004</c:v>
                </c:pt>
                <c:pt idx="331">
                  <c:v>0.87214000000000003</c:v>
                </c:pt>
                <c:pt idx="332">
                  <c:v>0.87094000000000005</c:v>
                </c:pt>
                <c:pt idx="333">
                  <c:v>0.86987999999999999</c:v>
                </c:pt>
                <c:pt idx="334">
                  <c:v>0.86872000000000005</c:v>
                </c:pt>
                <c:pt idx="335">
                  <c:v>0.86756</c:v>
                </c:pt>
                <c:pt idx="336">
                  <c:v>0.86621999999999999</c:v>
                </c:pt>
                <c:pt idx="337">
                  <c:v>0.86514000000000002</c:v>
                </c:pt>
                <c:pt idx="338">
                  <c:v>0.86404000000000003</c:v>
                </c:pt>
                <c:pt idx="339">
                  <c:v>0.86309999999999998</c:v>
                </c:pt>
                <c:pt idx="340">
                  <c:v>0.86204000000000003</c:v>
                </c:pt>
                <c:pt idx="341">
                  <c:v>0.8609</c:v>
                </c:pt>
                <c:pt idx="342">
                  <c:v>0.85972000000000004</c:v>
                </c:pt>
                <c:pt idx="343">
                  <c:v>0.85868</c:v>
                </c:pt>
                <c:pt idx="344">
                  <c:v>0.85765999999999998</c:v>
                </c:pt>
                <c:pt idx="345">
                  <c:v>0.85675999999999997</c:v>
                </c:pt>
                <c:pt idx="346">
                  <c:v>0.85572000000000004</c:v>
                </c:pt>
                <c:pt idx="347">
                  <c:v>0.85463999999999996</c:v>
                </c:pt>
                <c:pt idx="348">
                  <c:v>0.85358000000000001</c:v>
                </c:pt>
                <c:pt idx="349">
                  <c:v>0.85250000000000004</c:v>
                </c:pt>
                <c:pt idx="350">
                  <c:v>0.85140000000000005</c:v>
                </c:pt>
                <c:pt idx="351">
                  <c:v>0.85033999999999998</c:v>
                </c:pt>
                <c:pt idx="352">
                  <c:v>0.84945999999999999</c:v>
                </c:pt>
                <c:pt idx="353">
                  <c:v>0.84865999999999997</c:v>
                </c:pt>
                <c:pt idx="354">
                  <c:v>0.84765999999999997</c:v>
                </c:pt>
                <c:pt idx="355">
                  <c:v>0.84663999999999995</c:v>
                </c:pt>
                <c:pt idx="356">
                  <c:v>0.84562000000000004</c:v>
                </c:pt>
                <c:pt idx="357">
                  <c:v>0.84470000000000001</c:v>
                </c:pt>
                <c:pt idx="358">
                  <c:v>0.84360000000000002</c:v>
                </c:pt>
                <c:pt idx="359">
                  <c:v>0.84274000000000004</c:v>
                </c:pt>
                <c:pt idx="360">
                  <c:v>0.84167999999999998</c:v>
                </c:pt>
                <c:pt idx="361">
                  <c:v>0.84118000000000004</c:v>
                </c:pt>
                <c:pt idx="362">
                  <c:v>0.84028000000000003</c:v>
                </c:pt>
                <c:pt idx="363">
                  <c:v>0.83930000000000005</c:v>
                </c:pt>
                <c:pt idx="364">
                  <c:v>0.83828000000000003</c:v>
                </c:pt>
                <c:pt idx="365">
                  <c:v>0.83738000000000001</c:v>
                </c:pt>
                <c:pt idx="366">
                  <c:v>0.83652000000000004</c:v>
                </c:pt>
                <c:pt idx="367">
                  <c:v>0.83560000000000001</c:v>
                </c:pt>
                <c:pt idx="368">
                  <c:v>0.83453999999999995</c:v>
                </c:pt>
                <c:pt idx="369">
                  <c:v>0.83364000000000005</c:v>
                </c:pt>
                <c:pt idx="370">
                  <c:v>0.83274000000000004</c:v>
                </c:pt>
                <c:pt idx="371">
                  <c:v>0.83172000000000001</c:v>
                </c:pt>
                <c:pt idx="372">
                  <c:v>0.83089999999999997</c:v>
                </c:pt>
                <c:pt idx="373">
                  <c:v>0.83004</c:v>
                </c:pt>
                <c:pt idx="374">
                  <c:v>0.82920000000000005</c:v>
                </c:pt>
                <c:pt idx="375">
                  <c:v>0.82823999999999998</c:v>
                </c:pt>
                <c:pt idx="376">
                  <c:v>0.82718000000000003</c:v>
                </c:pt>
                <c:pt idx="377">
                  <c:v>0.82620000000000005</c:v>
                </c:pt>
                <c:pt idx="378">
                  <c:v>0.82532000000000005</c:v>
                </c:pt>
                <c:pt idx="379">
                  <c:v>0.82433999999999996</c:v>
                </c:pt>
                <c:pt idx="380">
                  <c:v>0.82369999999999999</c:v>
                </c:pt>
                <c:pt idx="381">
                  <c:v>0.82265999999999995</c:v>
                </c:pt>
                <c:pt idx="382">
                  <c:v>0.82189999999999996</c:v>
                </c:pt>
                <c:pt idx="383">
                  <c:v>0.82086000000000003</c:v>
                </c:pt>
                <c:pt idx="384">
                  <c:v>0.82006000000000001</c:v>
                </c:pt>
                <c:pt idx="385">
                  <c:v>0.81911999999999996</c:v>
                </c:pt>
                <c:pt idx="386">
                  <c:v>0.81811999999999996</c:v>
                </c:pt>
                <c:pt idx="387">
                  <c:v>0.81730000000000003</c:v>
                </c:pt>
                <c:pt idx="388">
                  <c:v>0.81637999999999999</c:v>
                </c:pt>
                <c:pt idx="389">
                  <c:v>0.81523999999999996</c:v>
                </c:pt>
                <c:pt idx="390">
                  <c:v>0.81430000000000002</c:v>
                </c:pt>
                <c:pt idx="391">
                  <c:v>0.8135</c:v>
                </c:pt>
                <c:pt idx="392">
                  <c:v>0.81255999999999995</c:v>
                </c:pt>
                <c:pt idx="393">
                  <c:v>0.81164000000000003</c:v>
                </c:pt>
                <c:pt idx="394">
                  <c:v>0.81064000000000003</c:v>
                </c:pt>
                <c:pt idx="395">
                  <c:v>0.80969999999999998</c:v>
                </c:pt>
                <c:pt idx="396">
                  <c:v>0.80871999999999999</c:v>
                </c:pt>
                <c:pt idx="397">
                  <c:v>0.80769999999999997</c:v>
                </c:pt>
                <c:pt idx="398">
                  <c:v>0.80703999999999998</c:v>
                </c:pt>
                <c:pt idx="399">
                  <c:v>0.80606</c:v>
                </c:pt>
                <c:pt idx="400">
                  <c:v>0.80523999999999996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DE6-408E-80C6-9165C6BD0725}"/>
            </c:ext>
          </c:extLst>
        </c:ser>
        <c:ser>
          <c:idx val="7"/>
          <c:order val="7"/>
          <c:tx>
            <c:strRef>
              <c:f>'Pig graph '!$AB$1</c:f>
              <c:strCache>
                <c:ptCount val="1"/>
                <c:pt idx="0">
                  <c:v>s8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'!$AB$2:$AB$402</c:f>
              <c:numCache>
                <c:formatCode>General</c:formatCode>
                <c:ptCount val="401"/>
                <c:pt idx="0">
                  <c:v>1.01498</c:v>
                </c:pt>
                <c:pt idx="1">
                  <c:v>1.0156799999999999</c:v>
                </c:pt>
                <c:pt idx="2">
                  <c:v>1.01664</c:v>
                </c:pt>
                <c:pt idx="3">
                  <c:v>1.01752</c:v>
                </c:pt>
                <c:pt idx="4">
                  <c:v>1.0188600000000001</c:v>
                </c:pt>
                <c:pt idx="5">
                  <c:v>1.02006</c:v>
                </c:pt>
                <c:pt idx="6">
                  <c:v>1.0215399999999999</c:v>
                </c:pt>
                <c:pt idx="7">
                  <c:v>1.02454</c:v>
                </c:pt>
                <c:pt idx="8">
                  <c:v>1.0259799999999999</c:v>
                </c:pt>
                <c:pt idx="9">
                  <c:v>1.0284800000000001</c:v>
                </c:pt>
                <c:pt idx="10">
                  <c:v>1.0304800000000001</c:v>
                </c:pt>
                <c:pt idx="11">
                  <c:v>1.03312</c:v>
                </c:pt>
                <c:pt idx="12">
                  <c:v>1.0350999999999999</c:v>
                </c:pt>
                <c:pt idx="13">
                  <c:v>1.03762</c:v>
                </c:pt>
                <c:pt idx="14">
                  <c:v>1.0401</c:v>
                </c:pt>
                <c:pt idx="15">
                  <c:v>1.0415000000000001</c:v>
                </c:pt>
                <c:pt idx="16">
                  <c:v>1.044</c:v>
                </c:pt>
                <c:pt idx="17">
                  <c:v>1.0467200000000001</c:v>
                </c:pt>
                <c:pt idx="18">
                  <c:v>1.0479799999999999</c:v>
                </c:pt>
                <c:pt idx="19">
                  <c:v>1.0493399999999999</c:v>
                </c:pt>
                <c:pt idx="20">
                  <c:v>1.0508999999999999</c:v>
                </c:pt>
                <c:pt idx="21">
                  <c:v>1.05206</c:v>
                </c:pt>
                <c:pt idx="22">
                  <c:v>1.05274</c:v>
                </c:pt>
                <c:pt idx="23">
                  <c:v>1.05338</c:v>
                </c:pt>
                <c:pt idx="24">
                  <c:v>1.05396</c:v>
                </c:pt>
                <c:pt idx="25">
                  <c:v>1.0552999999999999</c:v>
                </c:pt>
                <c:pt idx="26">
                  <c:v>1.0562800000000001</c:v>
                </c:pt>
                <c:pt idx="27">
                  <c:v>1.05802</c:v>
                </c:pt>
                <c:pt idx="28">
                  <c:v>1.0592999999999999</c:v>
                </c:pt>
                <c:pt idx="29">
                  <c:v>1.06128</c:v>
                </c:pt>
                <c:pt idx="30">
                  <c:v>1.06332</c:v>
                </c:pt>
                <c:pt idx="31">
                  <c:v>1.0657000000000001</c:v>
                </c:pt>
                <c:pt idx="32">
                  <c:v>1.06796</c:v>
                </c:pt>
                <c:pt idx="33">
                  <c:v>1.0705</c:v>
                </c:pt>
                <c:pt idx="34">
                  <c:v>1.0727599999999999</c:v>
                </c:pt>
                <c:pt idx="35">
                  <c:v>1.07568</c:v>
                </c:pt>
                <c:pt idx="36">
                  <c:v>1.07914</c:v>
                </c:pt>
                <c:pt idx="37">
                  <c:v>1.0811999999999999</c:v>
                </c:pt>
                <c:pt idx="38">
                  <c:v>1.0833200000000001</c:v>
                </c:pt>
                <c:pt idx="39">
                  <c:v>1.08484</c:v>
                </c:pt>
                <c:pt idx="40">
                  <c:v>1.08596</c:v>
                </c:pt>
                <c:pt idx="41">
                  <c:v>1.0865199999999999</c:v>
                </c:pt>
                <c:pt idx="42">
                  <c:v>1.08596</c:v>
                </c:pt>
                <c:pt idx="43">
                  <c:v>1.08514</c:v>
                </c:pt>
                <c:pt idx="44">
                  <c:v>1.08344</c:v>
                </c:pt>
                <c:pt idx="45">
                  <c:v>1.08108</c:v>
                </c:pt>
                <c:pt idx="46">
                  <c:v>1.07816</c:v>
                </c:pt>
                <c:pt idx="47">
                  <c:v>1.07446</c:v>
                </c:pt>
                <c:pt idx="48">
                  <c:v>1.07012</c:v>
                </c:pt>
                <c:pt idx="49">
                  <c:v>1.0655600000000001</c:v>
                </c:pt>
                <c:pt idx="50">
                  <c:v>1.0607200000000001</c:v>
                </c:pt>
                <c:pt idx="51">
                  <c:v>1.0566199999999999</c:v>
                </c:pt>
                <c:pt idx="52">
                  <c:v>1.05182</c:v>
                </c:pt>
                <c:pt idx="53">
                  <c:v>1.04776</c:v>
                </c:pt>
                <c:pt idx="54">
                  <c:v>1.0442199999999999</c:v>
                </c:pt>
                <c:pt idx="55">
                  <c:v>1.04108</c:v>
                </c:pt>
                <c:pt idx="56">
                  <c:v>1.03742</c:v>
                </c:pt>
                <c:pt idx="57">
                  <c:v>1.03488</c:v>
                </c:pt>
                <c:pt idx="58">
                  <c:v>1.0326200000000001</c:v>
                </c:pt>
                <c:pt idx="59">
                  <c:v>1.0305200000000001</c:v>
                </c:pt>
                <c:pt idx="60">
                  <c:v>1.0289999999999999</c:v>
                </c:pt>
                <c:pt idx="61">
                  <c:v>1.0269999999999999</c:v>
                </c:pt>
                <c:pt idx="62">
                  <c:v>1.02552</c:v>
                </c:pt>
                <c:pt idx="63">
                  <c:v>1.0243199999999999</c:v>
                </c:pt>
                <c:pt idx="64">
                  <c:v>1.02268</c:v>
                </c:pt>
                <c:pt idx="65">
                  <c:v>1.02128</c:v>
                </c:pt>
                <c:pt idx="66">
                  <c:v>1.01986</c:v>
                </c:pt>
                <c:pt idx="67">
                  <c:v>1.0183199999999999</c:v>
                </c:pt>
                <c:pt idx="68">
                  <c:v>1.01694</c:v>
                </c:pt>
                <c:pt idx="69">
                  <c:v>1.01542</c:v>
                </c:pt>
                <c:pt idx="70">
                  <c:v>1.0141199999999999</c:v>
                </c:pt>
                <c:pt idx="71">
                  <c:v>1.0124</c:v>
                </c:pt>
                <c:pt idx="72">
                  <c:v>1.0106200000000001</c:v>
                </c:pt>
                <c:pt idx="73">
                  <c:v>1.00892</c:v>
                </c:pt>
                <c:pt idx="74">
                  <c:v>1.0074399999999999</c:v>
                </c:pt>
                <c:pt idx="75">
                  <c:v>1.0060199999999999</c:v>
                </c:pt>
                <c:pt idx="76">
                  <c:v>1.0042199999999999</c:v>
                </c:pt>
                <c:pt idx="77">
                  <c:v>1.00292</c:v>
                </c:pt>
                <c:pt idx="78">
                  <c:v>1.00156</c:v>
                </c:pt>
                <c:pt idx="79">
                  <c:v>1.0002200000000001</c:v>
                </c:pt>
                <c:pt idx="80">
                  <c:v>0.99941999999999998</c:v>
                </c:pt>
                <c:pt idx="81">
                  <c:v>0.99838000000000005</c:v>
                </c:pt>
                <c:pt idx="82">
                  <c:v>0.99739999999999995</c:v>
                </c:pt>
                <c:pt idx="83">
                  <c:v>0.99639999999999995</c:v>
                </c:pt>
                <c:pt idx="84">
                  <c:v>0.99565999999999999</c:v>
                </c:pt>
                <c:pt idx="85">
                  <c:v>0.99514000000000002</c:v>
                </c:pt>
                <c:pt idx="86">
                  <c:v>0.99494000000000005</c:v>
                </c:pt>
                <c:pt idx="87">
                  <c:v>0.99436000000000002</c:v>
                </c:pt>
                <c:pt idx="88">
                  <c:v>0.99380000000000002</c:v>
                </c:pt>
                <c:pt idx="89">
                  <c:v>0.99343999999999999</c:v>
                </c:pt>
                <c:pt idx="90">
                  <c:v>0.99295999999999995</c:v>
                </c:pt>
                <c:pt idx="91">
                  <c:v>0.99251999999999996</c:v>
                </c:pt>
                <c:pt idx="92">
                  <c:v>0.99228000000000005</c:v>
                </c:pt>
                <c:pt idx="93">
                  <c:v>0.99180000000000001</c:v>
                </c:pt>
                <c:pt idx="94">
                  <c:v>0.9909</c:v>
                </c:pt>
                <c:pt idx="95">
                  <c:v>0.99019999999999997</c:v>
                </c:pt>
                <c:pt idx="96">
                  <c:v>0.98934</c:v>
                </c:pt>
                <c:pt idx="97">
                  <c:v>0.98804000000000003</c:v>
                </c:pt>
                <c:pt idx="98">
                  <c:v>0.98706000000000005</c:v>
                </c:pt>
                <c:pt idx="99">
                  <c:v>0.98553999999999997</c:v>
                </c:pt>
                <c:pt idx="100">
                  <c:v>0.98431999999999997</c:v>
                </c:pt>
                <c:pt idx="101">
                  <c:v>0.98304000000000002</c:v>
                </c:pt>
                <c:pt idx="102">
                  <c:v>0.98148000000000002</c:v>
                </c:pt>
                <c:pt idx="103">
                  <c:v>0.97968</c:v>
                </c:pt>
                <c:pt idx="104">
                  <c:v>0.97770000000000001</c:v>
                </c:pt>
                <c:pt idx="105">
                  <c:v>0.97543999999999997</c:v>
                </c:pt>
                <c:pt idx="106">
                  <c:v>0.97326000000000001</c:v>
                </c:pt>
                <c:pt idx="107">
                  <c:v>0.97128000000000003</c:v>
                </c:pt>
                <c:pt idx="108">
                  <c:v>0.96906000000000003</c:v>
                </c:pt>
                <c:pt idx="109">
                  <c:v>0.9667</c:v>
                </c:pt>
                <c:pt idx="110">
                  <c:v>0.96411999999999998</c:v>
                </c:pt>
                <c:pt idx="111">
                  <c:v>0.96186000000000005</c:v>
                </c:pt>
                <c:pt idx="112">
                  <c:v>0.95962000000000003</c:v>
                </c:pt>
                <c:pt idx="113">
                  <c:v>0.95694000000000001</c:v>
                </c:pt>
                <c:pt idx="114">
                  <c:v>0.95443999999999996</c:v>
                </c:pt>
                <c:pt idx="115">
                  <c:v>0.95194000000000001</c:v>
                </c:pt>
                <c:pt idx="116">
                  <c:v>0.94969999999999999</c:v>
                </c:pt>
                <c:pt idx="117">
                  <c:v>0.94679999999999997</c:v>
                </c:pt>
                <c:pt idx="118">
                  <c:v>0.94418000000000002</c:v>
                </c:pt>
                <c:pt idx="119">
                  <c:v>0.94179999999999997</c:v>
                </c:pt>
                <c:pt idx="120">
                  <c:v>0.93969999999999998</c:v>
                </c:pt>
                <c:pt idx="121">
                  <c:v>0.93732000000000004</c:v>
                </c:pt>
                <c:pt idx="122">
                  <c:v>0.93481999999999998</c:v>
                </c:pt>
                <c:pt idx="123">
                  <c:v>0.93269999999999997</c:v>
                </c:pt>
                <c:pt idx="124">
                  <c:v>0.92993999999999999</c:v>
                </c:pt>
                <c:pt idx="125">
                  <c:v>0.92813999999999997</c:v>
                </c:pt>
                <c:pt idx="126">
                  <c:v>0.92559999999999998</c:v>
                </c:pt>
                <c:pt idx="127">
                  <c:v>0.92362</c:v>
                </c:pt>
                <c:pt idx="128">
                  <c:v>0.92200000000000004</c:v>
                </c:pt>
                <c:pt idx="129">
                  <c:v>0.91949999999999998</c:v>
                </c:pt>
                <c:pt idx="130">
                  <c:v>0.91766000000000003</c:v>
                </c:pt>
                <c:pt idx="131">
                  <c:v>0.91556000000000004</c:v>
                </c:pt>
                <c:pt idx="132">
                  <c:v>0.91366000000000003</c:v>
                </c:pt>
                <c:pt idx="133">
                  <c:v>0.91195999999999999</c:v>
                </c:pt>
                <c:pt idx="134">
                  <c:v>0.91024000000000005</c:v>
                </c:pt>
                <c:pt idx="135">
                  <c:v>0.90842000000000001</c:v>
                </c:pt>
                <c:pt idx="136">
                  <c:v>0.90673999999999999</c:v>
                </c:pt>
                <c:pt idx="137">
                  <c:v>0.90458000000000005</c:v>
                </c:pt>
                <c:pt idx="138">
                  <c:v>0.90290000000000004</c:v>
                </c:pt>
                <c:pt idx="139">
                  <c:v>0.90146000000000004</c:v>
                </c:pt>
                <c:pt idx="140">
                  <c:v>0.90007999999999999</c:v>
                </c:pt>
                <c:pt idx="141">
                  <c:v>0.89871999999999996</c:v>
                </c:pt>
                <c:pt idx="142">
                  <c:v>0.89717999999999998</c:v>
                </c:pt>
                <c:pt idx="143">
                  <c:v>0.89600000000000002</c:v>
                </c:pt>
                <c:pt idx="144">
                  <c:v>0.89478000000000002</c:v>
                </c:pt>
                <c:pt idx="145">
                  <c:v>0.89334000000000002</c:v>
                </c:pt>
                <c:pt idx="146">
                  <c:v>0.89251999999999998</c:v>
                </c:pt>
                <c:pt idx="147">
                  <c:v>0.89129999999999998</c:v>
                </c:pt>
                <c:pt idx="148">
                  <c:v>0.89004000000000005</c:v>
                </c:pt>
                <c:pt idx="149">
                  <c:v>0.88904000000000005</c:v>
                </c:pt>
                <c:pt idx="150">
                  <c:v>0.88804000000000005</c:v>
                </c:pt>
                <c:pt idx="151">
                  <c:v>0.88702000000000003</c:v>
                </c:pt>
                <c:pt idx="152">
                  <c:v>0.8861</c:v>
                </c:pt>
                <c:pt idx="153">
                  <c:v>0.88500000000000001</c:v>
                </c:pt>
                <c:pt idx="154">
                  <c:v>0.88417999999999997</c:v>
                </c:pt>
                <c:pt idx="155">
                  <c:v>0.88334000000000001</c:v>
                </c:pt>
                <c:pt idx="156">
                  <c:v>0.88266</c:v>
                </c:pt>
                <c:pt idx="157">
                  <c:v>0.88168000000000002</c:v>
                </c:pt>
                <c:pt idx="158">
                  <c:v>0.88122</c:v>
                </c:pt>
                <c:pt idx="159">
                  <c:v>0.88049999999999995</c:v>
                </c:pt>
                <c:pt idx="160">
                  <c:v>0.87982000000000005</c:v>
                </c:pt>
                <c:pt idx="161">
                  <c:v>0.87941999999999998</c:v>
                </c:pt>
                <c:pt idx="162">
                  <c:v>0.87882000000000005</c:v>
                </c:pt>
                <c:pt idx="163">
                  <c:v>0.87817999999999996</c:v>
                </c:pt>
                <c:pt idx="164">
                  <c:v>0.87780000000000002</c:v>
                </c:pt>
                <c:pt idx="165">
                  <c:v>0.87756000000000001</c:v>
                </c:pt>
                <c:pt idx="166">
                  <c:v>0.87692000000000003</c:v>
                </c:pt>
                <c:pt idx="167">
                  <c:v>0.87658000000000003</c:v>
                </c:pt>
                <c:pt idx="168">
                  <c:v>0.87646000000000002</c:v>
                </c:pt>
                <c:pt idx="169">
                  <c:v>0.87638000000000005</c:v>
                </c:pt>
                <c:pt idx="170">
                  <c:v>0.87605999999999995</c:v>
                </c:pt>
                <c:pt idx="171">
                  <c:v>0.87597999999999998</c:v>
                </c:pt>
                <c:pt idx="172">
                  <c:v>0.87587999999999999</c:v>
                </c:pt>
                <c:pt idx="173">
                  <c:v>0.87551999999999996</c:v>
                </c:pt>
                <c:pt idx="174">
                  <c:v>0.87561999999999995</c:v>
                </c:pt>
                <c:pt idx="175">
                  <c:v>0.87582000000000004</c:v>
                </c:pt>
                <c:pt idx="176">
                  <c:v>0.87582000000000004</c:v>
                </c:pt>
                <c:pt idx="177">
                  <c:v>0.87604000000000004</c:v>
                </c:pt>
                <c:pt idx="178">
                  <c:v>0.87616000000000005</c:v>
                </c:pt>
                <c:pt idx="179">
                  <c:v>0.876</c:v>
                </c:pt>
                <c:pt idx="180">
                  <c:v>0.87609999999999999</c:v>
                </c:pt>
                <c:pt idx="181">
                  <c:v>0.876</c:v>
                </c:pt>
                <c:pt idx="182">
                  <c:v>0.87627999999999995</c:v>
                </c:pt>
                <c:pt idx="183">
                  <c:v>0.87594000000000005</c:v>
                </c:pt>
                <c:pt idx="184">
                  <c:v>0.87616000000000005</c:v>
                </c:pt>
                <c:pt idx="185">
                  <c:v>0.87594000000000005</c:v>
                </c:pt>
                <c:pt idx="186">
                  <c:v>0.87563999999999997</c:v>
                </c:pt>
                <c:pt idx="187">
                  <c:v>0.87597999999999998</c:v>
                </c:pt>
                <c:pt idx="188">
                  <c:v>0.87568000000000001</c:v>
                </c:pt>
                <c:pt idx="189">
                  <c:v>0.87580000000000002</c:v>
                </c:pt>
                <c:pt idx="190">
                  <c:v>0.87558000000000002</c:v>
                </c:pt>
                <c:pt idx="191">
                  <c:v>0.87534000000000001</c:v>
                </c:pt>
                <c:pt idx="192">
                  <c:v>0.87516000000000005</c:v>
                </c:pt>
                <c:pt idx="193">
                  <c:v>0.87522</c:v>
                </c:pt>
                <c:pt idx="194">
                  <c:v>0.875</c:v>
                </c:pt>
                <c:pt idx="195">
                  <c:v>0.87465999999999999</c:v>
                </c:pt>
                <c:pt idx="196">
                  <c:v>0.87460000000000004</c:v>
                </c:pt>
                <c:pt idx="197">
                  <c:v>0.87412000000000001</c:v>
                </c:pt>
                <c:pt idx="198">
                  <c:v>0.87390000000000001</c:v>
                </c:pt>
                <c:pt idx="199">
                  <c:v>0.87387999999999999</c:v>
                </c:pt>
                <c:pt idx="200">
                  <c:v>0.87372000000000005</c:v>
                </c:pt>
                <c:pt idx="201">
                  <c:v>0.87348000000000003</c:v>
                </c:pt>
                <c:pt idx="202">
                  <c:v>0.87360000000000004</c:v>
                </c:pt>
                <c:pt idx="203">
                  <c:v>0.87353999999999998</c:v>
                </c:pt>
                <c:pt idx="204">
                  <c:v>0.87361999999999995</c:v>
                </c:pt>
                <c:pt idx="205">
                  <c:v>0.87368000000000001</c:v>
                </c:pt>
                <c:pt idx="206">
                  <c:v>0.874</c:v>
                </c:pt>
                <c:pt idx="207">
                  <c:v>0.87424000000000002</c:v>
                </c:pt>
                <c:pt idx="208">
                  <c:v>0.87478</c:v>
                </c:pt>
                <c:pt idx="209">
                  <c:v>0.87536000000000003</c:v>
                </c:pt>
                <c:pt idx="210">
                  <c:v>0.87594000000000005</c:v>
                </c:pt>
                <c:pt idx="211">
                  <c:v>0.87683999999999995</c:v>
                </c:pt>
                <c:pt idx="212">
                  <c:v>0.87771999999999994</c:v>
                </c:pt>
                <c:pt idx="213">
                  <c:v>0.87902000000000002</c:v>
                </c:pt>
                <c:pt idx="214">
                  <c:v>0.88017999999999996</c:v>
                </c:pt>
                <c:pt idx="215">
                  <c:v>0.88156000000000001</c:v>
                </c:pt>
                <c:pt idx="216">
                  <c:v>0.88290000000000002</c:v>
                </c:pt>
                <c:pt idx="217">
                  <c:v>0.88470000000000004</c:v>
                </c:pt>
                <c:pt idx="218">
                  <c:v>0.88607999999999998</c:v>
                </c:pt>
                <c:pt idx="219">
                  <c:v>0.88788</c:v>
                </c:pt>
                <c:pt idx="220">
                  <c:v>0.88951999999999998</c:v>
                </c:pt>
                <c:pt idx="221">
                  <c:v>0.89119999999999999</c:v>
                </c:pt>
                <c:pt idx="222">
                  <c:v>0.89281999999999995</c:v>
                </c:pt>
                <c:pt idx="223">
                  <c:v>0.89480000000000004</c:v>
                </c:pt>
                <c:pt idx="224">
                  <c:v>0.89658000000000004</c:v>
                </c:pt>
                <c:pt idx="225">
                  <c:v>0.89803999999999995</c:v>
                </c:pt>
                <c:pt idx="226">
                  <c:v>0.89973999999999998</c:v>
                </c:pt>
                <c:pt idx="227">
                  <c:v>0.90139999999999998</c:v>
                </c:pt>
                <c:pt idx="228">
                  <c:v>0.90256000000000003</c:v>
                </c:pt>
                <c:pt idx="229">
                  <c:v>0.90368000000000004</c:v>
                </c:pt>
                <c:pt idx="230">
                  <c:v>0.90495999999999999</c:v>
                </c:pt>
                <c:pt idx="231">
                  <c:v>0.90591999999999995</c:v>
                </c:pt>
                <c:pt idx="232">
                  <c:v>0.90661999999999998</c:v>
                </c:pt>
                <c:pt idx="233">
                  <c:v>0.90749999999999997</c:v>
                </c:pt>
                <c:pt idx="234">
                  <c:v>0.90737999999999996</c:v>
                </c:pt>
                <c:pt idx="235">
                  <c:v>0.90754000000000001</c:v>
                </c:pt>
                <c:pt idx="236">
                  <c:v>0.90720000000000001</c:v>
                </c:pt>
                <c:pt idx="237">
                  <c:v>0.90673999999999999</c:v>
                </c:pt>
                <c:pt idx="238">
                  <c:v>0.90605999999999998</c:v>
                </c:pt>
                <c:pt idx="239">
                  <c:v>0.90524000000000004</c:v>
                </c:pt>
                <c:pt idx="240">
                  <c:v>0.90400000000000003</c:v>
                </c:pt>
                <c:pt idx="241">
                  <c:v>0.90264</c:v>
                </c:pt>
                <c:pt idx="242">
                  <c:v>0.90115999999999996</c:v>
                </c:pt>
                <c:pt idx="243">
                  <c:v>0.89949999999999997</c:v>
                </c:pt>
                <c:pt idx="244">
                  <c:v>0.89802000000000004</c:v>
                </c:pt>
                <c:pt idx="245">
                  <c:v>0.89617999999999998</c:v>
                </c:pt>
                <c:pt idx="246">
                  <c:v>0.89448000000000005</c:v>
                </c:pt>
                <c:pt idx="247">
                  <c:v>0.89263999999999999</c:v>
                </c:pt>
                <c:pt idx="248">
                  <c:v>0.89071999999999996</c:v>
                </c:pt>
                <c:pt idx="249">
                  <c:v>0.88904000000000005</c:v>
                </c:pt>
                <c:pt idx="250">
                  <c:v>0.88719999999999999</c:v>
                </c:pt>
                <c:pt idx="251">
                  <c:v>0.88549999999999995</c:v>
                </c:pt>
                <c:pt idx="252">
                  <c:v>0.88371999999999995</c:v>
                </c:pt>
                <c:pt idx="253">
                  <c:v>0.88197999999999999</c:v>
                </c:pt>
                <c:pt idx="254">
                  <c:v>0.88016000000000005</c:v>
                </c:pt>
                <c:pt idx="255">
                  <c:v>0.87871999999999995</c:v>
                </c:pt>
                <c:pt idx="256">
                  <c:v>0.87741999999999998</c:v>
                </c:pt>
                <c:pt idx="257">
                  <c:v>0.87604000000000004</c:v>
                </c:pt>
                <c:pt idx="258">
                  <c:v>0.87512000000000001</c:v>
                </c:pt>
                <c:pt idx="259">
                  <c:v>0.87441999999999998</c:v>
                </c:pt>
                <c:pt idx="260">
                  <c:v>0.874</c:v>
                </c:pt>
                <c:pt idx="261">
                  <c:v>0.87395999999999996</c:v>
                </c:pt>
                <c:pt idx="262">
                  <c:v>0.87426000000000004</c:v>
                </c:pt>
                <c:pt idx="263">
                  <c:v>0.87516000000000005</c:v>
                </c:pt>
                <c:pt idx="264">
                  <c:v>0.87649999999999995</c:v>
                </c:pt>
                <c:pt idx="265">
                  <c:v>0.87829999999999997</c:v>
                </c:pt>
                <c:pt idx="266">
                  <c:v>0.88044</c:v>
                </c:pt>
                <c:pt idx="267">
                  <c:v>0.88282000000000005</c:v>
                </c:pt>
                <c:pt idx="268">
                  <c:v>0.88534000000000002</c:v>
                </c:pt>
                <c:pt idx="269">
                  <c:v>0.88812000000000002</c:v>
                </c:pt>
                <c:pt idx="270">
                  <c:v>0.89095999999999997</c:v>
                </c:pt>
                <c:pt idx="271">
                  <c:v>0.89376</c:v>
                </c:pt>
                <c:pt idx="272">
                  <c:v>0.89659999999999995</c:v>
                </c:pt>
                <c:pt idx="273">
                  <c:v>0.8992</c:v>
                </c:pt>
                <c:pt idx="274">
                  <c:v>0.90176000000000001</c:v>
                </c:pt>
                <c:pt idx="275">
                  <c:v>0.90417999999999998</c:v>
                </c:pt>
                <c:pt idx="276">
                  <c:v>0.90690000000000004</c:v>
                </c:pt>
                <c:pt idx="277">
                  <c:v>0.90980000000000005</c:v>
                </c:pt>
                <c:pt idx="278">
                  <c:v>0.91244000000000003</c:v>
                </c:pt>
                <c:pt idx="279">
                  <c:v>0.91503999999999996</c:v>
                </c:pt>
                <c:pt idx="280">
                  <c:v>0.91705999999999999</c:v>
                </c:pt>
                <c:pt idx="281">
                  <c:v>0.91835999999999995</c:v>
                </c:pt>
                <c:pt idx="282">
                  <c:v>0.91881999999999997</c:v>
                </c:pt>
                <c:pt idx="283">
                  <c:v>0.91834000000000005</c:v>
                </c:pt>
                <c:pt idx="284">
                  <c:v>0.91678000000000004</c:v>
                </c:pt>
                <c:pt idx="285">
                  <c:v>0.91424000000000005</c:v>
                </c:pt>
                <c:pt idx="286">
                  <c:v>0.91093999999999997</c:v>
                </c:pt>
                <c:pt idx="287">
                  <c:v>0.90664</c:v>
                </c:pt>
                <c:pt idx="288">
                  <c:v>0.90158000000000005</c:v>
                </c:pt>
                <c:pt idx="289">
                  <c:v>0.89627999999999997</c:v>
                </c:pt>
                <c:pt idx="290">
                  <c:v>0.89049999999999996</c:v>
                </c:pt>
                <c:pt idx="291">
                  <c:v>0.88424000000000003</c:v>
                </c:pt>
                <c:pt idx="292">
                  <c:v>0.87829999999999997</c:v>
                </c:pt>
                <c:pt idx="293">
                  <c:v>0.87228000000000006</c:v>
                </c:pt>
                <c:pt idx="294">
                  <c:v>0.86624000000000001</c:v>
                </c:pt>
                <c:pt idx="295">
                  <c:v>0.86084000000000005</c:v>
                </c:pt>
                <c:pt idx="296">
                  <c:v>0.85526000000000002</c:v>
                </c:pt>
                <c:pt idx="297">
                  <c:v>0.85021999999999998</c:v>
                </c:pt>
                <c:pt idx="298">
                  <c:v>0.84536</c:v>
                </c:pt>
                <c:pt idx="299">
                  <c:v>0.84109999999999996</c:v>
                </c:pt>
                <c:pt idx="300">
                  <c:v>0.83679999999999999</c:v>
                </c:pt>
                <c:pt idx="301">
                  <c:v>0.83287999999999995</c:v>
                </c:pt>
                <c:pt idx="302">
                  <c:v>0.82940000000000003</c:v>
                </c:pt>
                <c:pt idx="303">
                  <c:v>0.82608000000000004</c:v>
                </c:pt>
                <c:pt idx="304">
                  <c:v>0.82289999999999996</c:v>
                </c:pt>
                <c:pt idx="305">
                  <c:v>0.82</c:v>
                </c:pt>
                <c:pt idx="306">
                  <c:v>0.81720000000000004</c:v>
                </c:pt>
                <c:pt idx="307">
                  <c:v>0.81452000000000002</c:v>
                </c:pt>
                <c:pt idx="308">
                  <c:v>0.81225999999999998</c:v>
                </c:pt>
                <c:pt idx="309">
                  <c:v>0.80978000000000006</c:v>
                </c:pt>
                <c:pt idx="310">
                  <c:v>0.80752000000000002</c:v>
                </c:pt>
                <c:pt idx="311">
                  <c:v>0.80532000000000004</c:v>
                </c:pt>
                <c:pt idx="312">
                  <c:v>0.8034</c:v>
                </c:pt>
                <c:pt idx="313">
                  <c:v>0.80145999999999995</c:v>
                </c:pt>
                <c:pt idx="314">
                  <c:v>0.79962</c:v>
                </c:pt>
                <c:pt idx="315">
                  <c:v>0.79812000000000005</c:v>
                </c:pt>
                <c:pt idx="316">
                  <c:v>0.79635999999999996</c:v>
                </c:pt>
                <c:pt idx="317">
                  <c:v>0.79468000000000005</c:v>
                </c:pt>
                <c:pt idx="318">
                  <c:v>0.79301999999999995</c:v>
                </c:pt>
                <c:pt idx="319">
                  <c:v>0.79144000000000003</c:v>
                </c:pt>
                <c:pt idx="320">
                  <c:v>0.78993999999999998</c:v>
                </c:pt>
                <c:pt idx="321">
                  <c:v>0.78857999999999995</c:v>
                </c:pt>
                <c:pt idx="322">
                  <c:v>0.7873</c:v>
                </c:pt>
                <c:pt idx="323">
                  <c:v>0.78581999999999996</c:v>
                </c:pt>
                <c:pt idx="324">
                  <c:v>0.78447999999999996</c:v>
                </c:pt>
                <c:pt idx="325">
                  <c:v>0.78291999999999995</c:v>
                </c:pt>
                <c:pt idx="326">
                  <c:v>0.78173999999999999</c:v>
                </c:pt>
                <c:pt idx="327">
                  <c:v>0.78047999999999995</c:v>
                </c:pt>
                <c:pt idx="328">
                  <c:v>0.77912000000000003</c:v>
                </c:pt>
                <c:pt idx="329">
                  <c:v>0.77795999999999998</c:v>
                </c:pt>
                <c:pt idx="330">
                  <c:v>0.77673999999999999</c:v>
                </c:pt>
                <c:pt idx="331">
                  <c:v>0.77559999999999996</c:v>
                </c:pt>
                <c:pt idx="332">
                  <c:v>0.77442</c:v>
                </c:pt>
                <c:pt idx="333">
                  <c:v>0.77332000000000001</c:v>
                </c:pt>
                <c:pt idx="334">
                  <c:v>0.77224000000000004</c:v>
                </c:pt>
                <c:pt idx="335">
                  <c:v>0.77105999999999997</c:v>
                </c:pt>
                <c:pt idx="336">
                  <c:v>0.76985999999999999</c:v>
                </c:pt>
                <c:pt idx="337">
                  <c:v>0.76863999999999999</c:v>
                </c:pt>
                <c:pt idx="338">
                  <c:v>0.76748000000000005</c:v>
                </c:pt>
                <c:pt idx="339">
                  <c:v>0.76637999999999995</c:v>
                </c:pt>
                <c:pt idx="340">
                  <c:v>0.76527999999999996</c:v>
                </c:pt>
                <c:pt idx="341">
                  <c:v>0.76404000000000005</c:v>
                </c:pt>
                <c:pt idx="342">
                  <c:v>0.76295999999999997</c:v>
                </c:pt>
                <c:pt idx="343">
                  <c:v>0.76193999999999995</c:v>
                </c:pt>
                <c:pt idx="344">
                  <c:v>0.76080000000000003</c:v>
                </c:pt>
                <c:pt idx="345">
                  <c:v>0.75985999999999998</c:v>
                </c:pt>
                <c:pt idx="346">
                  <c:v>0.75885999999999998</c:v>
                </c:pt>
                <c:pt idx="347">
                  <c:v>0.75770000000000004</c:v>
                </c:pt>
                <c:pt idx="348">
                  <c:v>0.75673999999999997</c:v>
                </c:pt>
                <c:pt idx="349">
                  <c:v>0.75546000000000002</c:v>
                </c:pt>
                <c:pt idx="350">
                  <c:v>0.75441999999999998</c:v>
                </c:pt>
                <c:pt idx="351">
                  <c:v>0.75329999999999997</c:v>
                </c:pt>
                <c:pt idx="352">
                  <c:v>0.75253999999999999</c:v>
                </c:pt>
                <c:pt idx="353">
                  <c:v>0.75149999999999995</c:v>
                </c:pt>
                <c:pt idx="354">
                  <c:v>0.75063999999999997</c:v>
                </c:pt>
                <c:pt idx="355">
                  <c:v>0.74965999999999999</c:v>
                </c:pt>
                <c:pt idx="356">
                  <c:v>0.74843999999999999</c:v>
                </c:pt>
                <c:pt idx="357">
                  <c:v>0.74751999999999996</c:v>
                </c:pt>
                <c:pt idx="358">
                  <c:v>0.74658000000000002</c:v>
                </c:pt>
                <c:pt idx="359">
                  <c:v>0.74560000000000004</c:v>
                </c:pt>
                <c:pt idx="360">
                  <c:v>0.74450000000000005</c:v>
                </c:pt>
                <c:pt idx="361">
                  <c:v>0.74380000000000002</c:v>
                </c:pt>
                <c:pt idx="362">
                  <c:v>0.74287999999999998</c:v>
                </c:pt>
                <c:pt idx="363">
                  <c:v>0.74182000000000003</c:v>
                </c:pt>
                <c:pt idx="364">
                  <c:v>0.74070000000000003</c:v>
                </c:pt>
                <c:pt idx="365">
                  <c:v>0.73984000000000005</c:v>
                </c:pt>
                <c:pt idx="366">
                  <c:v>0.73902000000000001</c:v>
                </c:pt>
                <c:pt idx="367">
                  <c:v>0.73809999999999998</c:v>
                </c:pt>
                <c:pt idx="368">
                  <c:v>0.73706000000000005</c:v>
                </c:pt>
                <c:pt idx="369">
                  <c:v>0.73624000000000001</c:v>
                </c:pt>
                <c:pt idx="370">
                  <c:v>0.73529999999999995</c:v>
                </c:pt>
                <c:pt idx="371">
                  <c:v>0.73438000000000003</c:v>
                </c:pt>
                <c:pt idx="372">
                  <c:v>0.73340000000000005</c:v>
                </c:pt>
                <c:pt idx="373">
                  <c:v>0.73263999999999996</c:v>
                </c:pt>
                <c:pt idx="374">
                  <c:v>0.73172000000000004</c:v>
                </c:pt>
                <c:pt idx="375">
                  <c:v>0.73085999999999995</c:v>
                </c:pt>
                <c:pt idx="376">
                  <c:v>0.72997999999999996</c:v>
                </c:pt>
                <c:pt idx="377">
                  <c:v>0.72894000000000003</c:v>
                </c:pt>
                <c:pt idx="378">
                  <c:v>0.72811999999999999</c:v>
                </c:pt>
                <c:pt idx="379">
                  <c:v>0.72711999999999999</c:v>
                </c:pt>
                <c:pt idx="380">
                  <c:v>0.72640000000000005</c:v>
                </c:pt>
                <c:pt idx="381">
                  <c:v>0.72543999999999997</c:v>
                </c:pt>
                <c:pt idx="382">
                  <c:v>0.72463999999999995</c:v>
                </c:pt>
                <c:pt idx="383">
                  <c:v>0.72360000000000002</c:v>
                </c:pt>
                <c:pt idx="384">
                  <c:v>0.72289999999999999</c:v>
                </c:pt>
                <c:pt idx="385">
                  <c:v>0.72202</c:v>
                </c:pt>
                <c:pt idx="386">
                  <c:v>0.72119999999999995</c:v>
                </c:pt>
                <c:pt idx="387">
                  <c:v>0.72033999999999998</c:v>
                </c:pt>
                <c:pt idx="388">
                  <c:v>0.71952000000000005</c:v>
                </c:pt>
                <c:pt idx="389">
                  <c:v>0.71865999999999997</c:v>
                </c:pt>
                <c:pt idx="390">
                  <c:v>0.71777999999999997</c:v>
                </c:pt>
                <c:pt idx="391">
                  <c:v>0.71708000000000005</c:v>
                </c:pt>
                <c:pt idx="392">
                  <c:v>0.71636</c:v>
                </c:pt>
                <c:pt idx="393">
                  <c:v>0.71528000000000003</c:v>
                </c:pt>
                <c:pt idx="394">
                  <c:v>0.71455999999999997</c:v>
                </c:pt>
                <c:pt idx="395">
                  <c:v>0.71372000000000002</c:v>
                </c:pt>
                <c:pt idx="396">
                  <c:v>0.71286000000000005</c:v>
                </c:pt>
                <c:pt idx="397">
                  <c:v>0.71206000000000003</c:v>
                </c:pt>
                <c:pt idx="398">
                  <c:v>0.71142000000000005</c:v>
                </c:pt>
                <c:pt idx="399">
                  <c:v>0.71060000000000001</c:v>
                </c:pt>
                <c:pt idx="400">
                  <c:v>0.70984000000000003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DE6-408E-80C6-9165C6BD0725}"/>
            </c:ext>
          </c:extLst>
        </c:ser>
        <c:ser>
          <c:idx val="8"/>
          <c:order val="8"/>
          <c:tx>
            <c:strRef>
              <c:f>'Pig graph '!$AC$1</c:f>
              <c:strCache>
                <c:ptCount val="1"/>
                <c:pt idx="0">
                  <c:v>s9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'!$AC$2:$AC$402</c:f>
              <c:numCache>
                <c:formatCode>General</c:formatCode>
                <c:ptCount val="401"/>
                <c:pt idx="0">
                  <c:v>1.14374</c:v>
                </c:pt>
                <c:pt idx="1">
                  <c:v>1.14506</c:v>
                </c:pt>
                <c:pt idx="2">
                  <c:v>1.14706</c:v>
                </c:pt>
                <c:pt idx="3">
                  <c:v>1.14768</c:v>
                </c:pt>
                <c:pt idx="4">
                  <c:v>1.1501999999999999</c:v>
                </c:pt>
                <c:pt idx="5">
                  <c:v>1.1512199999999999</c:v>
                </c:pt>
                <c:pt idx="6">
                  <c:v>1.1536599999999999</c:v>
                </c:pt>
                <c:pt idx="7">
                  <c:v>1.15662</c:v>
                </c:pt>
                <c:pt idx="8">
                  <c:v>1.1592800000000001</c:v>
                </c:pt>
                <c:pt idx="9">
                  <c:v>1.16204</c:v>
                </c:pt>
                <c:pt idx="10">
                  <c:v>1.16544</c:v>
                </c:pt>
                <c:pt idx="11">
                  <c:v>1.16818</c:v>
                </c:pt>
                <c:pt idx="12">
                  <c:v>1.1717</c:v>
                </c:pt>
                <c:pt idx="13">
                  <c:v>1.17428</c:v>
                </c:pt>
                <c:pt idx="14">
                  <c:v>1.17814</c:v>
                </c:pt>
                <c:pt idx="15">
                  <c:v>1.18</c:v>
                </c:pt>
                <c:pt idx="16">
                  <c:v>1.18258</c:v>
                </c:pt>
                <c:pt idx="17">
                  <c:v>1.1857</c:v>
                </c:pt>
                <c:pt idx="18">
                  <c:v>1.1878599999999999</c:v>
                </c:pt>
                <c:pt idx="19">
                  <c:v>1.1891400000000001</c:v>
                </c:pt>
                <c:pt idx="20">
                  <c:v>1.19062</c:v>
                </c:pt>
                <c:pt idx="21">
                  <c:v>1.1913400000000001</c:v>
                </c:pt>
                <c:pt idx="22">
                  <c:v>1.19238</c:v>
                </c:pt>
                <c:pt idx="23">
                  <c:v>1.19268</c:v>
                </c:pt>
                <c:pt idx="24">
                  <c:v>1.1938800000000001</c:v>
                </c:pt>
                <c:pt idx="25">
                  <c:v>1.1948799999999999</c:v>
                </c:pt>
                <c:pt idx="26">
                  <c:v>1.1955800000000001</c:v>
                </c:pt>
                <c:pt idx="27">
                  <c:v>1.19754</c:v>
                </c:pt>
                <c:pt idx="28">
                  <c:v>1.19946</c:v>
                </c:pt>
                <c:pt idx="29">
                  <c:v>1.2017199999999999</c:v>
                </c:pt>
                <c:pt idx="30">
                  <c:v>1.2044600000000001</c:v>
                </c:pt>
                <c:pt idx="31">
                  <c:v>1.2074</c:v>
                </c:pt>
                <c:pt idx="32">
                  <c:v>1.2109399999999999</c:v>
                </c:pt>
                <c:pt idx="33">
                  <c:v>1.2140200000000001</c:v>
                </c:pt>
                <c:pt idx="34">
                  <c:v>1.21746</c:v>
                </c:pt>
                <c:pt idx="35">
                  <c:v>1.2213799999999999</c:v>
                </c:pt>
                <c:pt idx="36">
                  <c:v>1.2253400000000001</c:v>
                </c:pt>
                <c:pt idx="37">
                  <c:v>1.2286999999999999</c:v>
                </c:pt>
                <c:pt idx="38">
                  <c:v>1.2313000000000001</c:v>
                </c:pt>
                <c:pt idx="39">
                  <c:v>1.23288</c:v>
                </c:pt>
                <c:pt idx="40">
                  <c:v>1.2341599999999999</c:v>
                </c:pt>
                <c:pt idx="41">
                  <c:v>1.2341599999999999</c:v>
                </c:pt>
                <c:pt idx="42">
                  <c:v>1.2334799999999999</c:v>
                </c:pt>
                <c:pt idx="43">
                  <c:v>1.2321200000000001</c:v>
                </c:pt>
                <c:pt idx="44">
                  <c:v>1.2294</c:v>
                </c:pt>
                <c:pt idx="45">
                  <c:v>1.2255799999999999</c:v>
                </c:pt>
                <c:pt idx="46">
                  <c:v>1.2207600000000001</c:v>
                </c:pt>
                <c:pt idx="47">
                  <c:v>1.2151400000000001</c:v>
                </c:pt>
                <c:pt idx="48">
                  <c:v>1.20878</c:v>
                </c:pt>
                <c:pt idx="49">
                  <c:v>1.20166</c:v>
                </c:pt>
                <c:pt idx="50">
                  <c:v>1.19442</c:v>
                </c:pt>
                <c:pt idx="51">
                  <c:v>1.1877200000000001</c:v>
                </c:pt>
                <c:pt idx="52">
                  <c:v>1.1807799999999999</c:v>
                </c:pt>
                <c:pt idx="53">
                  <c:v>1.1749799999999999</c:v>
                </c:pt>
                <c:pt idx="54">
                  <c:v>1.1695</c:v>
                </c:pt>
                <c:pt idx="55">
                  <c:v>1.16412</c:v>
                </c:pt>
                <c:pt idx="56">
                  <c:v>1.15906</c:v>
                </c:pt>
                <c:pt idx="57">
                  <c:v>1.155</c:v>
                </c:pt>
                <c:pt idx="58">
                  <c:v>1.15158</c:v>
                </c:pt>
                <c:pt idx="59">
                  <c:v>1.1482600000000001</c:v>
                </c:pt>
                <c:pt idx="60">
                  <c:v>1.1453599999999999</c:v>
                </c:pt>
                <c:pt idx="61">
                  <c:v>1.1429400000000001</c:v>
                </c:pt>
                <c:pt idx="62">
                  <c:v>1.14062</c:v>
                </c:pt>
                <c:pt idx="63">
                  <c:v>1.13828</c:v>
                </c:pt>
                <c:pt idx="64">
                  <c:v>1.1368199999999999</c:v>
                </c:pt>
                <c:pt idx="65">
                  <c:v>1.13446</c:v>
                </c:pt>
                <c:pt idx="66">
                  <c:v>1.13256</c:v>
                </c:pt>
                <c:pt idx="67">
                  <c:v>1.1305000000000001</c:v>
                </c:pt>
                <c:pt idx="68">
                  <c:v>1.1286400000000001</c:v>
                </c:pt>
                <c:pt idx="69">
                  <c:v>1.1265799999999999</c:v>
                </c:pt>
                <c:pt idx="70">
                  <c:v>1.1251599999999999</c:v>
                </c:pt>
                <c:pt idx="71">
                  <c:v>1.1230199999999999</c:v>
                </c:pt>
                <c:pt idx="72">
                  <c:v>1.1213599999999999</c:v>
                </c:pt>
                <c:pt idx="73">
                  <c:v>1.11944</c:v>
                </c:pt>
                <c:pt idx="74">
                  <c:v>1.1176999999999999</c:v>
                </c:pt>
                <c:pt idx="75">
                  <c:v>1.1158399999999999</c:v>
                </c:pt>
                <c:pt idx="76">
                  <c:v>1.1139600000000001</c:v>
                </c:pt>
                <c:pt idx="77">
                  <c:v>1.1128</c:v>
                </c:pt>
                <c:pt idx="78">
                  <c:v>1.1114200000000001</c:v>
                </c:pt>
                <c:pt idx="79">
                  <c:v>1.10944</c:v>
                </c:pt>
                <c:pt idx="80">
                  <c:v>1.10822</c:v>
                </c:pt>
                <c:pt idx="81">
                  <c:v>1.1068199999999999</c:v>
                </c:pt>
                <c:pt idx="82">
                  <c:v>1.10598</c:v>
                </c:pt>
                <c:pt idx="83">
                  <c:v>1.1047400000000001</c:v>
                </c:pt>
                <c:pt idx="84">
                  <c:v>1.10354</c:v>
                </c:pt>
                <c:pt idx="85">
                  <c:v>1.10266</c:v>
                </c:pt>
                <c:pt idx="86">
                  <c:v>1.1021799999999999</c:v>
                </c:pt>
                <c:pt idx="87">
                  <c:v>1.1013999999999999</c:v>
                </c:pt>
                <c:pt idx="88">
                  <c:v>1.1003400000000001</c:v>
                </c:pt>
                <c:pt idx="89">
                  <c:v>1.09988</c:v>
                </c:pt>
                <c:pt idx="90">
                  <c:v>1.0992200000000001</c:v>
                </c:pt>
                <c:pt idx="91">
                  <c:v>1.09866</c:v>
                </c:pt>
                <c:pt idx="92">
                  <c:v>1.09796</c:v>
                </c:pt>
                <c:pt idx="93">
                  <c:v>1.0972599999999999</c:v>
                </c:pt>
                <c:pt idx="94">
                  <c:v>1.09626</c:v>
                </c:pt>
                <c:pt idx="95">
                  <c:v>1.0955600000000001</c:v>
                </c:pt>
                <c:pt idx="96">
                  <c:v>1.09446</c:v>
                </c:pt>
                <c:pt idx="97">
                  <c:v>1.0927800000000001</c:v>
                </c:pt>
                <c:pt idx="98">
                  <c:v>1.0914600000000001</c:v>
                </c:pt>
                <c:pt idx="99">
                  <c:v>1.0899000000000001</c:v>
                </c:pt>
                <c:pt idx="100">
                  <c:v>1.0884400000000001</c:v>
                </c:pt>
                <c:pt idx="101">
                  <c:v>1.0866400000000001</c:v>
                </c:pt>
                <c:pt idx="102">
                  <c:v>1.085</c:v>
                </c:pt>
                <c:pt idx="103">
                  <c:v>1.0829800000000001</c:v>
                </c:pt>
                <c:pt idx="104">
                  <c:v>1.08074</c:v>
                </c:pt>
                <c:pt idx="105">
                  <c:v>1.0781799999999999</c:v>
                </c:pt>
                <c:pt idx="106">
                  <c:v>1.0759000000000001</c:v>
                </c:pt>
                <c:pt idx="107">
                  <c:v>1.0731599999999999</c:v>
                </c:pt>
                <c:pt idx="108">
                  <c:v>1.07064</c:v>
                </c:pt>
                <c:pt idx="109">
                  <c:v>1.0679000000000001</c:v>
                </c:pt>
                <c:pt idx="110">
                  <c:v>1.0657000000000001</c:v>
                </c:pt>
                <c:pt idx="111">
                  <c:v>1.0628599999999999</c:v>
                </c:pt>
                <c:pt idx="112">
                  <c:v>1.0603400000000001</c:v>
                </c:pt>
                <c:pt idx="113">
                  <c:v>1.0573999999999999</c:v>
                </c:pt>
                <c:pt idx="114">
                  <c:v>1.0545</c:v>
                </c:pt>
                <c:pt idx="115">
                  <c:v>1.05176</c:v>
                </c:pt>
                <c:pt idx="116">
                  <c:v>1.04898</c:v>
                </c:pt>
                <c:pt idx="117">
                  <c:v>1.0462</c:v>
                </c:pt>
                <c:pt idx="118">
                  <c:v>1.0432999999999999</c:v>
                </c:pt>
                <c:pt idx="119">
                  <c:v>1.0405</c:v>
                </c:pt>
                <c:pt idx="120">
                  <c:v>1.03806</c:v>
                </c:pt>
                <c:pt idx="121">
                  <c:v>1.0351600000000001</c:v>
                </c:pt>
                <c:pt idx="122">
                  <c:v>1.03274</c:v>
                </c:pt>
                <c:pt idx="123">
                  <c:v>1.03</c:v>
                </c:pt>
                <c:pt idx="124">
                  <c:v>1.02738</c:v>
                </c:pt>
                <c:pt idx="125">
                  <c:v>1.02546</c:v>
                </c:pt>
                <c:pt idx="126">
                  <c:v>1.0225200000000001</c:v>
                </c:pt>
                <c:pt idx="127">
                  <c:v>1.02044</c:v>
                </c:pt>
                <c:pt idx="128">
                  <c:v>1.0185</c:v>
                </c:pt>
                <c:pt idx="129">
                  <c:v>1.0158400000000001</c:v>
                </c:pt>
                <c:pt idx="130">
                  <c:v>1.0137400000000001</c:v>
                </c:pt>
                <c:pt idx="131">
                  <c:v>1.0115000000000001</c:v>
                </c:pt>
                <c:pt idx="132">
                  <c:v>1.0095000000000001</c:v>
                </c:pt>
                <c:pt idx="133">
                  <c:v>1.0075000000000001</c:v>
                </c:pt>
                <c:pt idx="134">
                  <c:v>1.0057400000000001</c:v>
                </c:pt>
                <c:pt idx="135">
                  <c:v>1.0038800000000001</c:v>
                </c:pt>
                <c:pt idx="136">
                  <c:v>1.0023200000000001</c:v>
                </c:pt>
                <c:pt idx="137">
                  <c:v>1.0001599999999999</c:v>
                </c:pt>
                <c:pt idx="138">
                  <c:v>0.99841999999999997</c:v>
                </c:pt>
                <c:pt idx="139">
                  <c:v>0.99704000000000004</c:v>
                </c:pt>
                <c:pt idx="140">
                  <c:v>0.99541999999999997</c:v>
                </c:pt>
                <c:pt idx="141">
                  <c:v>0.99383999999999995</c:v>
                </c:pt>
                <c:pt idx="142">
                  <c:v>0.99258000000000002</c:v>
                </c:pt>
                <c:pt idx="143">
                  <c:v>0.99129999999999996</c:v>
                </c:pt>
                <c:pt idx="144">
                  <c:v>0.98995999999999995</c:v>
                </c:pt>
                <c:pt idx="145">
                  <c:v>0.98875999999999997</c:v>
                </c:pt>
                <c:pt idx="146">
                  <c:v>0.98773999999999995</c:v>
                </c:pt>
                <c:pt idx="147">
                  <c:v>0.98658000000000001</c:v>
                </c:pt>
                <c:pt idx="148">
                  <c:v>0.98529999999999995</c:v>
                </c:pt>
                <c:pt idx="149">
                  <c:v>0.98472000000000004</c:v>
                </c:pt>
                <c:pt idx="150">
                  <c:v>0.98351999999999995</c:v>
                </c:pt>
                <c:pt idx="151">
                  <c:v>0.98233999999999999</c:v>
                </c:pt>
                <c:pt idx="152">
                  <c:v>0.98143999999999998</c:v>
                </c:pt>
                <c:pt idx="153">
                  <c:v>0.98062000000000005</c:v>
                </c:pt>
                <c:pt idx="154">
                  <c:v>0.98002</c:v>
                </c:pt>
                <c:pt idx="155">
                  <c:v>0.97921999999999998</c:v>
                </c:pt>
                <c:pt idx="156">
                  <c:v>0.97872000000000003</c:v>
                </c:pt>
                <c:pt idx="157">
                  <c:v>0.97789999999999999</c:v>
                </c:pt>
                <c:pt idx="158">
                  <c:v>0.97738000000000003</c:v>
                </c:pt>
                <c:pt idx="159">
                  <c:v>0.97677999999999998</c:v>
                </c:pt>
                <c:pt idx="160">
                  <c:v>0.97631999999999997</c:v>
                </c:pt>
                <c:pt idx="161">
                  <c:v>0.97616000000000003</c:v>
                </c:pt>
                <c:pt idx="162">
                  <c:v>0.97592000000000001</c:v>
                </c:pt>
                <c:pt idx="163">
                  <c:v>0.97562000000000004</c:v>
                </c:pt>
                <c:pt idx="164">
                  <c:v>0.97526000000000002</c:v>
                </c:pt>
                <c:pt idx="165">
                  <c:v>0.97533999999999998</c:v>
                </c:pt>
                <c:pt idx="166">
                  <c:v>0.97506000000000004</c:v>
                </c:pt>
                <c:pt idx="167">
                  <c:v>0.97494000000000003</c:v>
                </c:pt>
                <c:pt idx="168">
                  <c:v>0.97531999999999996</c:v>
                </c:pt>
                <c:pt idx="169">
                  <c:v>0.97562000000000004</c:v>
                </c:pt>
                <c:pt idx="170">
                  <c:v>0.97562000000000004</c:v>
                </c:pt>
                <c:pt idx="171">
                  <c:v>0.97626000000000002</c:v>
                </c:pt>
                <c:pt idx="172">
                  <c:v>0.97648000000000001</c:v>
                </c:pt>
                <c:pt idx="173">
                  <c:v>0.97662000000000004</c:v>
                </c:pt>
                <c:pt idx="174">
                  <c:v>0.97697999999999996</c:v>
                </c:pt>
                <c:pt idx="175">
                  <c:v>0.97763999999999995</c:v>
                </c:pt>
                <c:pt idx="176">
                  <c:v>0.97840000000000005</c:v>
                </c:pt>
                <c:pt idx="177">
                  <c:v>0.97887999999999997</c:v>
                </c:pt>
                <c:pt idx="178">
                  <c:v>0.97950000000000004</c:v>
                </c:pt>
                <c:pt idx="179">
                  <c:v>0.9798</c:v>
                </c:pt>
                <c:pt idx="180">
                  <c:v>0.98028000000000004</c:v>
                </c:pt>
                <c:pt idx="181">
                  <c:v>0.98077999999999999</c:v>
                </c:pt>
                <c:pt idx="182">
                  <c:v>0.98124</c:v>
                </c:pt>
                <c:pt idx="183">
                  <c:v>0.98155999999999999</c:v>
                </c:pt>
                <c:pt idx="184">
                  <c:v>0.98184000000000005</c:v>
                </c:pt>
                <c:pt idx="185">
                  <c:v>0.98214000000000001</c:v>
                </c:pt>
                <c:pt idx="186">
                  <c:v>0.98241999999999996</c:v>
                </c:pt>
                <c:pt idx="187">
                  <c:v>0.98265999999999998</c:v>
                </c:pt>
                <c:pt idx="188">
                  <c:v>0.98304000000000002</c:v>
                </c:pt>
                <c:pt idx="189">
                  <c:v>0.98329999999999995</c:v>
                </c:pt>
                <c:pt idx="190">
                  <c:v>0.98341999999999996</c:v>
                </c:pt>
                <c:pt idx="191">
                  <c:v>0.98355999999999999</c:v>
                </c:pt>
                <c:pt idx="192">
                  <c:v>0.98385999999999996</c:v>
                </c:pt>
                <c:pt idx="193">
                  <c:v>0.98421999999999998</c:v>
                </c:pt>
                <c:pt idx="194">
                  <c:v>0.98431999999999997</c:v>
                </c:pt>
                <c:pt idx="195">
                  <c:v>0.98431999999999997</c:v>
                </c:pt>
                <c:pt idx="196">
                  <c:v>0.98455999999999999</c:v>
                </c:pt>
                <c:pt idx="197">
                  <c:v>0.98451999999999995</c:v>
                </c:pt>
                <c:pt idx="198">
                  <c:v>0.98462000000000005</c:v>
                </c:pt>
                <c:pt idx="199">
                  <c:v>0.98480000000000001</c:v>
                </c:pt>
                <c:pt idx="200">
                  <c:v>0.98504000000000003</c:v>
                </c:pt>
                <c:pt idx="201">
                  <c:v>0.98509999999999998</c:v>
                </c:pt>
                <c:pt idx="202">
                  <c:v>0.98531999999999997</c:v>
                </c:pt>
                <c:pt idx="203">
                  <c:v>0.98580000000000001</c:v>
                </c:pt>
                <c:pt idx="204">
                  <c:v>0.98636000000000001</c:v>
                </c:pt>
                <c:pt idx="205">
                  <c:v>0.98716000000000004</c:v>
                </c:pt>
                <c:pt idx="206">
                  <c:v>0.98809999999999998</c:v>
                </c:pt>
                <c:pt idx="207">
                  <c:v>0.98904000000000003</c:v>
                </c:pt>
                <c:pt idx="208">
                  <c:v>0.99017999999999995</c:v>
                </c:pt>
                <c:pt idx="209">
                  <c:v>0.99153999999999998</c:v>
                </c:pt>
                <c:pt idx="210">
                  <c:v>0.99302000000000001</c:v>
                </c:pt>
                <c:pt idx="211">
                  <c:v>0.99482000000000004</c:v>
                </c:pt>
                <c:pt idx="212">
                  <c:v>0.99668000000000001</c:v>
                </c:pt>
                <c:pt idx="213">
                  <c:v>0.99880000000000002</c:v>
                </c:pt>
                <c:pt idx="214">
                  <c:v>1.00132</c:v>
                </c:pt>
                <c:pt idx="215">
                  <c:v>1.0037</c:v>
                </c:pt>
                <c:pt idx="216">
                  <c:v>1.00614</c:v>
                </c:pt>
                <c:pt idx="217">
                  <c:v>1.00936</c:v>
                </c:pt>
                <c:pt idx="218">
                  <c:v>1.0120199999999999</c:v>
                </c:pt>
                <c:pt idx="219">
                  <c:v>1.0150399999999999</c:v>
                </c:pt>
                <c:pt idx="220">
                  <c:v>1.0179199999999999</c:v>
                </c:pt>
                <c:pt idx="221">
                  <c:v>1.0208200000000001</c:v>
                </c:pt>
                <c:pt idx="222">
                  <c:v>1.0238</c:v>
                </c:pt>
                <c:pt idx="223">
                  <c:v>1.02704</c:v>
                </c:pt>
                <c:pt idx="224">
                  <c:v>1.0301199999999999</c:v>
                </c:pt>
                <c:pt idx="225">
                  <c:v>1.03312</c:v>
                </c:pt>
                <c:pt idx="226">
                  <c:v>1.0362</c:v>
                </c:pt>
                <c:pt idx="227">
                  <c:v>1.03898</c:v>
                </c:pt>
                <c:pt idx="228">
                  <c:v>1.0411600000000001</c:v>
                </c:pt>
                <c:pt idx="229">
                  <c:v>1.04348</c:v>
                </c:pt>
                <c:pt idx="230">
                  <c:v>1.0456000000000001</c:v>
                </c:pt>
                <c:pt idx="231">
                  <c:v>1.0473600000000001</c:v>
                </c:pt>
                <c:pt idx="232">
                  <c:v>1.0488</c:v>
                </c:pt>
                <c:pt idx="233">
                  <c:v>1.0501</c:v>
                </c:pt>
                <c:pt idx="234">
                  <c:v>1.0507599999999999</c:v>
                </c:pt>
                <c:pt idx="235">
                  <c:v>1.0513999999999999</c:v>
                </c:pt>
                <c:pt idx="236">
                  <c:v>1.0511999999999999</c:v>
                </c:pt>
                <c:pt idx="237">
                  <c:v>1.05084</c:v>
                </c:pt>
                <c:pt idx="238">
                  <c:v>1.0500799999999999</c:v>
                </c:pt>
                <c:pt idx="239">
                  <c:v>1.0490200000000001</c:v>
                </c:pt>
                <c:pt idx="240">
                  <c:v>1.04748</c:v>
                </c:pt>
                <c:pt idx="241">
                  <c:v>1.04562</c:v>
                </c:pt>
                <c:pt idx="242">
                  <c:v>1.04376</c:v>
                </c:pt>
                <c:pt idx="243">
                  <c:v>1.0415000000000001</c:v>
                </c:pt>
                <c:pt idx="244">
                  <c:v>1.03904</c:v>
                </c:pt>
                <c:pt idx="245">
                  <c:v>1.0366</c:v>
                </c:pt>
                <c:pt idx="246">
                  <c:v>1.0341400000000001</c:v>
                </c:pt>
                <c:pt idx="247">
                  <c:v>1.0314000000000001</c:v>
                </c:pt>
                <c:pt idx="248">
                  <c:v>1.0289600000000001</c:v>
                </c:pt>
                <c:pt idx="249">
                  <c:v>1.0264599999999999</c:v>
                </c:pt>
                <c:pt idx="250">
                  <c:v>1.0238</c:v>
                </c:pt>
                <c:pt idx="251">
                  <c:v>1.0214000000000001</c:v>
                </c:pt>
                <c:pt idx="252">
                  <c:v>1.0187999999999999</c:v>
                </c:pt>
                <c:pt idx="253">
                  <c:v>1.01658</c:v>
                </c:pt>
                <c:pt idx="254">
                  <c:v>1.0143200000000001</c:v>
                </c:pt>
                <c:pt idx="255">
                  <c:v>1.0121199999999999</c:v>
                </c:pt>
                <c:pt idx="256">
                  <c:v>1.0103200000000001</c:v>
                </c:pt>
                <c:pt idx="257">
                  <c:v>1.0087200000000001</c:v>
                </c:pt>
                <c:pt idx="258">
                  <c:v>1.00742</c:v>
                </c:pt>
                <c:pt idx="259">
                  <c:v>1.0066600000000001</c:v>
                </c:pt>
                <c:pt idx="260">
                  <c:v>1.0062199999999999</c:v>
                </c:pt>
                <c:pt idx="261">
                  <c:v>1.0064599999999999</c:v>
                </c:pt>
                <c:pt idx="262">
                  <c:v>1.00708</c:v>
                </c:pt>
                <c:pt idx="263">
                  <c:v>1.0084</c:v>
                </c:pt>
                <c:pt idx="264">
                  <c:v>1.0103800000000001</c:v>
                </c:pt>
                <c:pt idx="265">
                  <c:v>1.01284</c:v>
                </c:pt>
                <c:pt idx="266">
                  <c:v>1.01586</c:v>
                </c:pt>
                <c:pt idx="267">
                  <c:v>1.0194399999999999</c:v>
                </c:pt>
                <c:pt idx="268">
                  <c:v>1.02302</c:v>
                </c:pt>
                <c:pt idx="269">
                  <c:v>1.0267599999999999</c:v>
                </c:pt>
                <c:pt idx="270">
                  <c:v>1.0305800000000001</c:v>
                </c:pt>
                <c:pt idx="271">
                  <c:v>1.0346</c:v>
                </c:pt>
                <c:pt idx="272">
                  <c:v>1.0385200000000001</c:v>
                </c:pt>
                <c:pt idx="273">
                  <c:v>1.0422400000000001</c:v>
                </c:pt>
                <c:pt idx="274">
                  <c:v>1.0457399999999999</c:v>
                </c:pt>
                <c:pt idx="275">
                  <c:v>1.0491999999999999</c:v>
                </c:pt>
                <c:pt idx="276">
                  <c:v>1.05308</c:v>
                </c:pt>
                <c:pt idx="277">
                  <c:v>1.0568200000000001</c:v>
                </c:pt>
                <c:pt idx="278">
                  <c:v>1.06054</c:v>
                </c:pt>
                <c:pt idx="279">
                  <c:v>1.06382</c:v>
                </c:pt>
                <c:pt idx="280">
                  <c:v>1.06646</c:v>
                </c:pt>
                <c:pt idx="281">
                  <c:v>1.0683</c:v>
                </c:pt>
                <c:pt idx="282">
                  <c:v>1.0687199999999999</c:v>
                </c:pt>
                <c:pt idx="283">
                  <c:v>1.06782</c:v>
                </c:pt>
                <c:pt idx="284">
                  <c:v>1.06552</c:v>
                </c:pt>
                <c:pt idx="285">
                  <c:v>1.06192</c:v>
                </c:pt>
                <c:pt idx="286">
                  <c:v>1.05722</c:v>
                </c:pt>
                <c:pt idx="287">
                  <c:v>1.05118</c:v>
                </c:pt>
                <c:pt idx="288">
                  <c:v>1.0442800000000001</c:v>
                </c:pt>
                <c:pt idx="289">
                  <c:v>1.0368599999999999</c:v>
                </c:pt>
                <c:pt idx="290">
                  <c:v>1.02912</c:v>
                </c:pt>
                <c:pt idx="291">
                  <c:v>1.02054</c:v>
                </c:pt>
                <c:pt idx="292">
                  <c:v>1.01258</c:v>
                </c:pt>
                <c:pt idx="293">
                  <c:v>1.00474</c:v>
                </c:pt>
                <c:pt idx="294">
                  <c:v>0.99650000000000005</c:v>
                </c:pt>
                <c:pt idx="295">
                  <c:v>0.98948000000000003</c:v>
                </c:pt>
                <c:pt idx="296">
                  <c:v>0.98226000000000002</c:v>
                </c:pt>
                <c:pt idx="297">
                  <c:v>0.97555999999999998</c:v>
                </c:pt>
                <c:pt idx="298">
                  <c:v>0.96911999999999998</c:v>
                </c:pt>
                <c:pt idx="299">
                  <c:v>0.96333999999999997</c:v>
                </c:pt>
                <c:pt idx="300">
                  <c:v>0.95787999999999995</c:v>
                </c:pt>
                <c:pt idx="301">
                  <c:v>0.95277999999999996</c:v>
                </c:pt>
                <c:pt idx="302">
                  <c:v>0.94835999999999998</c:v>
                </c:pt>
                <c:pt idx="303">
                  <c:v>0.94416</c:v>
                </c:pt>
                <c:pt idx="304">
                  <c:v>0.94030000000000002</c:v>
                </c:pt>
                <c:pt idx="305">
                  <c:v>0.93657999999999997</c:v>
                </c:pt>
                <c:pt idx="306">
                  <c:v>0.93313999999999997</c:v>
                </c:pt>
                <c:pt idx="307">
                  <c:v>0.92979999999999996</c:v>
                </c:pt>
                <c:pt idx="308">
                  <c:v>0.92688000000000004</c:v>
                </c:pt>
                <c:pt idx="309">
                  <c:v>0.92379999999999995</c:v>
                </c:pt>
                <c:pt idx="310">
                  <c:v>0.92113999999999996</c:v>
                </c:pt>
                <c:pt idx="311">
                  <c:v>0.91842000000000001</c:v>
                </c:pt>
                <c:pt idx="312">
                  <c:v>0.9163</c:v>
                </c:pt>
                <c:pt idx="313">
                  <c:v>0.91393999999999997</c:v>
                </c:pt>
                <c:pt idx="314">
                  <c:v>0.91171999999999997</c:v>
                </c:pt>
                <c:pt idx="315">
                  <c:v>0.90976000000000001</c:v>
                </c:pt>
                <c:pt idx="316">
                  <c:v>0.90780000000000005</c:v>
                </c:pt>
                <c:pt idx="317">
                  <c:v>0.90581999999999996</c:v>
                </c:pt>
                <c:pt idx="318">
                  <c:v>0.90390000000000004</c:v>
                </c:pt>
                <c:pt idx="319">
                  <c:v>0.90210000000000001</c:v>
                </c:pt>
                <c:pt idx="320">
                  <c:v>0.90036000000000005</c:v>
                </c:pt>
                <c:pt idx="321">
                  <c:v>0.89868000000000003</c:v>
                </c:pt>
                <c:pt idx="322">
                  <c:v>0.89734000000000003</c:v>
                </c:pt>
                <c:pt idx="323">
                  <c:v>0.89570000000000005</c:v>
                </c:pt>
                <c:pt idx="324">
                  <c:v>0.89426000000000005</c:v>
                </c:pt>
                <c:pt idx="325">
                  <c:v>0.89263999999999999</c:v>
                </c:pt>
                <c:pt idx="326">
                  <c:v>0.89102000000000003</c:v>
                </c:pt>
                <c:pt idx="327">
                  <c:v>0.88968000000000003</c:v>
                </c:pt>
                <c:pt idx="328">
                  <c:v>0.88827999999999996</c:v>
                </c:pt>
                <c:pt idx="329">
                  <c:v>0.88683999999999996</c:v>
                </c:pt>
                <c:pt idx="330">
                  <c:v>0.88568000000000002</c:v>
                </c:pt>
                <c:pt idx="331">
                  <c:v>0.88439999999999996</c:v>
                </c:pt>
                <c:pt idx="332">
                  <c:v>0.88319999999999999</c:v>
                </c:pt>
                <c:pt idx="333">
                  <c:v>0.88195999999999997</c:v>
                </c:pt>
                <c:pt idx="334">
                  <c:v>0.88063999999999998</c:v>
                </c:pt>
                <c:pt idx="335">
                  <c:v>0.87939999999999996</c:v>
                </c:pt>
                <c:pt idx="336">
                  <c:v>0.87790000000000001</c:v>
                </c:pt>
                <c:pt idx="337">
                  <c:v>0.87668000000000001</c:v>
                </c:pt>
                <c:pt idx="338">
                  <c:v>0.87529999999999997</c:v>
                </c:pt>
                <c:pt idx="339">
                  <c:v>0.87417999999999996</c:v>
                </c:pt>
                <c:pt idx="340">
                  <c:v>0.87297999999999998</c:v>
                </c:pt>
                <c:pt idx="341">
                  <c:v>0.87180000000000002</c:v>
                </c:pt>
                <c:pt idx="342">
                  <c:v>0.87048000000000003</c:v>
                </c:pt>
                <c:pt idx="343">
                  <c:v>0.86950000000000005</c:v>
                </c:pt>
                <c:pt idx="344">
                  <c:v>0.86839999999999995</c:v>
                </c:pt>
                <c:pt idx="345">
                  <c:v>0.86716000000000004</c:v>
                </c:pt>
                <c:pt idx="346">
                  <c:v>0.86599999999999999</c:v>
                </c:pt>
                <c:pt idx="347">
                  <c:v>0.86477999999999999</c:v>
                </c:pt>
                <c:pt idx="348">
                  <c:v>0.86384000000000005</c:v>
                </c:pt>
                <c:pt idx="349">
                  <c:v>0.86251999999999995</c:v>
                </c:pt>
                <c:pt idx="350">
                  <c:v>0.86136000000000001</c:v>
                </c:pt>
                <c:pt idx="351">
                  <c:v>0.86009999999999998</c:v>
                </c:pt>
                <c:pt idx="352">
                  <c:v>0.85926000000000002</c:v>
                </c:pt>
                <c:pt idx="353">
                  <c:v>0.85829999999999995</c:v>
                </c:pt>
                <c:pt idx="354">
                  <c:v>0.85729999999999995</c:v>
                </c:pt>
                <c:pt idx="355">
                  <c:v>0.85626000000000002</c:v>
                </c:pt>
                <c:pt idx="356">
                  <c:v>0.85504000000000002</c:v>
                </c:pt>
                <c:pt idx="357">
                  <c:v>0.85404000000000002</c:v>
                </c:pt>
                <c:pt idx="358">
                  <c:v>0.85287999999999997</c:v>
                </c:pt>
                <c:pt idx="359">
                  <c:v>0.85177999999999998</c:v>
                </c:pt>
                <c:pt idx="360">
                  <c:v>0.85074000000000005</c:v>
                </c:pt>
                <c:pt idx="361">
                  <c:v>0.85004000000000002</c:v>
                </c:pt>
                <c:pt idx="362">
                  <c:v>0.84928000000000003</c:v>
                </c:pt>
                <c:pt idx="363">
                  <c:v>0.84811999999999999</c:v>
                </c:pt>
                <c:pt idx="364">
                  <c:v>0.84709999999999996</c:v>
                </c:pt>
                <c:pt idx="365">
                  <c:v>0.84597999999999995</c:v>
                </c:pt>
                <c:pt idx="366">
                  <c:v>0.84504000000000001</c:v>
                </c:pt>
                <c:pt idx="367">
                  <c:v>0.84399999999999997</c:v>
                </c:pt>
                <c:pt idx="368">
                  <c:v>0.84284000000000003</c:v>
                </c:pt>
                <c:pt idx="369">
                  <c:v>0.84187999999999996</c:v>
                </c:pt>
                <c:pt idx="370">
                  <c:v>0.84086000000000005</c:v>
                </c:pt>
                <c:pt idx="371">
                  <c:v>0.83977999999999997</c:v>
                </c:pt>
                <c:pt idx="372">
                  <c:v>0.83877999999999997</c:v>
                </c:pt>
                <c:pt idx="373">
                  <c:v>0.83786000000000005</c:v>
                </c:pt>
                <c:pt idx="374">
                  <c:v>0.83686000000000005</c:v>
                </c:pt>
                <c:pt idx="375">
                  <c:v>0.83582000000000001</c:v>
                </c:pt>
                <c:pt idx="376">
                  <c:v>0.83467999999999998</c:v>
                </c:pt>
                <c:pt idx="377">
                  <c:v>0.83374000000000004</c:v>
                </c:pt>
                <c:pt idx="378">
                  <c:v>0.83286000000000004</c:v>
                </c:pt>
                <c:pt idx="379">
                  <c:v>0.83172000000000001</c:v>
                </c:pt>
                <c:pt idx="380">
                  <c:v>0.83082</c:v>
                </c:pt>
                <c:pt idx="381">
                  <c:v>0.82984000000000002</c:v>
                </c:pt>
                <c:pt idx="382">
                  <c:v>0.82908000000000004</c:v>
                </c:pt>
                <c:pt idx="383">
                  <c:v>0.82794000000000001</c:v>
                </c:pt>
                <c:pt idx="384">
                  <c:v>0.82718000000000003</c:v>
                </c:pt>
                <c:pt idx="385">
                  <c:v>0.82611999999999997</c:v>
                </c:pt>
                <c:pt idx="386">
                  <c:v>0.82491999999999999</c:v>
                </c:pt>
                <c:pt idx="387">
                  <c:v>0.82399999999999995</c:v>
                </c:pt>
                <c:pt idx="388">
                  <c:v>0.82306000000000001</c:v>
                </c:pt>
                <c:pt idx="389">
                  <c:v>0.82218000000000002</c:v>
                </c:pt>
                <c:pt idx="390">
                  <c:v>0.82121999999999995</c:v>
                </c:pt>
                <c:pt idx="391">
                  <c:v>0.82020000000000004</c:v>
                </c:pt>
                <c:pt idx="392">
                  <c:v>0.81921999999999995</c:v>
                </c:pt>
                <c:pt idx="393">
                  <c:v>0.81813999999999998</c:v>
                </c:pt>
                <c:pt idx="394">
                  <c:v>0.81713999999999998</c:v>
                </c:pt>
                <c:pt idx="395">
                  <c:v>0.81621999999999995</c:v>
                </c:pt>
                <c:pt idx="396">
                  <c:v>0.81506000000000001</c:v>
                </c:pt>
                <c:pt idx="397">
                  <c:v>0.81413999999999997</c:v>
                </c:pt>
                <c:pt idx="398">
                  <c:v>0.81323999999999996</c:v>
                </c:pt>
                <c:pt idx="399">
                  <c:v>0.81201999999999996</c:v>
                </c:pt>
                <c:pt idx="400">
                  <c:v>0.81140000000000001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DE6-408E-80C6-9165C6BD0725}"/>
            </c:ext>
          </c:extLst>
        </c:ser>
        <c:ser>
          <c:idx val="9"/>
          <c:order val="9"/>
          <c:tx>
            <c:strRef>
              <c:f>'Pig graph '!$AD$1</c:f>
              <c:strCache>
                <c:ptCount val="1"/>
                <c:pt idx="0">
                  <c:v>s10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'!$AD$2:$AD$402</c:f>
              <c:numCache>
                <c:formatCode>General</c:formatCode>
                <c:ptCount val="401"/>
                <c:pt idx="0">
                  <c:v>1.12226</c:v>
                </c:pt>
                <c:pt idx="1">
                  <c:v>1.12378</c:v>
                </c:pt>
                <c:pt idx="2">
                  <c:v>1.1253</c:v>
                </c:pt>
                <c:pt idx="3">
                  <c:v>1.1267400000000001</c:v>
                </c:pt>
                <c:pt idx="4">
                  <c:v>1.1279600000000001</c:v>
                </c:pt>
                <c:pt idx="5">
                  <c:v>1.1295999999999999</c:v>
                </c:pt>
                <c:pt idx="6">
                  <c:v>1.13174</c:v>
                </c:pt>
                <c:pt idx="7">
                  <c:v>1.13462</c:v>
                </c:pt>
                <c:pt idx="8">
                  <c:v>1.13696</c:v>
                </c:pt>
                <c:pt idx="9">
                  <c:v>1.13974</c:v>
                </c:pt>
                <c:pt idx="10">
                  <c:v>1.14306</c:v>
                </c:pt>
                <c:pt idx="11">
                  <c:v>1.14584</c:v>
                </c:pt>
                <c:pt idx="12">
                  <c:v>1.1493599999999999</c:v>
                </c:pt>
                <c:pt idx="13">
                  <c:v>1.15174</c:v>
                </c:pt>
                <c:pt idx="14">
                  <c:v>1.1545399999999999</c:v>
                </c:pt>
                <c:pt idx="15">
                  <c:v>1.15716</c:v>
                </c:pt>
                <c:pt idx="16">
                  <c:v>1.1590199999999999</c:v>
                </c:pt>
                <c:pt idx="17">
                  <c:v>1.16208</c:v>
                </c:pt>
                <c:pt idx="18">
                  <c:v>1.16398</c:v>
                </c:pt>
                <c:pt idx="19">
                  <c:v>1.1658599999999999</c:v>
                </c:pt>
                <c:pt idx="20">
                  <c:v>1.1669400000000001</c:v>
                </c:pt>
                <c:pt idx="21">
                  <c:v>1.1678999999999999</c:v>
                </c:pt>
                <c:pt idx="22">
                  <c:v>1.169</c:v>
                </c:pt>
                <c:pt idx="23">
                  <c:v>1.1689799999999999</c:v>
                </c:pt>
                <c:pt idx="24">
                  <c:v>1.17004</c:v>
                </c:pt>
                <c:pt idx="25">
                  <c:v>1.1711800000000001</c:v>
                </c:pt>
                <c:pt idx="26">
                  <c:v>1.17214</c:v>
                </c:pt>
                <c:pt idx="27">
                  <c:v>1.1739599999999999</c:v>
                </c:pt>
                <c:pt idx="28">
                  <c:v>1.17578</c:v>
                </c:pt>
                <c:pt idx="29">
                  <c:v>1.17774</c:v>
                </c:pt>
                <c:pt idx="30">
                  <c:v>1.18038</c:v>
                </c:pt>
                <c:pt idx="31">
                  <c:v>1.1831400000000001</c:v>
                </c:pt>
                <c:pt idx="32">
                  <c:v>1.18638</c:v>
                </c:pt>
                <c:pt idx="33">
                  <c:v>1.1894800000000001</c:v>
                </c:pt>
                <c:pt idx="34">
                  <c:v>1.1924999999999999</c:v>
                </c:pt>
                <c:pt idx="35">
                  <c:v>1.1959599999999999</c:v>
                </c:pt>
                <c:pt idx="36">
                  <c:v>1.1994400000000001</c:v>
                </c:pt>
                <c:pt idx="37">
                  <c:v>1.2023600000000001</c:v>
                </c:pt>
                <c:pt idx="38">
                  <c:v>1.20478</c:v>
                </c:pt>
                <c:pt idx="39">
                  <c:v>1.20672</c:v>
                </c:pt>
                <c:pt idx="40">
                  <c:v>1.2077</c:v>
                </c:pt>
                <c:pt idx="41">
                  <c:v>1.2080599999999999</c:v>
                </c:pt>
                <c:pt idx="42">
                  <c:v>1.2075800000000001</c:v>
                </c:pt>
                <c:pt idx="43">
                  <c:v>1.2059</c:v>
                </c:pt>
                <c:pt idx="44">
                  <c:v>1.20374</c:v>
                </c:pt>
                <c:pt idx="45">
                  <c:v>1.2002600000000001</c:v>
                </c:pt>
                <c:pt idx="46">
                  <c:v>1.1961599999999999</c:v>
                </c:pt>
                <c:pt idx="47">
                  <c:v>1.1911</c:v>
                </c:pt>
                <c:pt idx="48">
                  <c:v>1.1857200000000001</c:v>
                </c:pt>
                <c:pt idx="49">
                  <c:v>1.1797200000000001</c:v>
                </c:pt>
                <c:pt idx="50">
                  <c:v>1.1733800000000001</c:v>
                </c:pt>
                <c:pt idx="51">
                  <c:v>1.16726</c:v>
                </c:pt>
                <c:pt idx="52">
                  <c:v>1.1608799999999999</c:v>
                </c:pt>
                <c:pt idx="53">
                  <c:v>1.15534</c:v>
                </c:pt>
                <c:pt idx="54">
                  <c:v>1.1508799999999999</c:v>
                </c:pt>
                <c:pt idx="55">
                  <c:v>1.1465399999999999</c:v>
                </c:pt>
                <c:pt idx="56">
                  <c:v>1.1421600000000001</c:v>
                </c:pt>
                <c:pt idx="57">
                  <c:v>1.1384799999999999</c:v>
                </c:pt>
                <c:pt idx="58">
                  <c:v>1.13544</c:v>
                </c:pt>
                <c:pt idx="59">
                  <c:v>1.1327799999999999</c:v>
                </c:pt>
                <c:pt idx="60">
                  <c:v>1.1301600000000001</c:v>
                </c:pt>
                <c:pt idx="61">
                  <c:v>1.1280600000000001</c:v>
                </c:pt>
                <c:pt idx="62">
                  <c:v>1.12612</c:v>
                </c:pt>
                <c:pt idx="63">
                  <c:v>1.1243799999999999</c:v>
                </c:pt>
                <c:pt idx="64">
                  <c:v>1.1223799999999999</c:v>
                </c:pt>
                <c:pt idx="65">
                  <c:v>1.1205799999999999</c:v>
                </c:pt>
                <c:pt idx="66">
                  <c:v>1.1187199999999999</c:v>
                </c:pt>
                <c:pt idx="67">
                  <c:v>1.117</c:v>
                </c:pt>
                <c:pt idx="68">
                  <c:v>1.1149199999999999</c:v>
                </c:pt>
                <c:pt idx="69">
                  <c:v>1.1131599999999999</c:v>
                </c:pt>
                <c:pt idx="70">
                  <c:v>1.11164</c:v>
                </c:pt>
                <c:pt idx="71">
                  <c:v>1.10998</c:v>
                </c:pt>
                <c:pt idx="72">
                  <c:v>1.1080399999999999</c:v>
                </c:pt>
                <c:pt idx="73">
                  <c:v>1.10608</c:v>
                </c:pt>
                <c:pt idx="74">
                  <c:v>1.1047</c:v>
                </c:pt>
                <c:pt idx="75">
                  <c:v>1.10328</c:v>
                </c:pt>
                <c:pt idx="76">
                  <c:v>1.1013999999999999</c:v>
                </c:pt>
                <c:pt idx="77">
                  <c:v>1.09998</c:v>
                </c:pt>
                <c:pt idx="78">
                  <c:v>1.09876</c:v>
                </c:pt>
                <c:pt idx="79">
                  <c:v>1.09714</c:v>
                </c:pt>
                <c:pt idx="80">
                  <c:v>1.0958000000000001</c:v>
                </c:pt>
                <c:pt idx="81">
                  <c:v>1.0953999999999999</c:v>
                </c:pt>
                <c:pt idx="82">
                  <c:v>1.0940799999999999</c:v>
                </c:pt>
                <c:pt idx="83">
                  <c:v>1.0928599999999999</c:v>
                </c:pt>
                <c:pt idx="84">
                  <c:v>1.09202</c:v>
                </c:pt>
                <c:pt idx="85">
                  <c:v>1.0912200000000001</c:v>
                </c:pt>
                <c:pt idx="86">
                  <c:v>1.09094</c:v>
                </c:pt>
                <c:pt idx="87">
                  <c:v>1.0904799999999999</c:v>
                </c:pt>
                <c:pt idx="88">
                  <c:v>1.08944</c:v>
                </c:pt>
                <c:pt idx="89">
                  <c:v>1.08924</c:v>
                </c:pt>
                <c:pt idx="90">
                  <c:v>1.0884</c:v>
                </c:pt>
                <c:pt idx="91">
                  <c:v>1.0879799999999999</c:v>
                </c:pt>
                <c:pt idx="92">
                  <c:v>1.0873999999999999</c:v>
                </c:pt>
                <c:pt idx="93">
                  <c:v>1.0868800000000001</c:v>
                </c:pt>
                <c:pt idx="94">
                  <c:v>1.08596</c:v>
                </c:pt>
                <c:pt idx="95">
                  <c:v>1.0852999999999999</c:v>
                </c:pt>
                <c:pt idx="96">
                  <c:v>1.0842000000000001</c:v>
                </c:pt>
                <c:pt idx="97">
                  <c:v>1.0828800000000001</c:v>
                </c:pt>
                <c:pt idx="98">
                  <c:v>1.08172</c:v>
                </c:pt>
                <c:pt idx="99">
                  <c:v>1.0800799999999999</c:v>
                </c:pt>
                <c:pt idx="100">
                  <c:v>1.0788</c:v>
                </c:pt>
                <c:pt idx="101">
                  <c:v>1.0772999999999999</c:v>
                </c:pt>
                <c:pt idx="102">
                  <c:v>1.0753999999999999</c:v>
                </c:pt>
                <c:pt idx="103">
                  <c:v>1.07352</c:v>
                </c:pt>
                <c:pt idx="104">
                  <c:v>1.0714399999999999</c:v>
                </c:pt>
                <c:pt idx="105">
                  <c:v>1.06924</c:v>
                </c:pt>
                <c:pt idx="106">
                  <c:v>1.0668599999999999</c:v>
                </c:pt>
                <c:pt idx="107">
                  <c:v>1.06464</c:v>
                </c:pt>
                <c:pt idx="108">
                  <c:v>1.0620400000000001</c:v>
                </c:pt>
                <c:pt idx="109">
                  <c:v>1.05958</c:v>
                </c:pt>
                <c:pt idx="110">
                  <c:v>1.05718</c:v>
                </c:pt>
                <c:pt idx="111">
                  <c:v>1.0546599999999999</c:v>
                </c:pt>
                <c:pt idx="112">
                  <c:v>1.0521799999999999</c:v>
                </c:pt>
                <c:pt idx="113">
                  <c:v>1.04928</c:v>
                </c:pt>
                <c:pt idx="114">
                  <c:v>1.0467200000000001</c:v>
                </c:pt>
                <c:pt idx="115">
                  <c:v>1.0441800000000001</c:v>
                </c:pt>
                <c:pt idx="116">
                  <c:v>1.0415000000000001</c:v>
                </c:pt>
                <c:pt idx="117">
                  <c:v>1.0384599999999999</c:v>
                </c:pt>
                <c:pt idx="118">
                  <c:v>1.0359799999999999</c:v>
                </c:pt>
                <c:pt idx="119">
                  <c:v>1.03338</c:v>
                </c:pt>
                <c:pt idx="120">
                  <c:v>1.0308200000000001</c:v>
                </c:pt>
                <c:pt idx="121">
                  <c:v>1.0285</c:v>
                </c:pt>
                <c:pt idx="122">
                  <c:v>1.0259</c:v>
                </c:pt>
                <c:pt idx="123">
                  <c:v>1.0234399999999999</c:v>
                </c:pt>
                <c:pt idx="124">
                  <c:v>1.0206999999999999</c:v>
                </c:pt>
                <c:pt idx="125">
                  <c:v>1.0188999999999999</c:v>
                </c:pt>
                <c:pt idx="126">
                  <c:v>1.0162599999999999</c:v>
                </c:pt>
                <c:pt idx="127">
                  <c:v>1.0144599999999999</c:v>
                </c:pt>
                <c:pt idx="128">
                  <c:v>1.0124</c:v>
                </c:pt>
                <c:pt idx="129">
                  <c:v>1.00986</c:v>
                </c:pt>
                <c:pt idx="130">
                  <c:v>1.0078800000000001</c:v>
                </c:pt>
                <c:pt idx="131">
                  <c:v>1.0060199999999999</c:v>
                </c:pt>
                <c:pt idx="132">
                  <c:v>1.0037799999999999</c:v>
                </c:pt>
                <c:pt idx="133">
                  <c:v>1.0020800000000001</c:v>
                </c:pt>
                <c:pt idx="134">
                  <c:v>1.00068</c:v>
                </c:pt>
                <c:pt idx="135">
                  <c:v>0.99873999999999996</c:v>
                </c:pt>
                <c:pt idx="136">
                  <c:v>0.99697999999999998</c:v>
                </c:pt>
                <c:pt idx="137">
                  <c:v>0.99483999999999995</c:v>
                </c:pt>
                <c:pt idx="138">
                  <c:v>0.99309999999999998</c:v>
                </c:pt>
                <c:pt idx="139">
                  <c:v>0.99192000000000002</c:v>
                </c:pt>
                <c:pt idx="140">
                  <c:v>0.99041999999999997</c:v>
                </c:pt>
                <c:pt idx="141">
                  <c:v>0.98892000000000002</c:v>
                </c:pt>
                <c:pt idx="142">
                  <c:v>0.98753999999999997</c:v>
                </c:pt>
                <c:pt idx="143">
                  <c:v>0.98638000000000003</c:v>
                </c:pt>
                <c:pt idx="144">
                  <c:v>0.98514000000000002</c:v>
                </c:pt>
                <c:pt idx="145">
                  <c:v>0.98380000000000001</c:v>
                </c:pt>
                <c:pt idx="146">
                  <c:v>0.98304000000000002</c:v>
                </c:pt>
                <c:pt idx="147">
                  <c:v>0.98207999999999995</c:v>
                </c:pt>
                <c:pt idx="148">
                  <c:v>0.98077999999999999</c:v>
                </c:pt>
                <c:pt idx="149">
                  <c:v>0.98009999999999997</c:v>
                </c:pt>
                <c:pt idx="150">
                  <c:v>0.97899999999999998</c:v>
                </c:pt>
                <c:pt idx="151">
                  <c:v>0.97796000000000005</c:v>
                </c:pt>
                <c:pt idx="152">
                  <c:v>0.97714000000000001</c:v>
                </c:pt>
                <c:pt idx="153">
                  <c:v>0.97621999999999998</c:v>
                </c:pt>
                <c:pt idx="154">
                  <c:v>0.97550000000000003</c:v>
                </c:pt>
                <c:pt idx="155">
                  <c:v>0.97492000000000001</c:v>
                </c:pt>
                <c:pt idx="156">
                  <c:v>0.97418000000000005</c:v>
                </c:pt>
                <c:pt idx="157">
                  <c:v>0.97353999999999996</c:v>
                </c:pt>
                <c:pt idx="158">
                  <c:v>0.97314000000000001</c:v>
                </c:pt>
                <c:pt idx="159">
                  <c:v>0.97248000000000001</c:v>
                </c:pt>
                <c:pt idx="160">
                  <c:v>0.97214</c:v>
                </c:pt>
                <c:pt idx="161">
                  <c:v>0.97184000000000004</c:v>
                </c:pt>
                <c:pt idx="162">
                  <c:v>0.97143999999999997</c:v>
                </c:pt>
                <c:pt idx="163">
                  <c:v>0.97099999999999997</c:v>
                </c:pt>
                <c:pt idx="164">
                  <c:v>0.97094000000000003</c:v>
                </c:pt>
                <c:pt idx="165">
                  <c:v>0.97085999999999995</c:v>
                </c:pt>
                <c:pt idx="166">
                  <c:v>0.97062000000000004</c:v>
                </c:pt>
                <c:pt idx="167">
                  <c:v>0.97052000000000005</c:v>
                </c:pt>
                <c:pt idx="168">
                  <c:v>0.97055999999999998</c:v>
                </c:pt>
                <c:pt idx="169">
                  <c:v>0.97085999999999995</c:v>
                </c:pt>
                <c:pt idx="170">
                  <c:v>0.97082000000000002</c:v>
                </c:pt>
                <c:pt idx="171">
                  <c:v>0.97104000000000001</c:v>
                </c:pt>
                <c:pt idx="172">
                  <c:v>0.97126000000000001</c:v>
                </c:pt>
                <c:pt idx="173">
                  <c:v>0.97145999999999999</c:v>
                </c:pt>
                <c:pt idx="174">
                  <c:v>0.97167999999999999</c:v>
                </c:pt>
                <c:pt idx="175">
                  <c:v>0.97216000000000002</c:v>
                </c:pt>
                <c:pt idx="176">
                  <c:v>0.97260000000000002</c:v>
                </c:pt>
                <c:pt idx="177">
                  <c:v>0.97323999999999999</c:v>
                </c:pt>
                <c:pt idx="178">
                  <c:v>0.97352000000000005</c:v>
                </c:pt>
                <c:pt idx="179">
                  <c:v>0.97363999999999995</c:v>
                </c:pt>
                <c:pt idx="180">
                  <c:v>0.97402</c:v>
                </c:pt>
                <c:pt idx="181">
                  <c:v>0.97448000000000001</c:v>
                </c:pt>
                <c:pt idx="182">
                  <c:v>0.97474000000000005</c:v>
                </c:pt>
                <c:pt idx="183">
                  <c:v>0.9748</c:v>
                </c:pt>
                <c:pt idx="184">
                  <c:v>0.97526000000000002</c:v>
                </c:pt>
                <c:pt idx="185">
                  <c:v>0.97552000000000005</c:v>
                </c:pt>
                <c:pt idx="186">
                  <c:v>0.97567999999999999</c:v>
                </c:pt>
                <c:pt idx="187">
                  <c:v>0.97597999999999996</c:v>
                </c:pt>
                <c:pt idx="188">
                  <c:v>0.97609999999999997</c:v>
                </c:pt>
                <c:pt idx="189">
                  <c:v>0.97650000000000003</c:v>
                </c:pt>
                <c:pt idx="190">
                  <c:v>0.97638000000000003</c:v>
                </c:pt>
                <c:pt idx="191">
                  <c:v>0.97665999999999997</c:v>
                </c:pt>
                <c:pt idx="192">
                  <c:v>0.97665999999999997</c:v>
                </c:pt>
                <c:pt idx="193">
                  <c:v>0.97685999999999995</c:v>
                </c:pt>
                <c:pt idx="194">
                  <c:v>0.97702</c:v>
                </c:pt>
                <c:pt idx="195">
                  <c:v>0.97706000000000004</c:v>
                </c:pt>
                <c:pt idx="196">
                  <c:v>0.97697999999999996</c:v>
                </c:pt>
                <c:pt idx="197">
                  <c:v>0.9768</c:v>
                </c:pt>
                <c:pt idx="198">
                  <c:v>0.97692000000000001</c:v>
                </c:pt>
                <c:pt idx="199">
                  <c:v>0.97696000000000005</c:v>
                </c:pt>
                <c:pt idx="200">
                  <c:v>0.97702</c:v>
                </c:pt>
                <c:pt idx="201">
                  <c:v>0.97718000000000005</c:v>
                </c:pt>
                <c:pt idx="202">
                  <c:v>0.97741999999999996</c:v>
                </c:pt>
                <c:pt idx="203">
                  <c:v>0.97765999999999997</c:v>
                </c:pt>
                <c:pt idx="204">
                  <c:v>0.97796000000000005</c:v>
                </c:pt>
                <c:pt idx="205">
                  <c:v>0.97860000000000003</c:v>
                </c:pt>
                <c:pt idx="206">
                  <c:v>0.97940000000000005</c:v>
                </c:pt>
                <c:pt idx="207">
                  <c:v>0.98031999999999997</c:v>
                </c:pt>
                <c:pt idx="208">
                  <c:v>0.98114000000000001</c:v>
                </c:pt>
                <c:pt idx="209">
                  <c:v>0.98240000000000005</c:v>
                </c:pt>
                <c:pt idx="210">
                  <c:v>0.98358000000000001</c:v>
                </c:pt>
                <c:pt idx="211">
                  <c:v>0.98497999999999997</c:v>
                </c:pt>
                <c:pt idx="212">
                  <c:v>0.98677999999999999</c:v>
                </c:pt>
                <c:pt idx="213">
                  <c:v>0.98855999999999999</c:v>
                </c:pt>
                <c:pt idx="214">
                  <c:v>0.99050000000000005</c:v>
                </c:pt>
                <c:pt idx="215">
                  <c:v>0.99282000000000004</c:v>
                </c:pt>
                <c:pt idx="216">
                  <c:v>0.99487999999999999</c:v>
                </c:pt>
                <c:pt idx="217">
                  <c:v>0.99750000000000005</c:v>
                </c:pt>
                <c:pt idx="218">
                  <c:v>0.99990000000000001</c:v>
                </c:pt>
                <c:pt idx="219">
                  <c:v>1.0022800000000001</c:v>
                </c:pt>
                <c:pt idx="220">
                  <c:v>1.00482</c:v>
                </c:pt>
                <c:pt idx="221">
                  <c:v>1.0074799999999999</c:v>
                </c:pt>
                <c:pt idx="222">
                  <c:v>1.0102800000000001</c:v>
                </c:pt>
                <c:pt idx="223">
                  <c:v>1.01294</c:v>
                </c:pt>
                <c:pt idx="224">
                  <c:v>1.0156799999999999</c:v>
                </c:pt>
                <c:pt idx="225">
                  <c:v>1.0181199999999999</c:v>
                </c:pt>
                <c:pt idx="226">
                  <c:v>1.0207200000000001</c:v>
                </c:pt>
                <c:pt idx="227">
                  <c:v>1.0231600000000001</c:v>
                </c:pt>
                <c:pt idx="228">
                  <c:v>1.02518</c:v>
                </c:pt>
                <c:pt idx="229">
                  <c:v>1.0271999999999999</c:v>
                </c:pt>
                <c:pt idx="230">
                  <c:v>1.02894</c:v>
                </c:pt>
                <c:pt idx="231">
                  <c:v>1.0304</c:v>
                </c:pt>
                <c:pt idx="232">
                  <c:v>1.0316399999999999</c:v>
                </c:pt>
                <c:pt idx="233">
                  <c:v>1.03274</c:v>
                </c:pt>
                <c:pt idx="234">
                  <c:v>1.0333600000000001</c:v>
                </c:pt>
                <c:pt idx="235">
                  <c:v>1.0337000000000001</c:v>
                </c:pt>
                <c:pt idx="236">
                  <c:v>1.03356</c:v>
                </c:pt>
                <c:pt idx="237">
                  <c:v>1.03332</c:v>
                </c:pt>
                <c:pt idx="238">
                  <c:v>1.0325</c:v>
                </c:pt>
                <c:pt idx="239">
                  <c:v>1.0315799999999999</c:v>
                </c:pt>
                <c:pt idx="240">
                  <c:v>1.03006</c:v>
                </c:pt>
                <c:pt idx="241">
                  <c:v>1.0284800000000001</c:v>
                </c:pt>
                <c:pt idx="242">
                  <c:v>1.0267599999999999</c:v>
                </c:pt>
                <c:pt idx="243">
                  <c:v>1.0248200000000001</c:v>
                </c:pt>
                <c:pt idx="244">
                  <c:v>1.0228600000000001</c:v>
                </c:pt>
                <c:pt idx="245">
                  <c:v>1.0206</c:v>
                </c:pt>
                <c:pt idx="246">
                  <c:v>1.01834</c:v>
                </c:pt>
                <c:pt idx="247">
                  <c:v>1.0160800000000001</c:v>
                </c:pt>
                <c:pt idx="248">
                  <c:v>1.01386</c:v>
                </c:pt>
                <c:pt idx="249">
                  <c:v>1.01162</c:v>
                </c:pt>
                <c:pt idx="250">
                  <c:v>1.00928</c:v>
                </c:pt>
                <c:pt idx="251">
                  <c:v>1.00708</c:v>
                </c:pt>
                <c:pt idx="252">
                  <c:v>1.00492</c:v>
                </c:pt>
                <c:pt idx="253">
                  <c:v>1.0028999999999999</c:v>
                </c:pt>
                <c:pt idx="254">
                  <c:v>1.0008600000000001</c:v>
                </c:pt>
                <c:pt idx="255">
                  <c:v>0.99887999999999999</c:v>
                </c:pt>
                <c:pt idx="256">
                  <c:v>0.99716000000000005</c:v>
                </c:pt>
                <c:pt idx="257">
                  <c:v>0.99572000000000005</c:v>
                </c:pt>
                <c:pt idx="258">
                  <c:v>0.99461999999999995</c:v>
                </c:pt>
                <c:pt idx="259">
                  <c:v>0.99385999999999997</c:v>
                </c:pt>
                <c:pt idx="260">
                  <c:v>0.99343999999999999</c:v>
                </c:pt>
                <c:pt idx="261">
                  <c:v>0.99365999999999999</c:v>
                </c:pt>
                <c:pt idx="262">
                  <c:v>0.99407999999999996</c:v>
                </c:pt>
                <c:pt idx="263">
                  <c:v>0.99526000000000003</c:v>
                </c:pt>
                <c:pt idx="264">
                  <c:v>0.99704000000000004</c:v>
                </c:pt>
                <c:pt idx="265">
                  <c:v>0.99931999999999999</c:v>
                </c:pt>
                <c:pt idx="266">
                  <c:v>1.0020199999999999</c:v>
                </c:pt>
                <c:pt idx="267">
                  <c:v>1.00532</c:v>
                </c:pt>
                <c:pt idx="268">
                  <c:v>1.0087200000000001</c:v>
                </c:pt>
                <c:pt idx="269">
                  <c:v>1.0122599999999999</c:v>
                </c:pt>
                <c:pt idx="270">
                  <c:v>1.0158</c:v>
                </c:pt>
                <c:pt idx="271">
                  <c:v>1.0194799999999999</c:v>
                </c:pt>
                <c:pt idx="272">
                  <c:v>1.0232600000000001</c:v>
                </c:pt>
                <c:pt idx="273">
                  <c:v>1.0266999999999999</c:v>
                </c:pt>
                <c:pt idx="274">
                  <c:v>1.02996</c:v>
                </c:pt>
                <c:pt idx="275">
                  <c:v>1.03308</c:v>
                </c:pt>
                <c:pt idx="276">
                  <c:v>1.0366</c:v>
                </c:pt>
                <c:pt idx="277">
                  <c:v>1.04016</c:v>
                </c:pt>
                <c:pt idx="278">
                  <c:v>1.04352</c:v>
                </c:pt>
                <c:pt idx="279">
                  <c:v>1.04664</c:v>
                </c:pt>
                <c:pt idx="280">
                  <c:v>1.04908</c:v>
                </c:pt>
                <c:pt idx="281">
                  <c:v>1.0506200000000001</c:v>
                </c:pt>
                <c:pt idx="282">
                  <c:v>1.0510600000000001</c:v>
                </c:pt>
                <c:pt idx="283">
                  <c:v>1.0501799999999999</c:v>
                </c:pt>
                <c:pt idx="284">
                  <c:v>1.04816</c:v>
                </c:pt>
                <c:pt idx="285">
                  <c:v>1.0448</c:v>
                </c:pt>
                <c:pt idx="286">
                  <c:v>1.0405800000000001</c:v>
                </c:pt>
                <c:pt idx="287">
                  <c:v>1.03504</c:v>
                </c:pt>
                <c:pt idx="288">
                  <c:v>1.0286</c:v>
                </c:pt>
                <c:pt idx="289">
                  <c:v>1.02172</c:v>
                </c:pt>
                <c:pt idx="290">
                  <c:v>1.0144599999999999</c:v>
                </c:pt>
                <c:pt idx="291">
                  <c:v>1.00668</c:v>
                </c:pt>
                <c:pt idx="292">
                  <c:v>0.99941999999999998</c:v>
                </c:pt>
                <c:pt idx="293">
                  <c:v>0.99212</c:v>
                </c:pt>
                <c:pt idx="294">
                  <c:v>0.98446</c:v>
                </c:pt>
                <c:pt idx="295">
                  <c:v>0.97755999999999998</c:v>
                </c:pt>
                <c:pt idx="296">
                  <c:v>0.97085999999999995</c:v>
                </c:pt>
                <c:pt idx="297">
                  <c:v>0.96455999999999997</c:v>
                </c:pt>
                <c:pt idx="298">
                  <c:v>0.95884000000000003</c:v>
                </c:pt>
                <c:pt idx="299">
                  <c:v>0.95350000000000001</c:v>
                </c:pt>
                <c:pt idx="300">
                  <c:v>0.94830000000000003</c:v>
                </c:pt>
                <c:pt idx="301">
                  <c:v>0.94354000000000005</c:v>
                </c:pt>
                <c:pt idx="302">
                  <c:v>0.93935999999999997</c:v>
                </c:pt>
                <c:pt idx="303">
                  <c:v>0.93535999999999997</c:v>
                </c:pt>
                <c:pt idx="304">
                  <c:v>0.93162</c:v>
                </c:pt>
                <c:pt idx="305">
                  <c:v>0.92815999999999999</c:v>
                </c:pt>
                <c:pt idx="306">
                  <c:v>0.92484</c:v>
                </c:pt>
                <c:pt idx="307">
                  <c:v>0.92188000000000003</c:v>
                </c:pt>
                <c:pt idx="308">
                  <c:v>0.91893999999999998</c:v>
                </c:pt>
                <c:pt idx="309">
                  <c:v>0.91608000000000001</c:v>
                </c:pt>
                <c:pt idx="310">
                  <c:v>0.91347999999999996</c:v>
                </c:pt>
                <c:pt idx="311">
                  <c:v>0.91093999999999997</c:v>
                </c:pt>
                <c:pt idx="312">
                  <c:v>0.90883999999999998</c:v>
                </c:pt>
                <c:pt idx="313">
                  <c:v>0.90646000000000004</c:v>
                </c:pt>
                <c:pt idx="314">
                  <c:v>0.90447999999999995</c:v>
                </c:pt>
                <c:pt idx="315">
                  <c:v>0.90258000000000005</c:v>
                </c:pt>
                <c:pt idx="316">
                  <c:v>0.90069999999999995</c:v>
                </c:pt>
                <c:pt idx="317">
                  <c:v>0.89890000000000003</c:v>
                </c:pt>
                <c:pt idx="318">
                  <c:v>0.89700000000000002</c:v>
                </c:pt>
                <c:pt idx="319">
                  <c:v>0.89525999999999994</c:v>
                </c:pt>
                <c:pt idx="320">
                  <c:v>0.89337999999999995</c:v>
                </c:pt>
                <c:pt idx="321">
                  <c:v>0.89183999999999997</c:v>
                </c:pt>
                <c:pt idx="322">
                  <c:v>0.89032</c:v>
                </c:pt>
                <c:pt idx="323">
                  <c:v>0.88873999999999997</c:v>
                </c:pt>
                <c:pt idx="324">
                  <c:v>0.88732</c:v>
                </c:pt>
                <c:pt idx="325">
                  <c:v>0.88568000000000002</c:v>
                </c:pt>
                <c:pt idx="326">
                  <c:v>0.88422000000000001</c:v>
                </c:pt>
                <c:pt idx="327">
                  <c:v>0.88278000000000001</c:v>
                </c:pt>
                <c:pt idx="328">
                  <c:v>0.88146000000000002</c:v>
                </c:pt>
                <c:pt idx="329">
                  <c:v>0.88004000000000004</c:v>
                </c:pt>
                <c:pt idx="330">
                  <c:v>0.87882000000000005</c:v>
                </c:pt>
                <c:pt idx="331">
                  <c:v>0.87753999999999999</c:v>
                </c:pt>
                <c:pt idx="332">
                  <c:v>0.87626000000000004</c:v>
                </c:pt>
                <c:pt idx="333">
                  <c:v>0.875</c:v>
                </c:pt>
                <c:pt idx="334">
                  <c:v>0.87368000000000001</c:v>
                </c:pt>
                <c:pt idx="335">
                  <c:v>0.87250000000000005</c:v>
                </c:pt>
                <c:pt idx="336">
                  <c:v>0.87112000000000001</c:v>
                </c:pt>
                <c:pt idx="337">
                  <c:v>0.86972000000000005</c:v>
                </c:pt>
                <c:pt idx="338">
                  <c:v>0.86850000000000005</c:v>
                </c:pt>
                <c:pt idx="339">
                  <c:v>0.86756</c:v>
                </c:pt>
                <c:pt idx="340">
                  <c:v>0.86636000000000002</c:v>
                </c:pt>
                <c:pt idx="341">
                  <c:v>0.86519999999999997</c:v>
                </c:pt>
                <c:pt idx="342">
                  <c:v>0.86395999999999995</c:v>
                </c:pt>
                <c:pt idx="343">
                  <c:v>0.86287999999999998</c:v>
                </c:pt>
                <c:pt idx="344">
                  <c:v>0.86175999999999997</c:v>
                </c:pt>
                <c:pt idx="345">
                  <c:v>0.86065999999999998</c:v>
                </c:pt>
                <c:pt idx="346">
                  <c:v>0.85943999999999998</c:v>
                </c:pt>
                <c:pt idx="347">
                  <c:v>0.85836000000000001</c:v>
                </c:pt>
                <c:pt idx="348">
                  <c:v>0.85729999999999995</c:v>
                </c:pt>
                <c:pt idx="349">
                  <c:v>0.85607999999999995</c:v>
                </c:pt>
                <c:pt idx="350">
                  <c:v>0.85492000000000001</c:v>
                </c:pt>
                <c:pt idx="351">
                  <c:v>0.8538</c:v>
                </c:pt>
                <c:pt idx="352">
                  <c:v>0.85284000000000004</c:v>
                </c:pt>
                <c:pt idx="353">
                  <c:v>0.85192000000000001</c:v>
                </c:pt>
                <c:pt idx="354">
                  <c:v>0.85096000000000005</c:v>
                </c:pt>
                <c:pt idx="355">
                  <c:v>0.8498</c:v>
                </c:pt>
                <c:pt idx="356">
                  <c:v>0.84853999999999996</c:v>
                </c:pt>
                <c:pt idx="357">
                  <c:v>0.84762000000000004</c:v>
                </c:pt>
                <c:pt idx="358">
                  <c:v>0.84667999999999999</c:v>
                </c:pt>
                <c:pt idx="359">
                  <c:v>0.84570000000000001</c:v>
                </c:pt>
                <c:pt idx="360">
                  <c:v>0.84475999999999996</c:v>
                </c:pt>
                <c:pt idx="361">
                  <c:v>0.84414</c:v>
                </c:pt>
                <c:pt idx="362">
                  <c:v>0.84318000000000004</c:v>
                </c:pt>
                <c:pt idx="363">
                  <c:v>0.84216000000000002</c:v>
                </c:pt>
                <c:pt idx="364">
                  <c:v>0.84116000000000002</c:v>
                </c:pt>
                <c:pt idx="365">
                  <c:v>0.84018000000000004</c:v>
                </c:pt>
                <c:pt idx="366">
                  <c:v>0.83942000000000005</c:v>
                </c:pt>
                <c:pt idx="367">
                  <c:v>0.83831999999999995</c:v>
                </c:pt>
                <c:pt idx="368">
                  <c:v>0.83738000000000001</c:v>
                </c:pt>
                <c:pt idx="369">
                  <c:v>0.83635999999999999</c:v>
                </c:pt>
                <c:pt idx="370">
                  <c:v>0.83535999999999999</c:v>
                </c:pt>
                <c:pt idx="371">
                  <c:v>0.83438000000000001</c:v>
                </c:pt>
                <c:pt idx="372">
                  <c:v>0.83343999999999996</c:v>
                </c:pt>
                <c:pt idx="373">
                  <c:v>0.83252000000000004</c:v>
                </c:pt>
                <c:pt idx="374">
                  <c:v>0.83164000000000005</c:v>
                </c:pt>
                <c:pt idx="375">
                  <c:v>0.83062000000000002</c:v>
                </c:pt>
                <c:pt idx="376">
                  <c:v>0.82972000000000001</c:v>
                </c:pt>
                <c:pt idx="377">
                  <c:v>0.82867999999999997</c:v>
                </c:pt>
                <c:pt idx="378">
                  <c:v>0.82794000000000001</c:v>
                </c:pt>
                <c:pt idx="379">
                  <c:v>0.82701999999999998</c:v>
                </c:pt>
                <c:pt idx="380">
                  <c:v>0.82623999999999997</c:v>
                </c:pt>
                <c:pt idx="381">
                  <c:v>0.82513999999999998</c:v>
                </c:pt>
                <c:pt idx="382">
                  <c:v>0.82438</c:v>
                </c:pt>
                <c:pt idx="383">
                  <c:v>0.82330000000000003</c:v>
                </c:pt>
                <c:pt idx="384">
                  <c:v>0.82257999999999998</c:v>
                </c:pt>
                <c:pt idx="385">
                  <c:v>0.82162000000000002</c:v>
                </c:pt>
                <c:pt idx="386">
                  <c:v>0.82067999999999997</c:v>
                </c:pt>
                <c:pt idx="387">
                  <c:v>0.81957999999999998</c:v>
                </c:pt>
                <c:pt idx="388">
                  <c:v>0.81876000000000004</c:v>
                </c:pt>
                <c:pt idx="389">
                  <c:v>0.81796000000000002</c:v>
                </c:pt>
                <c:pt idx="390">
                  <c:v>0.81701999999999997</c:v>
                </c:pt>
                <c:pt idx="391">
                  <c:v>0.81620000000000004</c:v>
                </c:pt>
                <c:pt idx="392">
                  <c:v>0.81533999999999995</c:v>
                </c:pt>
                <c:pt idx="393">
                  <c:v>0.81433999999999995</c:v>
                </c:pt>
                <c:pt idx="394">
                  <c:v>0.8135</c:v>
                </c:pt>
                <c:pt idx="395">
                  <c:v>0.81254000000000004</c:v>
                </c:pt>
                <c:pt idx="396">
                  <c:v>0.81164000000000003</c:v>
                </c:pt>
                <c:pt idx="397">
                  <c:v>0.81076000000000004</c:v>
                </c:pt>
                <c:pt idx="398">
                  <c:v>0.80988000000000004</c:v>
                </c:pt>
                <c:pt idx="399">
                  <c:v>0.80901999999999996</c:v>
                </c:pt>
                <c:pt idx="400">
                  <c:v>0.80820000000000003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DE6-408E-80C6-9165C6BD0725}"/>
            </c:ext>
          </c:extLst>
        </c:ser>
        <c:ser>
          <c:idx val="10"/>
          <c:order val="10"/>
          <c:tx>
            <c:strRef>
              <c:f>'Pig graph '!$AE$1</c:f>
              <c:strCache>
                <c:ptCount val="1"/>
                <c:pt idx="0">
                  <c:v>s11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'!$AE$2:$AE$402</c:f>
              <c:numCache>
                <c:formatCode>General</c:formatCode>
                <c:ptCount val="401"/>
                <c:pt idx="0">
                  <c:v>1.1695800000000001</c:v>
                </c:pt>
                <c:pt idx="1">
                  <c:v>1.1698999999999999</c:v>
                </c:pt>
                <c:pt idx="2">
                  <c:v>1.1714800000000001</c:v>
                </c:pt>
                <c:pt idx="3">
                  <c:v>1.17276</c:v>
                </c:pt>
                <c:pt idx="4">
                  <c:v>1.1748000000000001</c:v>
                </c:pt>
                <c:pt idx="5">
                  <c:v>1.1763399999999999</c:v>
                </c:pt>
                <c:pt idx="6">
                  <c:v>1.1788400000000001</c:v>
                </c:pt>
                <c:pt idx="7">
                  <c:v>1.1820600000000001</c:v>
                </c:pt>
                <c:pt idx="8">
                  <c:v>1.1842600000000001</c:v>
                </c:pt>
                <c:pt idx="9">
                  <c:v>1.1877200000000001</c:v>
                </c:pt>
                <c:pt idx="10">
                  <c:v>1.1908799999999999</c:v>
                </c:pt>
                <c:pt idx="11">
                  <c:v>1.1935199999999999</c:v>
                </c:pt>
                <c:pt idx="12">
                  <c:v>1.19662</c:v>
                </c:pt>
                <c:pt idx="13">
                  <c:v>1.1999599999999999</c:v>
                </c:pt>
                <c:pt idx="14">
                  <c:v>1.2032799999999999</c:v>
                </c:pt>
                <c:pt idx="15">
                  <c:v>1.2051400000000001</c:v>
                </c:pt>
                <c:pt idx="16">
                  <c:v>1.20838</c:v>
                </c:pt>
                <c:pt idx="17">
                  <c:v>1.2117599999999999</c:v>
                </c:pt>
                <c:pt idx="18">
                  <c:v>1.2135</c:v>
                </c:pt>
                <c:pt idx="19">
                  <c:v>1.21478</c:v>
                </c:pt>
                <c:pt idx="20">
                  <c:v>1.2161200000000001</c:v>
                </c:pt>
                <c:pt idx="21">
                  <c:v>1.21784</c:v>
                </c:pt>
                <c:pt idx="22">
                  <c:v>1.21872</c:v>
                </c:pt>
                <c:pt idx="23">
                  <c:v>1.2192000000000001</c:v>
                </c:pt>
                <c:pt idx="24">
                  <c:v>1.22034</c:v>
                </c:pt>
                <c:pt idx="25">
                  <c:v>1.2211399999999999</c:v>
                </c:pt>
                <c:pt idx="26">
                  <c:v>1.2227399999999999</c:v>
                </c:pt>
                <c:pt idx="27">
                  <c:v>1.2248000000000001</c:v>
                </c:pt>
                <c:pt idx="28">
                  <c:v>1.2260200000000001</c:v>
                </c:pt>
                <c:pt idx="29">
                  <c:v>1.22854</c:v>
                </c:pt>
                <c:pt idx="30">
                  <c:v>1.23108</c:v>
                </c:pt>
                <c:pt idx="31">
                  <c:v>1.2344999999999999</c:v>
                </c:pt>
                <c:pt idx="32">
                  <c:v>1.2377</c:v>
                </c:pt>
                <c:pt idx="33">
                  <c:v>1.24058</c:v>
                </c:pt>
                <c:pt idx="34">
                  <c:v>1.24396</c:v>
                </c:pt>
                <c:pt idx="35">
                  <c:v>1.24814</c:v>
                </c:pt>
                <c:pt idx="36">
                  <c:v>1.25122</c:v>
                </c:pt>
                <c:pt idx="37">
                  <c:v>1.2547999999999999</c:v>
                </c:pt>
                <c:pt idx="38">
                  <c:v>1.25718</c:v>
                </c:pt>
                <c:pt idx="39">
                  <c:v>1.2590399999999999</c:v>
                </c:pt>
                <c:pt idx="40">
                  <c:v>1.2602</c:v>
                </c:pt>
                <c:pt idx="41">
                  <c:v>1.26078</c:v>
                </c:pt>
                <c:pt idx="42">
                  <c:v>1.26</c:v>
                </c:pt>
                <c:pt idx="43">
                  <c:v>1.2584200000000001</c:v>
                </c:pt>
                <c:pt idx="44">
                  <c:v>1.2558199999999999</c:v>
                </c:pt>
                <c:pt idx="45">
                  <c:v>1.2522</c:v>
                </c:pt>
                <c:pt idx="46">
                  <c:v>1.24766</c:v>
                </c:pt>
                <c:pt idx="47">
                  <c:v>1.24204</c:v>
                </c:pt>
                <c:pt idx="48">
                  <c:v>1.2363</c:v>
                </c:pt>
                <c:pt idx="49">
                  <c:v>1.22976</c:v>
                </c:pt>
                <c:pt idx="50">
                  <c:v>1.22268</c:v>
                </c:pt>
                <c:pt idx="51">
                  <c:v>1.2163999999999999</c:v>
                </c:pt>
                <c:pt idx="52">
                  <c:v>1.20974</c:v>
                </c:pt>
                <c:pt idx="53">
                  <c:v>1.2042600000000001</c:v>
                </c:pt>
                <c:pt idx="54">
                  <c:v>1.19956</c:v>
                </c:pt>
                <c:pt idx="55">
                  <c:v>1.19448</c:v>
                </c:pt>
                <c:pt idx="56">
                  <c:v>1.1897599999999999</c:v>
                </c:pt>
                <c:pt idx="57">
                  <c:v>1.18594</c:v>
                </c:pt>
                <c:pt idx="58">
                  <c:v>1.18302</c:v>
                </c:pt>
                <c:pt idx="59">
                  <c:v>1.1798999999999999</c:v>
                </c:pt>
                <c:pt idx="60">
                  <c:v>1.1771799999999999</c:v>
                </c:pt>
                <c:pt idx="61">
                  <c:v>1.17496</c:v>
                </c:pt>
                <c:pt idx="62">
                  <c:v>1.17286</c:v>
                </c:pt>
                <c:pt idx="63">
                  <c:v>1.1709799999999999</c:v>
                </c:pt>
                <c:pt idx="64">
                  <c:v>1.1689400000000001</c:v>
                </c:pt>
                <c:pt idx="65">
                  <c:v>1.1671199999999999</c:v>
                </c:pt>
                <c:pt idx="66">
                  <c:v>1.1652</c:v>
                </c:pt>
                <c:pt idx="67">
                  <c:v>1.1631400000000001</c:v>
                </c:pt>
                <c:pt idx="68">
                  <c:v>1.1612199999999999</c:v>
                </c:pt>
                <c:pt idx="69">
                  <c:v>1.1590199999999999</c:v>
                </c:pt>
                <c:pt idx="70">
                  <c:v>1.1577200000000001</c:v>
                </c:pt>
                <c:pt idx="71">
                  <c:v>1.15554</c:v>
                </c:pt>
                <c:pt idx="72">
                  <c:v>1.15368</c:v>
                </c:pt>
                <c:pt idx="73">
                  <c:v>1.15164</c:v>
                </c:pt>
                <c:pt idx="74">
                  <c:v>1.1498999999999999</c:v>
                </c:pt>
                <c:pt idx="75">
                  <c:v>1.14822</c:v>
                </c:pt>
                <c:pt idx="76">
                  <c:v>1.14628</c:v>
                </c:pt>
                <c:pt idx="77">
                  <c:v>1.14486</c:v>
                </c:pt>
                <c:pt idx="78">
                  <c:v>1.1434599999999999</c:v>
                </c:pt>
                <c:pt idx="79">
                  <c:v>1.14184</c:v>
                </c:pt>
                <c:pt idx="80">
                  <c:v>1.1402000000000001</c:v>
                </c:pt>
                <c:pt idx="81">
                  <c:v>1.1392800000000001</c:v>
                </c:pt>
                <c:pt idx="82">
                  <c:v>1.13818</c:v>
                </c:pt>
                <c:pt idx="83">
                  <c:v>1.1367400000000001</c:v>
                </c:pt>
                <c:pt idx="84">
                  <c:v>1.1358999999999999</c:v>
                </c:pt>
                <c:pt idx="85">
                  <c:v>1.1350800000000001</c:v>
                </c:pt>
                <c:pt idx="86">
                  <c:v>1.13476</c:v>
                </c:pt>
                <c:pt idx="87">
                  <c:v>1.13412</c:v>
                </c:pt>
                <c:pt idx="88">
                  <c:v>1.1334</c:v>
                </c:pt>
                <c:pt idx="89">
                  <c:v>1.13296</c:v>
                </c:pt>
                <c:pt idx="90">
                  <c:v>1.13218</c:v>
                </c:pt>
                <c:pt idx="91">
                  <c:v>1.1315999999999999</c:v>
                </c:pt>
                <c:pt idx="92">
                  <c:v>1.13086</c:v>
                </c:pt>
                <c:pt idx="93">
                  <c:v>1.13018</c:v>
                </c:pt>
                <c:pt idx="94">
                  <c:v>1.1293</c:v>
                </c:pt>
                <c:pt idx="95">
                  <c:v>1.1285000000000001</c:v>
                </c:pt>
                <c:pt idx="96">
                  <c:v>1.12734</c:v>
                </c:pt>
                <c:pt idx="97">
                  <c:v>1.1260600000000001</c:v>
                </c:pt>
                <c:pt idx="98">
                  <c:v>1.12452</c:v>
                </c:pt>
                <c:pt idx="99">
                  <c:v>1.12286</c:v>
                </c:pt>
                <c:pt idx="100">
                  <c:v>1.1211199999999999</c:v>
                </c:pt>
                <c:pt idx="101">
                  <c:v>1.11944</c:v>
                </c:pt>
                <c:pt idx="102">
                  <c:v>1.11764</c:v>
                </c:pt>
                <c:pt idx="103">
                  <c:v>1.11538</c:v>
                </c:pt>
                <c:pt idx="104">
                  <c:v>1.1131599999999999</c:v>
                </c:pt>
                <c:pt idx="105">
                  <c:v>1.11066</c:v>
                </c:pt>
                <c:pt idx="106">
                  <c:v>1.1082799999999999</c:v>
                </c:pt>
                <c:pt idx="107">
                  <c:v>1.1055200000000001</c:v>
                </c:pt>
                <c:pt idx="108">
                  <c:v>1.1028800000000001</c:v>
                </c:pt>
                <c:pt idx="109">
                  <c:v>1.1000000000000001</c:v>
                </c:pt>
                <c:pt idx="110">
                  <c:v>1.09738</c:v>
                </c:pt>
                <c:pt idx="111">
                  <c:v>1.0946</c:v>
                </c:pt>
                <c:pt idx="112">
                  <c:v>1.0918600000000001</c:v>
                </c:pt>
                <c:pt idx="113">
                  <c:v>1.0886199999999999</c:v>
                </c:pt>
                <c:pt idx="114">
                  <c:v>1.08582</c:v>
                </c:pt>
                <c:pt idx="115">
                  <c:v>1.0828</c:v>
                </c:pt>
                <c:pt idx="116">
                  <c:v>1.0801400000000001</c:v>
                </c:pt>
                <c:pt idx="117">
                  <c:v>1.0768200000000001</c:v>
                </c:pt>
                <c:pt idx="118">
                  <c:v>1.07392</c:v>
                </c:pt>
                <c:pt idx="119">
                  <c:v>1.0710999999999999</c:v>
                </c:pt>
                <c:pt idx="120">
                  <c:v>1.06836</c:v>
                </c:pt>
                <c:pt idx="121">
                  <c:v>1.06562</c:v>
                </c:pt>
                <c:pt idx="122">
                  <c:v>1.06284</c:v>
                </c:pt>
                <c:pt idx="123">
                  <c:v>1.0604199999999999</c:v>
                </c:pt>
                <c:pt idx="124">
                  <c:v>1.0573399999999999</c:v>
                </c:pt>
                <c:pt idx="125">
                  <c:v>1.0552600000000001</c:v>
                </c:pt>
                <c:pt idx="126">
                  <c:v>1.0523</c:v>
                </c:pt>
                <c:pt idx="127">
                  <c:v>1.0501400000000001</c:v>
                </c:pt>
                <c:pt idx="128">
                  <c:v>1.0479400000000001</c:v>
                </c:pt>
                <c:pt idx="129">
                  <c:v>1.04514</c:v>
                </c:pt>
                <c:pt idx="130">
                  <c:v>1.04294</c:v>
                </c:pt>
                <c:pt idx="131">
                  <c:v>1.04068</c:v>
                </c:pt>
                <c:pt idx="132">
                  <c:v>1.0386</c:v>
                </c:pt>
                <c:pt idx="133">
                  <c:v>1.0364599999999999</c:v>
                </c:pt>
                <c:pt idx="134">
                  <c:v>1.03454</c:v>
                </c:pt>
                <c:pt idx="135">
                  <c:v>1.03268</c:v>
                </c:pt>
                <c:pt idx="136">
                  <c:v>1.0308200000000001</c:v>
                </c:pt>
                <c:pt idx="137">
                  <c:v>1.0283199999999999</c:v>
                </c:pt>
                <c:pt idx="138">
                  <c:v>1.02658</c:v>
                </c:pt>
                <c:pt idx="139">
                  <c:v>1.0251399999999999</c:v>
                </c:pt>
                <c:pt idx="140">
                  <c:v>1.02366</c:v>
                </c:pt>
                <c:pt idx="141">
                  <c:v>1.0220400000000001</c:v>
                </c:pt>
                <c:pt idx="142">
                  <c:v>1.02014</c:v>
                </c:pt>
                <c:pt idx="143">
                  <c:v>1.0188600000000001</c:v>
                </c:pt>
                <c:pt idx="144">
                  <c:v>1.0175399999999999</c:v>
                </c:pt>
                <c:pt idx="145">
                  <c:v>1.0161800000000001</c:v>
                </c:pt>
                <c:pt idx="146">
                  <c:v>1.01498</c:v>
                </c:pt>
                <c:pt idx="147">
                  <c:v>1.0138799999999999</c:v>
                </c:pt>
                <c:pt idx="148">
                  <c:v>1.0124200000000001</c:v>
                </c:pt>
                <c:pt idx="149">
                  <c:v>1.01166</c:v>
                </c:pt>
                <c:pt idx="150">
                  <c:v>1.0102800000000001</c:v>
                </c:pt>
                <c:pt idx="151">
                  <c:v>1.00918</c:v>
                </c:pt>
                <c:pt idx="152">
                  <c:v>1.0082800000000001</c:v>
                </c:pt>
                <c:pt idx="153">
                  <c:v>1.00732</c:v>
                </c:pt>
                <c:pt idx="154">
                  <c:v>1.0065</c:v>
                </c:pt>
                <c:pt idx="155">
                  <c:v>1.0057</c:v>
                </c:pt>
                <c:pt idx="156">
                  <c:v>1.0047999999999999</c:v>
                </c:pt>
                <c:pt idx="157">
                  <c:v>1.00424</c:v>
                </c:pt>
                <c:pt idx="158">
                  <c:v>1.0035799999999999</c:v>
                </c:pt>
                <c:pt idx="159">
                  <c:v>1.00284</c:v>
                </c:pt>
                <c:pt idx="160">
                  <c:v>1.0022200000000001</c:v>
                </c:pt>
                <c:pt idx="161">
                  <c:v>1.0021599999999999</c:v>
                </c:pt>
                <c:pt idx="162">
                  <c:v>1.0013399999999999</c:v>
                </c:pt>
                <c:pt idx="163">
                  <c:v>1.0011000000000001</c:v>
                </c:pt>
                <c:pt idx="164">
                  <c:v>1.0010600000000001</c:v>
                </c:pt>
                <c:pt idx="165">
                  <c:v>1.00058</c:v>
                </c:pt>
                <c:pt idx="166">
                  <c:v>1.0005200000000001</c:v>
                </c:pt>
                <c:pt idx="167">
                  <c:v>1.0004200000000001</c:v>
                </c:pt>
                <c:pt idx="168">
                  <c:v>1.00048</c:v>
                </c:pt>
                <c:pt idx="169">
                  <c:v>1.00064</c:v>
                </c:pt>
                <c:pt idx="170">
                  <c:v>1.00048</c:v>
                </c:pt>
                <c:pt idx="171">
                  <c:v>1.0007999999999999</c:v>
                </c:pt>
                <c:pt idx="172">
                  <c:v>1.00098</c:v>
                </c:pt>
                <c:pt idx="173">
                  <c:v>1.0009399999999999</c:v>
                </c:pt>
                <c:pt idx="174">
                  <c:v>1.00122</c:v>
                </c:pt>
                <c:pt idx="175">
                  <c:v>1.0018</c:v>
                </c:pt>
                <c:pt idx="176">
                  <c:v>1.0021599999999999</c:v>
                </c:pt>
                <c:pt idx="177">
                  <c:v>1.0025599999999999</c:v>
                </c:pt>
                <c:pt idx="178">
                  <c:v>1.0033000000000001</c:v>
                </c:pt>
                <c:pt idx="179">
                  <c:v>1.00342</c:v>
                </c:pt>
                <c:pt idx="180">
                  <c:v>1.0036</c:v>
                </c:pt>
                <c:pt idx="181">
                  <c:v>1.0038800000000001</c:v>
                </c:pt>
                <c:pt idx="182">
                  <c:v>1.0042800000000001</c:v>
                </c:pt>
                <c:pt idx="183">
                  <c:v>1.0044200000000001</c:v>
                </c:pt>
                <c:pt idx="184">
                  <c:v>1.00454</c:v>
                </c:pt>
                <c:pt idx="185">
                  <c:v>1.0046600000000001</c:v>
                </c:pt>
                <c:pt idx="186">
                  <c:v>1.00492</c:v>
                </c:pt>
                <c:pt idx="187">
                  <c:v>1.0050399999999999</c:v>
                </c:pt>
                <c:pt idx="188">
                  <c:v>1.00512</c:v>
                </c:pt>
                <c:pt idx="189">
                  <c:v>1.00552</c:v>
                </c:pt>
                <c:pt idx="190">
                  <c:v>1.0054000000000001</c:v>
                </c:pt>
                <c:pt idx="191">
                  <c:v>1.0054000000000001</c:v>
                </c:pt>
                <c:pt idx="192">
                  <c:v>1.0053399999999999</c:v>
                </c:pt>
                <c:pt idx="193">
                  <c:v>1.00562</c:v>
                </c:pt>
                <c:pt idx="194">
                  <c:v>1.0056799999999999</c:v>
                </c:pt>
                <c:pt idx="195">
                  <c:v>1.0054000000000001</c:v>
                </c:pt>
                <c:pt idx="196">
                  <c:v>1.0053799999999999</c:v>
                </c:pt>
                <c:pt idx="197">
                  <c:v>1.00528</c:v>
                </c:pt>
                <c:pt idx="198">
                  <c:v>1.00522</c:v>
                </c:pt>
                <c:pt idx="199">
                  <c:v>1.0053399999999999</c:v>
                </c:pt>
                <c:pt idx="200">
                  <c:v>1.0053799999999999</c:v>
                </c:pt>
                <c:pt idx="201">
                  <c:v>1.00556</c:v>
                </c:pt>
                <c:pt idx="202">
                  <c:v>1.0058</c:v>
                </c:pt>
                <c:pt idx="203">
                  <c:v>1.00614</c:v>
                </c:pt>
                <c:pt idx="204">
                  <c:v>1.00644</c:v>
                </c:pt>
                <c:pt idx="205">
                  <c:v>1.00712</c:v>
                </c:pt>
                <c:pt idx="206">
                  <c:v>1.0078800000000001</c:v>
                </c:pt>
                <c:pt idx="207">
                  <c:v>1.00854</c:v>
                </c:pt>
                <c:pt idx="208">
                  <c:v>1.00976</c:v>
                </c:pt>
                <c:pt idx="209">
                  <c:v>1.0108600000000001</c:v>
                </c:pt>
                <c:pt idx="210">
                  <c:v>1.0121800000000001</c:v>
                </c:pt>
                <c:pt idx="211">
                  <c:v>1.01386</c:v>
                </c:pt>
                <c:pt idx="212">
                  <c:v>1.0157400000000001</c:v>
                </c:pt>
                <c:pt idx="213">
                  <c:v>1.01766</c:v>
                </c:pt>
                <c:pt idx="214">
                  <c:v>1.0197799999999999</c:v>
                </c:pt>
                <c:pt idx="215">
                  <c:v>1.0219800000000001</c:v>
                </c:pt>
                <c:pt idx="216">
                  <c:v>1.0243199999999999</c:v>
                </c:pt>
                <c:pt idx="217">
                  <c:v>1.0270600000000001</c:v>
                </c:pt>
                <c:pt idx="218">
                  <c:v>1.0297000000000001</c:v>
                </c:pt>
                <c:pt idx="219">
                  <c:v>1.0324</c:v>
                </c:pt>
                <c:pt idx="220">
                  <c:v>1.0349999999999999</c:v>
                </c:pt>
                <c:pt idx="221">
                  <c:v>1.03772</c:v>
                </c:pt>
                <c:pt idx="222">
                  <c:v>1.0405800000000001</c:v>
                </c:pt>
                <c:pt idx="223">
                  <c:v>1.0434600000000001</c:v>
                </c:pt>
                <c:pt idx="224">
                  <c:v>1.04636</c:v>
                </c:pt>
                <c:pt idx="225">
                  <c:v>1.0490200000000001</c:v>
                </c:pt>
                <c:pt idx="226">
                  <c:v>1.05182</c:v>
                </c:pt>
                <c:pt idx="227">
                  <c:v>1.0543</c:v>
                </c:pt>
                <c:pt idx="228">
                  <c:v>1.0564199999999999</c:v>
                </c:pt>
                <c:pt idx="229">
                  <c:v>1.0584800000000001</c:v>
                </c:pt>
                <c:pt idx="230">
                  <c:v>1.0602799999999999</c:v>
                </c:pt>
                <c:pt idx="231">
                  <c:v>1.06192</c:v>
                </c:pt>
                <c:pt idx="232">
                  <c:v>1.0632600000000001</c:v>
                </c:pt>
                <c:pt idx="233">
                  <c:v>1.0642400000000001</c:v>
                </c:pt>
                <c:pt idx="234">
                  <c:v>1.0646</c:v>
                </c:pt>
                <c:pt idx="235">
                  <c:v>1.0649200000000001</c:v>
                </c:pt>
                <c:pt idx="236">
                  <c:v>1.06484</c:v>
                </c:pt>
                <c:pt idx="237">
                  <c:v>1.0641799999999999</c:v>
                </c:pt>
                <c:pt idx="238">
                  <c:v>1.06342</c:v>
                </c:pt>
                <c:pt idx="239">
                  <c:v>1.0623199999999999</c:v>
                </c:pt>
                <c:pt idx="240">
                  <c:v>1.0606599999999999</c:v>
                </c:pt>
                <c:pt idx="241">
                  <c:v>1.0589999999999999</c:v>
                </c:pt>
                <c:pt idx="242">
                  <c:v>1.05694</c:v>
                </c:pt>
                <c:pt idx="243">
                  <c:v>1.0546599999999999</c:v>
                </c:pt>
                <c:pt idx="244">
                  <c:v>1.0522800000000001</c:v>
                </c:pt>
                <c:pt idx="245">
                  <c:v>1.0497799999999999</c:v>
                </c:pt>
                <c:pt idx="246">
                  <c:v>1.0474600000000001</c:v>
                </c:pt>
                <c:pt idx="247">
                  <c:v>1.04484</c:v>
                </c:pt>
                <c:pt idx="248">
                  <c:v>1.04226</c:v>
                </c:pt>
                <c:pt idx="249">
                  <c:v>1.03982</c:v>
                </c:pt>
                <c:pt idx="250">
                  <c:v>1.0371999999999999</c:v>
                </c:pt>
                <c:pt idx="251">
                  <c:v>1.0347</c:v>
                </c:pt>
                <c:pt idx="252">
                  <c:v>1.03234</c:v>
                </c:pt>
                <c:pt idx="253">
                  <c:v>1.0301</c:v>
                </c:pt>
                <c:pt idx="254">
                  <c:v>1.0278</c:v>
                </c:pt>
                <c:pt idx="255">
                  <c:v>1.0256400000000001</c:v>
                </c:pt>
                <c:pt idx="256">
                  <c:v>1.0238400000000001</c:v>
                </c:pt>
                <c:pt idx="257">
                  <c:v>1.02234</c:v>
                </c:pt>
                <c:pt idx="258">
                  <c:v>1.0212000000000001</c:v>
                </c:pt>
                <c:pt idx="259">
                  <c:v>1.0203599999999999</c:v>
                </c:pt>
                <c:pt idx="260">
                  <c:v>1.01996</c:v>
                </c:pt>
                <c:pt idx="261">
                  <c:v>1.0199</c:v>
                </c:pt>
                <c:pt idx="262">
                  <c:v>1.0206599999999999</c:v>
                </c:pt>
                <c:pt idx="263">
                  <c:v>1.0219800000000001</c:v>
                </c:pt>
                <c:pt idx="264">
                  <c:v>1.0237799999999999</c:v>
                </c:pt>
                <c:pt idx="265">
                  <c:v>1.0264</c:v>
                </c:pt>
                <c:pt idx="266">
                  <c:v>1.0293600000000001</c:v>
                </c:pt>
                <c:pt idx="267">
                  <c:v>1.0328599999999999</c:v>
                </c:pt>
                <c:pt idx="268">
                  <c:v>1.03644</c:v>
                </c:pt>
                <c:pt idx="269">
                  <c:v>1.0402199999999999</c:v>
                </c:pt>
                <c:pt idx="270">
                  <c:v>1.04406</c:v>
                </c:pt>
                <c:pt idx="271">
                  <c:v>1.0480400000000001</c:v>
                </c:pt>
                <c:pt idx="272">
                  <c:v>1.0518799999999999</c:v>
                </c:pt>
                <c:pt idx="273">
                  <c:v>1.0555399999999999</c:v>
                </c:pt>
                <c:pt idx="274">
                  <c:v>1.0589599999999999</c:v>
                </c:pt>
                <c:pt idx="275">
                  <c:v>1.0623199999999999</c:v>
                </c:pt>
                <c:pt idx="276">
                  <c:v>1.0658799999999999</c:v>
                </c:pt>
                <c:pt idx="277">
                  <c:v>1.0696399999999999</c:v>
                </c:pt>
                <c:pt idx="278">
                  <c:v>1.0732999999999999</c:v>
                </c:pt>
                <c:pt idx="279">
                  <c:v>1.0764199999999999</c:v>
                </c:pt>
                <c:pt idx="280">
                  <c:v>1.07874</c:v>
                </c:pt>
                <c:pt idx="281">
                  <c:v>1.0803</c:v>
                </c:pt>
                <c:pt idx="282">
                  <c:v>1.0808199999999999</c:v>
                </c:pt>
                <c:pt idx="283">
                  <c:v>1.0798000000000001</c:v>
                </c:pt>
                <c:pt idx="284">
                  <c:v>1.07742</c:v>
                </c:pt>
                <c:pt idx="285">
                  <c:v>1.07358</c:v>
                </c:pt>
                <c:pt idx="286">
                  <c:v>1.0688200000000001</c:v>
                </c:pt>
                <c:pt idx="287">
                  <c:v>1.0627200000000001</c:v>
                </c:pt>
                <c:pt idx="288">
                  <c:v>1.0556399999999999</c:v>
                </c:pt>
                <c:pt idx="289">
                  <c:v>1.0482199999999999</c:v>
                </c:pt>
                <c:pt idx="290">
                  <c:v>1.04026</c:v>
                </c:pt>
                <c:pt idx="291">
                  <c:v>1.03162</c:v>
                </c:pt>
                <c:pt idx="292">
                  <c:v>1.02366</c:v>
                </c:pt>
                <c:pt idx="293">
                  <c:v>1.01566</c:v>
                </c:pt>
                <c:pt idx="294">
                  <c:v>1.00742</c:v>
                </c:pt>
                <c:pt idx="295">
                  <c:v>1.0001</c:v>
                </c:pt>
                <c:pt idx="296">
                  <c:v>0.99285999999999996</c:v>
                </c:pt>
                <c:pt idx="297">
                  <c:v>0.98602000000000001</c:v>
                </c:pt>
                <c:pt idx="298">
                  <c:v>0.97968</c:v>
                </c:pt>
                <c:pt idx="299">
                  <c:v>0.97399999999999998</c:v>
                </c:pt>
                <c:pt idx="300">
                  <c:v>0.96841999999999995</c:v>
                </c:pt>
                <c:pt idx="301">
                  <c:v>0.96331999999999995</c:v>
                </c:pt>
                <c:pt idx="302">
                  <c:v>0.95884000000000003</c:v>
                </c:pt>
                <c:pt idx="303">
                  <c:v>0.95455999999999996</c:v>
                </c:pt>
                <c:pt idx="304">
                  <c:v>0.95043999999999995</c:v>
                </c:pt>
                <c:pt idx="305">
                  <c:v>0.94672000000000001</c:v>
                </c:pt>
                <c:pt idx="306">
                  <c:v>0.94323999999999997</c:v>
                </c:pt>
                <c:pt idx="307">
                  <c:v>0.94</c:v>
                </c:pt>
                <c:pt idx="308">
                  <c:v>0.93701999999999996</c:v>
                </c:pt>
                <c:pt idx="309">
                  <c:v>0.93391999999999997</c:v>
                </c:pt>
                <c:pt idx="310">
                  <c:v>0.93106</c:v>
                </c:pt>
                <c:pt idx="311">
                  <c:v>0.92862</c:v>
                </c:pt>
                <c:pt idx="312">
                  <c:v>0.92613999999999996</c:v>
                </c:pt>
                <c:pt idx="313">
                  <c:v>0.92367999999999995</c:v>
                </c:pt>
                <c:pt idx="314">
                  <c:v>0.92149999999999999</c:v>
                </c:pt>
                <c:pt idx="315">
                  <c:v>0.91946000000000006</c:v>
                </c:pt>
                <c:pt idx="316">
                  <c:v>0.91742000000000001</c:v>
                </c:pt>
                <c:pt idx="317">
                  <c:v>0.91544000000000003</c:v>
                </c:pt>
                <c:pt idx="318">
                  <c:v>0.91335999999999995</c:v>
                </c:pt>
                <c:pt idx="319">
                  <c:v>0.91152</c:v>
                </c:pt>
                <c:pt idx="320">
                  <c:v>0.90959999999999996</c:v>
                </c:pt>
                <c:pt idx="321">
                  <c:v>0.90780000000000005</c:v>
                </c:pt>
                <c:pt idx="322">
                  <c:v>0.90612000000000004</c:v>
                </c:pt>
                <c:pt idx="323">
                  <c:v>0.90458000000000005</c:v>
                </c:pt>
                <c:pt idx="324">
                  <c:v>0.90307999999999999</c:v>
                </c:pt>
                <c:pt idx="325">
                  <c:v>0.90124000000000004</c:v>
                </c:pt>
                <c:pt idx="326">
                  <c:v>0.89968000000000004</c:v>
                </c:pt>
                <c:pt idx="327">
                  <c:v>0.89814000000000005</c:v>
                </c:pt>
                <c:pt idx="328">
                  <c:v>0.89663999999999999</c:v>
                </c:pt>
                <c:pt idx="329">
                  <c:v>0.89512000000000003</c:v>
                </c:pt>
                <c:pt idx="330">
                  <c:v>0.89370000000000005</c:v>
                </c:pt>
                <c:pt idx="331">
                  <c:v>0.89236000000000004</c:v>
                </c:pt>
                <c:pt idx="332">
                  <c:v>0.89102000000000003</c:v>
                </c:pt>
                <c:pt idx="333">
                  <c:v>0.88958000000000004</c:v>
                </c:pt>
                <c:pt idx="334">
                  <c:v>0.88812000000000002</c:v>
                </c:pt>
                <c:pt idx="335">
                  <c:v>0.88673999999999997</c:v>
                </c:pt>
                <c:pt idx="336">
                  <c:v>0.88522000000000001</c:v>
                </c:pt>
                <c:pt idx="337">
                  <c:v>0.88392000000000004</c:v>
                </c:pt>
                <c:pt idx="338">
                  <c:v>0.88249999999999995</c:v>
                </c:pt>
                <c:pt idx="339">
                  <c:v>0.88122</c:v>
                </c:pt>
                <c:pt idx="340">
                  <c:v>0.87997999999999998</c:v>
                </c:pt>
                <c:pt idx="341">
                  <c:v>0.87870000000000004</c:v>
                </c:pt>
                <c:pt idx="342">
                  <c:v>0.87714000000000003</c:v>
                </c:pt>
                <c:pt idx="343">
                  <c:v>0.87594000000000005</c:v>
                </c:pt>
                <c:pt idx="344">
                  <c:v>0.87463999999999997</c:v>
                </c:pt>
                <c:pt idx="345">
                  <c:v>0.87338000000000005</c:v>
                </c:pt>
                <c:pt idx="346">
                  <c:v>0.87226000000000004</c:v>
                </c:pt>
                <c:pt idx="347">
                  <c:v>0.87104000000000004</c:v>
                </c:pt>
                <c:pt idx="348">
                  <c:v>0.86990000000000001</c:v>
                </c:pt>
                <c:pt idx="349">
                  <c:v>0.86846000000000001</c:v>
                </c:pt>
                <c:pt idx="350">
                  <c:v>0.86724000000000001</c:v>
                </c:pt>
                <c:pt idx="351">
                  <c:v>0.86595999999999995</c:v>
                </c:pt>
                <c:pt idx="352">
                  <c:v>0.86484000000000005</c:v>
                </c:pt>
                <c:pt idx="353">
                  <c:v>0.86375999999999997</c:v>
                </c:pt>
                <c:pt idx="354">
                  <c:v>0.86268</c:v>
                </c:pt>
                <c:pt idx="355">
                  <c:v>0.86158000000000001</c:v>
                </c:pt>
                <c:pt idx="356">
                  <c:v>0.86014000000000002</c:v>
                </c:pt>
                <c:pt idx="357">
                  <c:v>0.85906000000000005</c:v>
                </c:pt>
                <c:pt idx="358">
                  <c:v>0.85794000000000004</c:v>
                </c:pt>
                <c:pt idx="359">
                  <c:v>0.85672000000000004</c:v>
                </c:pt>
                <c:pt idx="360">
                  <c:v>0.85538000000000003</c:v>
                </c:pt>
                <c:pt idx="361">
                  <c:v>0.85463999999999996</c:v>
                </c:pt>
                <c:pt idx="362">
                  <c:v>0.85365999999999997</c:v>
                </c:pt>
                <c:pt idx="363">
                  <c:v>0.85248000000000002</c:v>
                </c:pt>
                <c:pt idx="364">
                  <c:v>0.85133999999999999</c:v>
                </c:pt>
                <c:pt idx="365">
                  <c:v>0.85016000000000003</c:v>
                </c:pt>
                <c:pt idx="366">
                  <c:v>0.84921999999999997</c:v>
                </c:pt>
                <c:pt idx="367">
                  <c:v>0.84799999999999998</c:v>
                </c:pt>
                <c:pt idx="368">
                  <c:v>0.84689999999999999</c:v>
                </c:pt>
                <c:pt idx="369">
                  <c:v>0.84567999999999999</c:v>
                </c:pt>
                <c:pt idx="370">
                  <c:v>0.84477999999999998</c:v>
                </c:pt>
                <c:pt idx="371">
                  <c:v>0.84377999999999997</c:v>
                </c:pt>
                <c:pt idx="372">
                  <c:v>0.84284000000000003</c:v>
                </c:pt>
                <c:pt idx="373">
                  <c:v>0.84182000000000001</c:v>
                </c:pt>
                <c:pt idx="374">
                  <c:v>0.84086000000000005</c:v>
                </c:pt>
                <c:pt idx="375">
                  <c:v>0.83984000000000003</c:v>
                </c:pt>
                <c:pt idx="376">
                  <c:v>0.83872000000000002</c:v>
                </c:pt>
                <c:pt idx="377">
                  <c:v>0.83782000000000001</c:v>
                </c:pt>
                <c:pt idx="378">
                  <c:v>0.83692</c:v>
                </c:pt>
                <c:pt idx="379">
                  <c:v>0.83572000000000002</c:v>
                </c:pt>
                <c:pt idx="380">
                  <c:v>0.83479999999999999</c:v>
                </c:pt>
                <c:pt idx="381">
                  <c:v>0.83379999999999999</c:v>
                </c:pt>
                <c:pt idx="382">
                  <c:v>0.83282</c:v>
                </c:pt>
                <c:pt idx="383">
                  <c:v>0.83184000000000002</c:v>
                </c:pt>
                <c:pt idx="384">
                  <c:v>0.83113999999999999</c:v>
                </c:pt>
                <c:pt idx="385">
                  <c:v>0.83016000000000001</c:v>
                </c:pt>
                <c:pt idx="386">
                  <c:v>0.82920000000000005</c:v>
                </c:pt>
                <c:pt idx="387">
                  <c:v>0.82830000000000004</c:v>
                </c:pt>
                <c:pt idx="388">
                  <c:v>0.82728000000000002</c:v>
                </c:pt>
                <c:pt idx="389">
                  <c:v>0.82620000000000005</c:v>
                </c:pt>
                <c:pt idx="390">
                  <c:v>0.82521999999999995</c:v>
                </c:pt>
                <c:pt idx="391">
                  <c:v>0.82421999999999995</c:v>
                </c:pt>
                <c:pt idx="392">
                  <c:v>0.82342000000000004</c:v>
                </c:pt>
                <c:pt idx="393">
                  <c:v>0.82232000000000005</c:v>
                </c:pt>
                <c:pt idx="394">
                  <c:v>0.8216</c:v>
                </c:pt>
                <c:pt idx="395">
                  <c:v>0.82069999999999999</c:v>
                </c:pt>
                <c:pt idx="396">
                  <c:v>0.81942000000000004</c:v>
                </c:pt>
                <c:pt idx="397">
                  <c:v>0.81845999999999997</c:v>
                </c:pt>
                <c:pt idx="398">
                  <c:v>0.81777999999999995</c:v>
                </c:pt>
                <c:pt idx="399">
                  <c:v>0.81691999999999998</c:v>
                </c:pt>
                <c:pt idx="400">
                  <c:v>0.81599999999999995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DE6-408E-80C6-9165C6BD0725}"/>
            </c:ext>
          </c:extLst>
        </c:ser>
        <c:ser>
          <c:idx val="11"/>
          <c:order val="11"/>
          <c:tx>
            <c:strRef>
              <c:f>'Pig graph '!$AF$1</c:f>
              <c:strCache>
                <c:ptCount val="1"/>
                <c:pt idx="0">
                  <c:v>s12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'!$AF$2:$AF$402</c:f>
              <c:numCache>
                <c:formatCode>General</c:formatCode>
                <c:ptCount val="401"/>
                <c:pt idx="0">
                  <c:v>1.18588</c:v>
                </c:pt>
                <c:pt idx="1">
                  <c:v>1.1867399999999999</c:v>
                </c:pt>
                <c:pt idx="2">
                  <c:v>1.18804</c:v>
                </c:pt>
                <c:pt idx="3">
                  <c:v>1.18954</c:v>
                </c:pt>
                <c:pt idx="4">
                  <c:v>1.1915199999999999</c:v>
                </c:pt>
                <c:pt idx="5">
                  <c:v>1.1933199999999999</c:v>
                </c:pt>
                <c:pt idx="6">
                  <c:v>1.19546</c:v>
                </c:pt>
                <c:pt idx="7">
                  <c:v>1.1990400000000001</c:v>
                </c:pt>
                <c:pt idx="8">
                  <c:v>1.2013799999999999</c:v>
                </c:pt>
                <c:pt idx="9">
                  <c:v>1.20496</c:v>
                </c:pt>
                <c:pt idx="10">
                  <c:v>1.2082200000000001</c:v>
                </c:pt>
                <c:pt idx="11">
                  <c:v>1.2109399999999999</c:v>
                </c:pt>
                <c:pt idx="12">
                  <c:v>1.2142999999999999</c:v>
                </c:pt>
                <c:pt idx="13">
                  <c:v>1.2178599999999999</c:v>
                </c:pt>
                <c:pt idx="14">
                  <c:v>1.2205600000000001</c:v>
                </c:pt>
                <c:pt idx="15">
                  <c:v>1.2227399999999999</c:v>
                </c:pt>
                <c:pt idx="16">
                  <c:v>1.2259800000000001</c:v>
                </c:pt>
                <c:pt idx="17">
                  <c:v>1.2293400000000001</c:v>
                </c:pt>
                <c:pt idx="18">
                  <c:v>1.23156</c:v>
                </c:pt>
                <c:pt idx="19">
                  <c:v>1.2324200000000001</c:v>
                </c:pt>
                <c:pt idx="20">
                  <c:v>1.23394</c:v>
                </c:pt>
                <c:pt idx="21">
                  <c:v>1.23516</c:v>
                </c:pt>
                <c:pt idx="22">
                  <c:v>1.2359599999999999</c:v>
                </c:pt>
                <c:pt idx="23">
                  <c:v>1.2367600000000001</c:v>
                </c:pt>
                <c:pt idx="24">
                  <c:v>1.23752</c:v>
                </c:pt>
                <c:pt idx="25">
                  <c:v>1.2390399999999999</c:v>
                </c:pt>
                <c:pt idx="26">
                  <c:v>1.2398</c:v>
                </c:pt>
                <c:pt idx="27">
                  <c:v>1.2418</c:v>
                </c:pt>
                <c:pt idx="28">
                  <c:v>1.2437199999999999</c:v>
                </c:pt>
                <c:pt idx="29">
                  <c:v>1.2458800000000001</c:v>
                </c:pt>
                <c:pt idx="30">
                  <c:v>1.2484200000000001</c:v>
                </c:pt>
                <c:pt idx="31">
                  <c:v>1.2515000000000001</c:v>
                </c:pt>
                <c:pt idx="32">
                  <c:v>1.25552</c:v>
                </c:pt>
                <c:pt idx="33">
                  <c:v>1.2584599999999999</c:v>
                </c:pt>
                <c:pt idx="34">
                  <c:v>1.2618199999999999</c:v>
                </c:pt>
                <c:pt idx="35">
                  <c:v>1.2663199999999999</c:v>
                </c:pt>
                <c:pt idx="36">
                  <c:v>1.26996</c:v>
                </c:pt>
                <c:pt idx="37">
                  <c:v>1.2732000000000001</c:v>
                </c:pt>
                <c:pt idx="38">
                  <c:v>1.276</c:v>
                </c:pt>
                <c:pt idx="39">
                  <c:v>1.2780400000000001</c:v>
                </c:pt>
                <c:pt idx="40">
                  <c:v>1.27912</c:v>
                </c:pt>
                <c:pt idx="41">
                  <c:v>1.27918</c:v>
                </c:pt>
                <c:pt idx="42">
                  <c:v>1.2787999999999999</c:v>
                </c:pt>
                <c:pt idx="43">
                  <c:v>1.27704</c:v>
                </c:pt>
                <c:pt idx="44">
                  <c:v>1.27502</c:v>
                </c:pt>
                <c:pt idx="45">
                  <c:v>1.27078</c:v>
                </c:pt>
                <c:pt idx="46">
                  <c:v>1.26606</c:v>
                </c:pt>
                <c:pt idx="47">
                  <c:v>1.2600800000000001</c:v>
                </c:pt>
                <c:pt idx="48">
                  <c:v>1.2541599999999999</c:v>
                </c:pt>
                <c:pt idx="49">
                  <c:v>1.24692</c:v>
                </c:pt>
                <c:pt idx="50">
                  <c:v>1.2399</c:v>
                </c:pt>
                <c:pt idx="51">
                  <c:v>1.2325999999999999</c:v>
                </c:pt>
                <c:pt idx="52">
                  <c:v>1.2259800000000001</c:v>
                </c:pt>
                <c:pt idx="53">
                  <c:v>1.2196400000000001</c:v>
                </c:pt>
                <c:pt idx="54">
                  <c:v>1.21424</c:v>
                </c:pt>
                <c:pt idx="55">
                  <c:v>1.2090799999999999</c:v>
                </c:pt>
                <c:pt idx="56">
                  <c:v>1.20394</c:v>
                </c:pt>
                <c:pt idx="57">
                  <c:v>1.1998200000000001</c:v>
                </c:pt>
                <c:pt idx="58">
                  <c:v>1.19638</c:v>
                </c:pt>
                <c:pt idx="59">
                  <c:v>1.1930000000000001</c:v>
                </c:pt>
                <c:pt idx="60">
                  <c:v>1.19042</c:v>
                </c:pt>
                <c:pt idx="61">
                  <c:v>1.18774</c:v>
                </c:pt>
                <c:pt idx="62">
                  <c:v>1.1857</c:v>
                </c:pt>
                <c:pt idx="63">
                  <c:v>1.1837800000000001</c:v>
                </c:pt>
                <c:pt idx="64">
                  <c:v>1.18146</c:v>
                </c:pt>
                <c:pt idx="65">
                  <c:v>1.1796</c:v>
                </c:pt>
                <c:pt idx="66">
                  <c:v>1.1777599999999999</c:v>
                </c:pt>
                <c:pt idx="67">
                  <c:v>1.1757599999999999</c:v>
                </c:pt>
                <c:pt idx="68">
                  <c:v>1.1737599999999999</c:v>
                </c:pt>
                <c:pt idx="69">
                  <c:v>1.1714800000000001</c:v>
                </c:pt>
                <c:pt idx="70">
                  <c:v>1.17004</c:v>
                </c:pt>
                <c:pt idx="71">
                  <c:v>1.1678999999999999</c:v>
                </c:pt>
                <c:pt idx="72">
                  <c:v>1.1657999999999999</c:v>
                </c:pt>
                <c:pt idx="73">
                  <c:v>1.16418</c:v>
                </c:pt>
                <c:pt idx="74">
                  <c:v>1.16242</c:v>
                </c:pt>
                <c:pt idx="75">
                  <c:v>1.16076</c:v>
                </c:pt>
                <c:pt idx="76">
                  <c:v>1.159</c:v>
                </c:pt>
                <c:pt idx="77">
                  <c:v>1.1572800000000001</c:v>
                </c:pt>
                <c:pt idx="78">
                  <c:v>1.1557999999999999</c:v>
                </c:pt>
                <c:pt idx="79">
                  <c:v>1.15394</c:v>
                </c:pt>
                <c:pt idx="80">
                  <c:v>1.15262</c:v>
                </c:pt>
                <c:pt idx="81">
                  <c:v>1.1516999999999999</c:v>
                </c:pt>
                <c:pt idx="82">
                  <c:v>1.15046</c:v>
                </c:pt>
                <c:pt idx="83">
                  <c:v>1.14916</c:v>
                </c:pt>
                <c:pt idx="84">
                  <c:v>1.14832</c:v>
                </c:pt>
                <c:pt idx="85">
                  <c:v>1.14774</c:v>
                </c:pt>
                <c:pt idx="86">
                  <c:v>1.1471</c:v>
                </c:pt>
                <c:pt idx="87">
                  <c:v>1.1464799999999999</c:v>
                </c:pt>
                <c:pt idx="88">
                  <c:v>1.1454800000000001</c:v>
                </c:pt>
                <c:pt idx="89">
                  <c:v>1.1450199999999999</c:v>
                </c:pt>
                <c:pt idx="90">
                  <c:v>1.14432</c:v>
                </c:pt>
                <c:pt idx="91">
                  <c:v>1.1437999999999999</c:v>
                </c:pt>
                <c:pt idx="92">
                  <c:v>1.143</c:v>
                </c:pt>
                <c:pt idx="93">
                  <c:v>1.1424799999999999</c:v>
                </c:pt>
                <c:pt idx="94">
                  <c:v>1.1413599999999999</c:v>
                </c:pt>
                <c:pt idx="95">
                  <c:v>1.1403799999999999</c:v>
                </c:pt>
                <c:pt idx="96">
                  <c:v>1.1392599999999999</c:v>
                </c:pt>
                <c:pt idx="97">
                  <c:v>1.1378999999999999</c:v>
                </c:pt>
                <c:pt idx="98">
                  <c:v>1.1366000000000001</c:v>
                </c:pt>
                <c:pt idx="99">
                  <c:v>1.1350800000000001</c:v>
                </c:pt>
                <c:pt idx="100">
                  <c:v>1.1334</c:v>
                </c:pt>
                <c:pt idx="101">
                  <c:v>1.1315</c:v>
                </c:pt>
                <c:pt idx="102">
                  <c:v>1.12982</c:v>
                </c:pt>
                <c:pt idx="103">
                  <c:v>1.12754</c:v>
                </c:pt>
                <c:pt idx="104">
                  <c:v>1.1252200000000001</c:v>
                </c:pt>
                <c:pt idx="105">
                  <c:v>1.12314</c:v>
                </c:pt>
                <c:pt idx="106">
                  <c:v>1.1207800000000001</c:v>
                </c:pt>
                <c:pt idx="107">
                  <c:v>1.11808</c:v>
                </c:pt>
                <c:pt idx="108">
                  <c:v>1.11544</c:v>
                </c:pt>
                <c:pt idx="109">
                  <c:v>1.1127400000000001</c:v>
                </c:pt>
                <c:pt idx="110">
                  <c:v>1.11002</c:v>
                </c:pt>
                <c:pt idx="111">
                  <c:v>1.1073999999999999</c:v>
                </c:pt>
                <c:pt idx="112">
                  <c:v>1.10446</c:v>
                </c:pt>
                <c:pt idx="113">
                  <c:v>1.1015600000000001</c:v>
                </c:pt>
                <c:pt idx="114">
                  <c:v>1.09894</c:v>
                </c:pt>
                <c:pt idx="115">
                  <c:v>1.0960399999999999</c:v>
                </c:pt>
                <c:pt idx="116">
                  <c:v>1.0933600000000001</c:v>
                </c:pt>
                <c:pt idx="117">
                  <c:v>1.0902000000000001</c:v>
                </c:pt>
                <c:pt idx="118">
                  <c:v>1.08718</c:v>
                </c:pt>
                <c:pt idx="119">
                  <c:v>1.08432</c:v>
                </c:pt>
                <c:pt idx="120">
                  <c:v>1.0817000000000001</c:v>
                </c:pt>
                <c:pt idx="121">
                  <c:v>1.07894</c:v>
                </c:pt>
                <c:pt idx="122">
                  <c:v>1.0759799999999999</c:v>
                </c:pt>
                <c:pt idx="123">
                  <c:v>1.0736600000000001</c:v>
                </c:pt>
                <c:pt idx="124">
                  <c:v>1.0707</c:v>
                </c:pt>
                <c:pt idx="125">
                  <c:v>1.0687199999999999</c:v>
                </c:pt>
                <c:pt idx="126">
                  <c:v>1.06592</c:v>
                </c:pt>
                <c:pt idx="127">
                  <c:v>1.0636000000000001</c:v>
                </c:pt>
                <c:pt idx="128">
                  <c:v>1.06158</c:v>
                </c:pt>
                <c:pt idx="129">
                  <c:v>1.0589599999999999</c:v>
                </c:pt>
                <c:pt idx="130">
                  <c:v>1.05664</c:v>
                </c:pt>
                <c:pt idx="131">
                  <c:v>1.0543800000000001</c:v>
                </c:pt>
                <c:pt idx="132">
                  <c:v>1.0524</c:v>
                </c:pt>
                <c:pt idx="133">
                  <c:v>1.05002</c:v>
                </c:pt>
                <c:pt idx="134">
                  <c:v>1.0483</c:v>
                </c:pt>
                <c:pt idx="135">
                  <c:v>1.0462</c:v>
                </c:pt>
                <c:pt idx="136">
                  <c:v>1.0445599999999999</c:v>
                </c:pt>
                <c:pt idx="137">
                  <c:v>1.0421400000000001</c:v>
                </c:pt>
                <c:pt idx="138">
                  <c:v>1.04034</c:v>
                </c:pt>
                <c:pt idx="139">
                  <c:v>1.0388999999999999</c:v>
                </c:pt>
                <c:pt idx="140">
                  <c:v>1.0373600000000001</c:v>
                </c:pt>
                <c:pt idx="141">
                  <c:v>1.0357000000000001</c:v>
                </c:pt>
                <c:pt idx="142">
                  <c:v>1.03396</c:v>
                </c:pt>
                <c:pt idx="143">
                  <c:v>1.0327999999999999</c:v>
                </c:pt>
                <c:pt idx="144">
                  <c:v>1.03162</c:v>
                </c:pt>
                <c:pt idx="145">
                  <c:v>1.0303599999999999</c:v>
                </c:pt>
                <c:pt idx="146">
                  <c:v>1.0291999999999999</c:v>
                </c:pt>
                <c:pt idx="147">
                  <c:v>1.02796</c:v>
                </c:pt>
                <c:pt idx="148">
                  <c:v>1.0265599999999999</c:v>
                </c:pt>
                <c:pt idx="149">
                  <c:v>1.0259</c:v>
                </c:pt>
                <c:pt idx="150">
                  <c:v>1.02454</c:v>
                </c:pt>
                <c:pt idx="151">
                  <c:v>1.0234399999999999</c:v>
                </c:pt>
                <c:pt idx="152">
                  <c:v>1.0225599999999999</c:v>
                </c:pt>
                <c:pt idx="153">
                  <c:v>1.0216400000000001</c:v>
                </c:pt>
                <c:pt idx="154">
                  <c:v>1.02088</c:v>
                </c:pt>
                <c:pt idx="155">
                  <c:v>1.0203</c:v>
                </c:pt>
                <c:pt idx="156">
                  <c:v>1.0194399999999999</c:v>
                </c:pt>
                <c:pt idx="157">
                  <c:v>1.0186999999999999</c:v>
                </c:pt>
                <c:pt idx="158">
                  <c:v>1.0181800000000001</c:v>
                </c:pt>
                <c:pt idx="159">
                  <c:v>1.0176400000000001</c:v>
                </c:pt>
                <c:pt idx="160">
                  <c:v>1.0171600000000001</c:v>
                </c:pt>
                <c:pt idx="161">
                  <c:v>1.0169600000000001</c:v>
                </c:pt>
                <c:pt idx="162">
                  <c:v>1.0163599999999999</c:v>
                </c:pt>
                <c:pt idx="163">
                  <c:v>1.0160199999999999</c:v>
                </c:pt>
                <c:pt idx="164">
                  <c:v>1.01586</c:v>
                </c:pt>
                <c:pt idx="165">
                  <c:v>1.0157799999999999</c:v>
                </c:pt>
                <c:pt idx="166">
                  <c:v>1.0156000000000001</c:v>
                </c:pt>
                <c:pt idx="167">
                  <c:v>1.0155000000000001</c:v>
                </c:pt>
                <c:pt idx="168">
                  <c:v>1.0158</c:v>
                </c:pt>
                <c:pt idx="169">
                  <c:v>1.016</c:v>
                </c:pt>
                <c:pt idx="170">
                  <c:v>1.0161199999999999</c:v>
                </c:pt>
                <c:pt idx="171">
                  <c:v>1.01654</c:v>
                </c:pt>
                <c:pt idx="172">
                  <c:v>1.0168200000000001</c:v>
                </c:pt>
                <c:pt idx="173">
                  <c:v>1.0170600000000001</c:v>
                </c:pt>
                <c:pt idx="174">
                  <c:v>1.0174000000000001</c:v>
                </c:pt>
                <c:pt idx="175">
                  <c:v>1.0179400000000001</c:v>
                </c:pt>
                <c:pt idx="176">
                  <c:v>1.01844</c:v>
                </c:pt>
                <c:pt idx="177">
                  <c:v>1.0191399999999999</c:v>
                </c:pt>
                <c:pt idx="178">
                  <c:v>1.01962</c:v>
                </c:pt>
                <c:pt idx="179">
                  <c:v>1.0199199999999999</c:v>
                </c:pt>
                <c:pt idx="180">
                  <c:v>1.0203</c:v>
                </c:pt>
                <c:pt idx="181">
                  <c:v>1.0207599999999999</c:v>
                </c:pt>
                <c:pt idx="182">
                  <c:v>1.0213399999999999</c:v>
                </c:pt>
                <c:pt idx="183">
                  <c:v>1.0214000000000001</c:v>
                </c:pt>
                <c:pt idx="184">
                  <c:v>1.0219400000000001</c:v>
                </c:pt>
                <c:pt idx="185">
                  <c:v>1.02216</c:v>
                </c:pt>
                <c:pt idx="186">
                  <c:v>1.02216</c:v>
                </c:pt>
                <c:pt idx="187">
                  <c:v>1.0227599999999999</c:v>
                </c:pt>
                <c:pt idx="188">
                  <c:v>1.0228200000000001</c:v>
                </c:pt>
                <c:pt idx="189">
                  <c:v>1.0230999999999999</c:v>
                </c:pt>
                <c:pt idx="190">
                  <c:v>1.0230399999999999</c:v>
                </c:pt>
                <c:pt idx="191">
                  <c:v>1.02328</c:v>
                </c:pt>
                <c:pt idx="192">
                  <c:v>1.0234000000000001</c:v>
                </c:pt>
                <c:pt idx="193">
                  <c:v>1.0235000000000001</c:v>
                </c:pt>
                <c:pt idx="194">
                  <c:v>1.0237400000000001</c:v>
                </c:pt>
                <c:pt idx="195">
                  <c:v>1.02366</c:v>
                </c:pt>
                <c:pt idx="196">
                  <c:v>1.02372</c:v>
                </c:pt>
                <c:pt idx="197">
                  <c:v>1.02366</c:v>
                </c:pt>
                <c:pt idx="198">
                  <c:v>1.0236799999999999</c:v>
                </c:pt>
                <c:pt idx="199">
                  <c:v>1.0238400000000001</c:v>
                </c:pt>
                <c:pt idx="200">
                  <c:v>1.0241400000000001</c:v>
                </c:pt>
                <c:pt idx="201">
                  <c:v>1.0242</c:v>
                </c:pt>
                <c:pt idx="202">
                  <c:v>1.0246</c:v>
                </c:pt>
                <c:pt idx="203">
                  <c:v>1.0251399999999999</c:v>
                </c:pt>
                <c:pt idx="204">
                  <c:v>1.0255799999999999</c:v>
                </c:pt>
                <c:pt idx="205">
                  <c:v>1.02624</c:v>
                </c:pt>
                <c:pt idx="206">
                  <c:v>1.0272600000000001</c:v>
                </c:pt>
                <c:pt idx="207">
                  <c:v>1.02816</c:v>
                </c:pt>
                <c:pt idx="208">
                  <c:v>1.02948</c:v>
                </c:pt>
                <c:pt idx="209">
                  <c:v>1.0306999999999999</c:v>
                </c:pt>
                <c:pt idx="210">
                  <c:v>1.03216</c:v>
                </c:pt>
                <c:pt idx="211">
                  <c:v>1.0338799999999999</c:v>
                </c:pt>
                <c:pt idx="212">
                  <c:v>1.03586</c:v>
                </c:pt>
                <c:pt idx="213">
                  <c:v>1.03834</c:v>
                </c:pt>
                <c:pt idx="214">
                  <c:v>1.0405599999999999</c:v>
                </c:pt>
                <c:pt idx="215">
                  <c:v>1.04294</c:v>
                </c:pt>
                <c:pt idx="216">
                  <c:v>1.0457799999999999</c:v>
                </c:pt>
                <c:pt idx="217">
                  <c:v>1.04874</c:v>
                </c:pt>
                <c:pt idx="218">
                  <c:v>1.05152</c:v>
                </c:pt>
                <c:pt idx="219">
                  <c:v>1.0546599999999999</c:v>
                </c:pt>
                <c:pt idx="220">
                  <c:v>1.05758</c:v>
                </c:pt>
                <c:pt idx="221">
                  <c:v>1.0605800000000001</c:v>
                </c:pt>
                <c:pt idx="222">
                  <c:v>1.0634399999999999</c:v>
                </c:pt>
                <c:pt idx="223">
                  <c:v>1.0667199999999999</c:v>
                </c:pt>
                <c:pt idx="224">
                  <c:v>1.0699399999999999</c:v>
                </c:pt>
                <c:pt idx="225">
                  <c:v>1.07284</c:v>
                </c:pt>
                <c:pt idx="226">
                  <c:v>1.07596</c:v>
                </c:pt>
                <c:pt idx="227">
                  <c:v>1.0787599999999999</c:v>
                </c:pt>
                <c:pt idx="228">
                  <c:v>1.08118</c:v>
                </c:pt>
                <c:pt idx="229">
                  <c:v>1.08328</c:v>
                </c:pt>
                <c:pt idx="230">
                  <c:v>1.08548</c:v>
                </c:pt>
                <c:pt idx="231">
                  <c:v>1.08738</c:v>
                </c:pt>
                <c:pt idx="232">
                  <c:v>1.0888599999999999</c:v>
                </c:pt>
                <c:pt idx="233">
                  <c:v>1.0900799999999999</c:v>
                </c:pt>
                <c:pt idx="234">
                  <c:v>1.09066</c:v>
                </c:pt>
                <c:pt idx="235">
                  <c:v>1.0911200000000001</c:v>
                </c:pt>
                <c:pt idx="236">
                  <c:v>1.0909199999999999</c:v>
                </c:pt>
                <c:pt idx="237">
                  <c:v>1.0904199999999999</c:v>
                </c:pt>
                <c:pt idx="238">
                  <c:v>1.0897600000000001</c:v>
                </c:pt>
                <c:pt idx="239">
                  <c:v>1.0886</c:v>
                </c:pt>
                <c:pt idx="240">
                  <c:v>1.0868800000000001</c:v>
                </c:pt>
                <c:pt idx="241">
                  <c:v>1.0849599999999999</c:v>
                </c:pt>
                <c:pt idx="242">
                  <c:v>1.08294</c:v>
                </c:pt>
                <c:pt idx="243">
                  <c:v>1.0804199999999999</c:v>
                </c:pt>
                <c:pt idx="244">
                  <c:v>1.07792</c:v>
                </c:pt>
                <c:pt idx="245">
                  <c:v>1.0752200000000001</c:v>
                </c:pt>
                <c:pt idx="246">
                  <c:v>1.0726</c:v>
                </c:pt>
                <c:pt idx="247">
                  <c:v>1.0699399999999999</c:v>
                </c:pt>
                <c:pt idx="248">
                  <c:v>1.0671600000000001</c:v>
                </c:pt>
                <c:pt idx="249">
                  <c:v>1.06454</c:v>
                </c:pt>
                <c:pt idx="250">
                  <c:v>1.06176</c:v>
                </c:pt>
                <c:pt idx="251">
                  <c:v>1.05924</c:v>
                </c:pt>
                <c:pt idx="252">
                  <c:v>1.0565800000000001</c:v>
                </c:pt>
                <c:pt idx="253">
                  <c:v>1.0543</c:v>
                </c:pt>
                <c:pt idx="254">
                  <c:v>1.0517799999999999</c:v>
                </c:pt>
                <c:pt idx="255">
                  <c:v>1.04962</c:v>
                </c:pt>
                <c:pt idx="256">
                  <c:v>1.04766</c:v>
                </c:pt>
                <c:pt idx="257">
                  <c:v>1.0459799999999999</c:v>
                </c:pt>
                <c:pt idx="258">
                  <c:v>1.0446200000000001</c:v>
                </c:pt>
                <c:pt idx="259">
                  <c:v>1.0436399999999999</c:v>
                </c:pt>
                <c:pt idx="260">
                  <c:v>1.0431600000000001</c:v>
                </c:pt>
                <c:pt idx="261">
                  <c:v>1.0431600000000001</c:v>
                </c:pt>
                <c:pt idx="262">
                  <c:v>1.0438000000000001</c:v>
                </c:pt>
                <c:pt idx="263">
                  <c:v>1.04508</c:v>
                </c:pt>
                <c:pt idx="264">
                  <c:v>1.04694</c:v>
                </c:pt>
                <c:pt idx="265">
                  <c:v>1.0498400000000001</c:v>
                </c:pt>
                <c:pt idx="266">
                  <c:v>1.05274</c:v>
                </c:pt>
                <c:pt idx="267">
                  <c:v>1.0562800000000001</c:v>
                </c:pt>
                <c:pt idx="268">
                  <c:v>1.05996</c:v>
                </c:pt>
                <c:pt idx="269">
                  <c:v>1.06402</c:v>
                </c:pt>
                <c:pt idx="270">
                  <c:v>1.0681400000000001</c:v>
                </c:pt>
                <c:pt idx="271">
                  <c:v>1.07226</c:v>
                </c:pt>
                <c:pt idx="272">
                  <c:v>1.0760799999999999</c:v>
                </c:pt>
                <c:pt idx="273">
                  <c:v>1.08002</c:v>
                </c:pt>
                <c:pt idx="274">
                  <c:v>1.0837000000000001</c:v>
                </c:pt>
                <c:pt idx="275">
                  <c:v>1.08744</c:v>
                </c:pt>
                <c:pt idx="276">
                  <c:v>1.0911200000000001</c:v>
                </c:pt>
                <c:pt idx="277">
                  <c:v>1.0949800000000001</c:v>
                </c:pt>
                <c:pt idx="278">
                  <c:v>1.0989599999999999</c:v>
                </c:pt>
                <c:pt idx="279">
                  <c:v>1.10242</c:v>
                </c:pt>
                <c:pt idx="280">
                  <c:v>1.1052200000000001</c:v>
                </c:pt>
                <c:pt idx="281">
                  <c:v>1.107</c:v>
                </c:pt>
                <c:pt idx="282">
                  <c:v>1.1073999999999999</c:v>
                </c:pt>
                <c:pt idx="283">
                  <c:v>1.1063799999999999</c:v>
                </c:pt>
                <c:pt idx="284">
                  <c:v>1.10412</c:v>
                </c:pt>
                <c:pt idx="285">
                  <c:v>1.1001000000000001</c:v>
                </c:pt>
                <c:pt idx="286">
                  <c:v>1.09534</c:v>
                </c:pt>
                <c:pt idx="287">
                  <c:v>1.0891200000000001</c:v>
                </c:pt>
                <c:pt idx="288">
                  <c:v>1.0818399999999999</c:v>
                </c:pt>
                <c:pt idx="289">
                  <c:v>1.07412</c:v>
                </c:pt>
                <c:pt idx="290">
                  <c:v>1.06586</c:v>
                </c:pt>
                <c:pt idx="291">
                  <c:v>1.0570999999999999</c:v>
                </c:pt>
                <c:pt idx="292">
                  <c:v>1.0487599999999999</c:v>
                </c:pt>
                <c:pt idx="293">
                  <c:v>1.0404599999999999</c:v>
                </c:pt>
                <c:pt idx="294">
                  <c:v>1.03182</c:v>
                </c:pt>
                <c:pt idx="295">
                  <c:v>1.0243199999999999</c:v>
                </c:pt>
                <c:pt idx="296">
                  <c:v>1.0167200000000001</c:v>
                </c:pt>
                <c:pt idx="297">
                  <c:v>1.00976</c:v>
                </c:pt>
                <c:pt idx="298">
                  <c:v>1.00308</c:v>
                </c:pt>
                <c:pt idx="299">
                  <c:v>0.99697999999999998</c:v>
                </c:pt>
                <c:pt idx="300">
                  <c:v>0.99134</c:v>
                </c:pt>
                <c:pt idx="301">
                  <c:v>0.98602000000000001</c:v>
                </c:pt>
                <c:pt idx="302">
                  <c:v>0.98136000000000001</c:v>
                </c:pt>
                <c:pt idx="303">
                  <c:v>0.97696000000000005</c:v>
                </c:pt>
                <c:pt idx="304">
                  <c:v>0.97284000000000004</c:v>
                </c:pt>
                <c:pt idx="305">
                  <c:v>0.96889999999999998</c:v>
                </c:pt>
                <c:pt idx="306">
                  <c:v>0.96523999999999999</c:v>
                </c:pt>
                <c:pt idx="307">
                  <c:v>0.96187999999999996</c:v>
                </c:pt>
                <c:pt idx="308">
                  <c:v>0.95884000000000003</c:v>
                </c:pt>
                <c:pt idx="309">
                  <c:v>0.95572000000000001</c:v>
                </c:pt>
                <c:pt idx="310">
                  <c:v>0.95287999999999995</c:v>
                </c:pt>
                <c:pt idx="311">
                  <c:v>0.95016</c:v>
                </c:pt>
                <c:pt idx="312">
                  <c:v>0.94784000000000002</c:v>
                </c:pt>
                <c:pt idx="313">
                  <c:v>0.94538</c:v>
                </c:pt>
                <c:pt idx="314">
                  <c:v>0.94299999999999995</c:v>
                </c:pt>
                <c:pt idx="315">
                  <c:v>0.94103999999999999</c:v>
                </c:pt>
                <c:pt idx="316">
                  <c:v>0.93896000000000002</c:v>
                </c:pt>
                <c:pt idx="317">
                  <c:v>0.93691999999999998</c:v>
                </c:pt>
                <c:pt idx="318">
                  <c:v>0.93476000000000004</c:v>
                </c:pt>
                <c:pt idx="319">
                  <c:v>0.93291999999999997</c:v>
                </c:pt>
                <c:pt idx="320">
                  <c:v>0.93100000000000005</c:v>
                </c:pt>
                <c:pt idx="321">
                  <c:v>0.92930000000000001</c:v>
                </c:pt>
                <c:pt idx="322">
                  <c:v>0.92776000000000003</c:v>
                </c:pt>
                <c:pt idx="323">
                  <c:v>0.92612000000000005</c:v>
                </c:pt>
                <c:pt idx="324">
                  <c:v>0.92454000000000003</c:v>
                </c:pt>
                <c:pt idx="325">
                  <c:v>0.92271999999999998</c:v>
                </c:pt>
                <c:pt idx="326">
                  <c:v>0.92123999999999995</c:v>
                </c:pt>
                <c:pt idx="327">
                  <c:v>0.91979999999999995</c:v>
                </c:pt>
                <c:pt idx="328">
                  <c:v>0.91823999999999995</c:v>
                </c:pt>
                <c:pt idx="329">
                  <c:v>0.91690000000000005</c:v>
                </c:pt>
                <c:pt idx="330">
                  <c:v>0.91544000000000003</c:v>
                </c:pt>
                <c:pt idx="331">
                  <c:v>0.91415999999999997</c:v>
                </c:pt>
                <c:pt idx="332">
                  <c:v>0.91290000000000004</c:v>
                </c:pt>
                <c:pt idx="333">
                  <c:v>0.91173999999999999</c:v>
                </c:pt>
                <c:pt idx="334">
                  <c:v>0.91035999999999995</c:v>
                </c:pt>
                <c:pt idx="335">
                  <c:v>0.90908</c:v>
                </c:pt>
                <c:pt idx="336">
                  <c:v>0.90766000000000002</c:v>
                </c:pt>
                <c:pt idx="337">
                  <c:v>0.90639999999999998</c:v>
                </c:pt>
                <c:pt idx="338">
                  <c:v>0.90512000000000004</c:v>
                </c:pt>
                <c:pt idx="339">
                  <c:v>0.90383999999999998</c:v>
                </c:pt>
                <c:pt idx="340">
                  <c:v>0.90268000000000004</c:v>
                </c:pt>
                <c:pt idx="341">
                  <c:v>0.90146000000000004</c:v>
                </c:pt>
                <c:pt idx="342">
                  <c:v>0.90002000000000004</c:v>
                </c:pt>
                <c:pt idx="343">
                  <c:v>0.89885999999999999</c:v>
                </c:pt>
                <c:pt idx="344">
                  <c:v>0.89780000000000004</c:v>
                </c:pt>
                <c:pt idx="345">
                  <c:v>0.89663999999999999</c:v>
                </c:pt>
                <c:pt idx="346">
                  <c:v>0.89541999999999999</c:v>
                </c:pt>
                <c:pt idx="347">
                  <c:v>0.89427999999999996</c:v>
                </c:pt>
                <c:pt idx="348">
                  <c:v>0.89315999999999995</c:v>
                </c:pt>
                <c:pt idx="349">
                  <c:v>0.89195999999999998</c:v>
                </c:pt>
                <c:pt idx="350">
                  <c:v>0.89085999999999999</c:v>
                </c:pt>
                <c:pt idx="351">
                  <c:v>0.88973999999999998</c:v>
                </c:pt>
                <c:pt idx="352">
                  <c:v>0.88854</c:v>
                </c:pt>
                <c:pt idx="353">
                  <c:v>0.88763999999999998</c:v>
                </c:pt>
                <c:pt idx="354">
                  <c:v>0.88660000000000005</c:v>
                </c:pt>
                <c:pt idx="355">
                  <c:v>0.88546000000000002</c:v>
                </c:pt>
                <c:pt idx="356">
                  <c:v>0.88424000000000003</c:v>
                </c:pt>
                <c:pt idx="357">
                  <c:v>0.88317999999999997</c:v>
                </c:pt>
                <c:pt idx="358">
                  <c:v>0.88197999999999999</c:v>
                </c:pt>
                <c:pt idx="359">
                  <c:v>0.88102000000000003</c:v>
                </c:pt>
                <c:pt idx="360">
                  <c:v>0.87970000000000004</c:v>
                </c:pt>
                <c:pt idx="361">
                  <c:v>0.87895999999999996</c:v>
                </c:pt>
                <c:pt idx="362">
                  <c:v>0.87805999999999995</c:v>
                </c:pt>
                <c:pt idx="363">
                  <c:v>0.87695999999999996</c:v>
                </c:pt>
                <c:pt idx="364">
                  <c:v>0.87580000000000002</c:v>
                </c:pt>
                <c:pt idx="365">
                  <c:v>0.87472000000000005</c:v>
                </c:pt>
                <c:pt idx="366">
                  <c:v>0.87372000000000005</c:v>
                </c:pt>
                <c:pt idx="367">
                  <c:v>0.87258000000000002</c:v>
                </c:pt>
                <c:pt idx="368">
                  <c:v>0.87146000000000001</c:v>
                </c:pt>
                <c:pt idx="369">
                  <c:v>0.87039999999999995</c:v>
                </c:pt>
                <c:pt idx="370">
                  <c:v>0.86926000000000003</c:v>
                </c:pt>
                <c:pt idx="371">
                  <c:v>0.86826000000000003</c:v>
                </c:pt>
                <c:pt idx="372">
                  <c:v>0.86709999999999998</c:v>
                </c:pt>
                <c:pt idx="373">
                  <c:v>0.86606000000000005</c:v>
                </c:pt>
                <c:pt idx="374">
                  <c:v>0.86495999999999995</c:v>
                </c:pt>
                <c:pt idx="375">
                  <c:v>0.86395999999999995</c:v>
                </c:pt>
                <c:pt idx="376">
                  <c:v>0.86268</c:v>
                </c:pt>
                <c:pt idx="377">
                  <c:v>0.86163999999999996</c:v>
                </c:pt>
                <c:pt idx="378">
                  <c:v>0.86048000000000002</c:v>
                </c:pt>
                <c:pt idx="379">
                  <c:v>0.85931999999999997</c:v>
                </c:pt>
                <c:pt idx="380">
                  <c:v>0.85833999999999999</c:v>
                </c:pt>
                <c:pt idx="381">
                  <c:v>0.85719999999999996</c:v>
                </c:pt>
                <c:pt idx="382">
                  <c:v>0.85626000000000002</c:v>
                </c:pt>
                <c:pt idx="383">
                  <c:v>0.85492000000000001</c:v>
                </c:pt>
                <c:pt idx="384">
                  <c:v>0.85399999999999998</c:v>
                </c:pt>
                <c:pt idx="385">
                  <c:v>0.85272000000000003</c:v>
                </c:pt>
                <c:pt idx="386">
                  <c:v>0.85160000000000002</c:v>
                </c:pt>
                <c:pt idx="387">
                  <c:v>0.85043999999999997</c:v>
                </c:pt>
                <c:pt idx="388">
                  <c:v>0.84933999999999998</c:v>
                </c:pt>
                <c:pt idx="389">
                  <c:v>0.84819999999999995</c:v>
                </c:pt>
                <c:pt idx="390">
                  <c:v>0.84697999999999996</c:v>
                </c:pt>
                <c:pt idx="391">
                  <c:v>0.84592000000000001</c:v>
                </c:pt>
                <c:pt idx="392">
                  <c:v>0.84484000000000004</c:v>
                </c:pt>
                <c:pt idx="393">
                  <c:v>0.84362000000000004</c:v>
                </c:pt>
                <c:pt idx="394">
                  <c:v>0.84255999999999998</c:v>
                </c:pt>
                <c:pt idx="395">
                  <c:v>0.84123999999999999</c:v>
                </c:pt>
                <c:pt idx="396">
                  <c:v>0.83982000000000001</c:v>
                </c:pt>
                <c:pt idx="397">
                  <c:v>0.83867999999999998</c:v>
                </c:pt>
                <c:pt idx="398">
                  <c:v>0.83764000000000005</c:v>
                </c:pt>
                <c:pt idx="399">
                  <c:v>0.83648</c:v>
                </c:pt>
                <c:pt idx="400">
                  <c:v>0.83542000000000005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DE6-408E-80C6-9165C6BD0725}"/>
            </c:ext>
          </c:extLst>
        </c:ser>
        <c:ser>
          <c:idx val="12"/>
          <c:order val="12"/>
          <c:tx>
            <c:strRef>
              <c:f>'Pig graph '!$AG$1</c:f>
              <c:strCache>
                <c:ptCount val="1"/>
                <c:pt idx="0">
                  <c:v>s13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'!$AG$2:$AG$402</c:f>
              <c:numCache>
                <c:formatCode>General</c:formatCode>
                <c:ptCount val="401"/>
                <c:pt idx="0">
                  <c:v>1.03132</c:v>
                </c:pt>
                <c:pt idx="1">
                  <c:v>1.03152</c:v>
                </c:pt>
                <c:pt idx="2">
                  <c:v>1.0316799999999999</c:v>
                </c:pt>
                <c:pt idx="3">
                  <c:v>1.0325599999999999</c:v>
                </c:pt>
                <c:pt idx="4">
                  <c:v>1.0332600000000001</c:v>
                </c:pt>
                <c:pt idx="5">
                  <c:v>1.0340199999999999</c:v>
                </c:pt>
                <c:pt idx="6">
                  <c:v>1.0345200000000001</c:v>
                </c:pt>
                <c:pt idx="7">
                  <c:v>1.0360400000000001</c:v>
                </c:pt>
                <c:pt idx="8">
                  <c:v>1.0369600000000001</c:v>
                </c:pt>
                <c:pt idx="9">
                  <c:v>1.03762</c:v>
                </c:pt>
                <c:pt idx="10">
                  <c:v>1.03864</c:v>
                </c:pt>
                <c:pt idx="11">
                  <c:v>1.0403199999999999</c:v>
                </c:pt>
                <c:pt idx="12">
                  <c:v>1.0412999999999999</c:v>
                </c:pt>
                <c:pt idx="13">
                  <c:v>1.0428200000000001</c:v>
                </c:pt>
                <c:pt idx="14">
                  <c:v>1.0435399999999999</c:v>
                </c:pt>
                <c:pt idx="15">
                  <c:v>1.04464</c:v>
                </c:pt>
                <c:pt idx="16">
                  <c:v>1.04636</c:v>
                </c:pt>
                <c:pt idx="17">
                  <c:v>1.0483800000000001</c:v>
                </c:pt>
                <c:pt idx="18">
                  <c:v>1.04972</c:v>
                </c:pt>
                <c:pt idx="19">
                  <c:v>1.0503199999999999</c:v>
                </c:pt>
                <c:pt idx="20">
                  <c:v>1.0506800000000001</c:v>
                </c:pt>
                <c:pt idx="21">
                  <c:v>1.0522400000000001</c:v>
                </c:pt>
                <c:pt idx="22">
                  <c:v>1.0529200000000001</c:v>
                </c:pt>
                <c:pt idx="23">
                  <c:v>1.0533999999999999</c:v>
                </c:pt>
                <c:pt idx="24">
                  <c:v>1.05362</c:v>
                </c:pt>
                <c:pt idx="25">
                  <c:v>1.05416</c:v>
                </c:pt>
                <c:pt idx="26">
                  <c:v>1.0551999999999999</c:v>
                </c:pt>
                <c:pt idx="27">
                  <c:v>1.0558799999999999</c:v>
                </c:pt>
                <c:pt idx="28">
                  <c:v>1.0571200000000001</c:v>
                </c:pt>
                <c:pt idx="29">
                  <c:v>1.0580799999999999</c:v>
                </c:pt>
                <c:pt idx="30">
                  <c:v>1.0592999999999999</c:v>
                </c:pt>
                <c:pt idx="31">
                  <c:v>1.0607200000000001</c:v>
                </c:pt>
                <c:pt idx="32">
                  <c:v>1.06192</c:v>
                </c:pt>
                <c:pt idx="33">
                  <c:v>1.0639000000000001</c:v>
                </c:pt>
                <c:pt idx="34">
                  <c:v>1.0647599999999999</c:v>
                </c:pt>
                <c:pt idx="35">
                  <c:v>1.0663800000000001</c:v>
                </c:pt>
                <c:pt idx="36">
                  <c:v>1.0670999999999999</c:v>
                </c:pt>
                <c:pt idx="37">
                  <c:v>1.0685800000000001</c:v>
                </c:pt>
                <c:pt idx="38">
                  <c:v>1.0687599999999999</c:v>
                </c:pt>
                <c:pt idx="39">
                  <c:v>1.0694600000000001</c:v>
                </c:pt>
                <c:pt idx="40">
                  <c:v>1.06962</c:v>
                </c:pt>
                <c:pt idx="41">
                  <c:v>1.0698000000000001</c:v>
                </c:pt>
                <c:pt idx="42">
                  <c:v>1.06948</c:v>
                </c:pt>
                <c:pt idx="43">
                  <c:v>1.0687</c:v>
                </c:pt>
                <c:pt idx="44">
                  <c:v>1.06714</c:v>
                </c:pt>
                <c:pt idx="45">
                  <c:v>1.06494</c:v>
                </c:pt>
                <c:pt idx="46">
                  <c:v>1.06342</c:v>
                </c:pt>
                <c:pt idx="47">
                  <c:v>1.0617000000000001</c:v>
                </c:pt>
                <c:pt idx="48">
                  <c:v>1.0591200000000001</c:v>
                </c:pt>
                <c:pt idx="49">
                  <c:v>1.05646</c:v>
                </c:pt>
                <c:pt idx="50">
                  <c:v>1.0542</c:v>
                </c:pt>
                <c:pt idx="51">
                  <c:v>1.05182</c:v>
                </c:pt>
                <c:pt idx="52">
                  <c:v>1.04966</c:v>
                </c:pt>
                <c:pt idx="53">
                  <c:v>1.04742</c:v>
                </c:pt>
                <c:pt idx="54">
                  <c:v>1.0458400000000001</c:v>
                </c:pt>
                <c:pt idx="55">
                  <c:v>1.0439400000000001</c:v>
                </c:pt>
                <c:pt idx="56">
                  <c:v>1.04226</c:v>
                </c:pt>
                <c:pt idx="57">
                  <c:v>1.04098</c:v>
                </c:pt>
                <c:pt idx="58">
                  <c:v>1.0397400000000001</c:v>
                </c:pt>
                <c:pt idx="59">
                  <c:v>1.0383599999999999</c:v>
                </c:pt>
                <c:pt idx="60">
                  <c:v>1.0371999999999999</c:v>
                </c:pt>
                <c:pt idx="61">
                  <c:v>1.0360400000000001</c:v>
                </c:pt>
                <c:pt idx="62">
                  <c:v>1.0347999999999999</c:v>
                </c:pt>
                <c:pt idx="63">
                  <c:v>1.0336399999999999</c:v>
                </c:pt>
                <c:pt idx="64">
                  <c:v>1.03254</c:v>
                </c:pt>
                <c:pt idx="65">
                  <c:v>1.03094</c:v>
                </c:pt>
                <c:pt idx="66">
                  <c:v>1.0298799999999999</c:v>
                </c:pt>
                <c:pt idx="67">
                  <c:v>1.0283800000000001</c:v>
                </c:pt>
                <c:pt idx="68">
                  <c:v>1.0268200000000001</c:v>
                </c:pt>
                <c:pt idx="69">
                  <c:v>1.02484</c:v>
                </c:pt>
                <c:pt idx="70">
                  <c:v>1.0236799999999999</c:v>
                </c:pt>
                <c:pt idx="71">
                  <c:v>1.02216</c:v>
                </c:pt>
                <c:pt idx="72">
                  <c:v>1.0206200000000001</c:v>
                </c:pt>
                <c:pt idx="73">
                  <c:v>1.0188999999999999</c:v>
                </c:pt>
                <c:pt idx="74">
                  <c:v>1.0175799999999999</c:v>
                </c:pt>
                <c:pt idx="75">
                  <c:v>1.0161199999999999</c:v>
                </c:pt>
                <c:pt idx="76">
                  <c:v>1.01492</c:v>
                </c:pt>
                <c:pt idx="77">
                  <c:v>1.0137</c:v>
                </c:pt>
                <c:pt idx="78">
                  <c:v>1.0121800000000001</c:v>
                </c:pt>
                <c:pt idx="79">
                  <c:v>1.0111600000000001</c:v>
                </c:pt>
                <c:pt idx="80">
                  <c:v>1.0099199999999999</c:v>
                </c:pt>
                <c:pt idx="81">
                  <c:v>1.00936</c:v>
                </c:pt>
                <c:pt idx="82">
                  <c:v>1.0082</c:v>
                </c:pt>
                <c:pt idx="83">
                  <c:v>1.00762</c:v>
                </c:pt>
                <c:pt idx="84">
                  <c:v>1.0067999999999999</c:v>
                </c:pt>
                <c:pt idx="85">
                  <c:v>1.00644</c:v>
                </c:pt>
                <c:pt idx="86">
                  <c:v>1.0057400000000001</c:v>
                </c:pt>
                <c:pt idx="87">
                  <c:v>1.00498</c:v>
                </c:pt>
                <c:pt idx="88">
                  <c:v>1.00498</c:v>
                </c:pt>
                <c:pt idx="89">
                  <c:v>1.0044200000000001</c:v>
                </c:pt>
                <c:pt idx="90">
                  <c:v>1.0038199999999999</c:v>
                </c:pt>
                <c:pt idx="91">
                  <c:v>1.0032000000000001</c:v>
                </c:pt>
                <c:pt idx="92">
                  <c:v>1.00284</c:v>
                </c:pt>
                <c:pt idx="93">
                  <c:v>1.0019800000000001</c:v>
                </c:pt>
                <c:pt idx="94">
                  <c:v>1.0014400000000001</c:v>
                </c:pt>
                <c:pt idx="95">
                  <c:v>1.00024</c:v>
                </c:pt>
                <c:pt idx="96">
                  <c:v>0.99895999999999996</c:v>
                </c:pt>
                <c:pt idx="97">
                  <c:v>0.99778</c:v>
                </c:pt>
                <c:pt idx="98">
                  <c:v>0.99646000000000001</c:v>
                </c:pt>
                <c:pt idx="99">
                  <c:v>0.99507999999999996</c:v>
                </c:pt>
                <c:pt idx="100">
                  <c:v>0.99356</c:v>
                </c:pt>
                <c:pt idx="101">
                  <c:v>0.99187999999999998</c:v>
                </c:pt>
                <c:pt idx="102">
                  <c:v>0.99007999999999996</c:v>
                </c:pt>
                <c:pt idx="103">
                  <c:v>0.98812</c:v>
                </c:pt>
                <c:pt idx="104">
                  <c:v>0.98612</c:v>
                </c:pt>
                <c:pt idx="105">
                  <c:v>0.98421999999999998</c:v>
                </c:pt>
                <c:pt idx="106">
                  <c:v>0.98202</c:v>
                </c:pt>
                <c:pt idx="107">
                  <c:v>0.97955999999999999</c:v>
                </c:pt>
                <c:pt idx="108">
                  <c:v>0.97750000000000004</c:v>
                </c:pt>
                <c:pt idx="109">
                  <c:v>0.97494000000000003</c:v>
                </c:pt>
                <c:pt idx="110">
                  <c:v>0.97285999999999995</c:v>
                </c:pt>
                <c:pt idx="111">
                  <c:v>0.97033999999999998</c:v>
                </c:pt>
                <c:pt idx="112">
                  <c:v>0.96848000000000001</c:v>
                </c:pt>
                <c:pt idx="113">
                  <c:v>0.96582000000000001</c:v>
                </c:pt>
                <c:pt idx="114">
                  <c:v>0.96338000000000001</c:v>
                </c:pt>
                <c:pt idx="115">
                  <c:v>0.96130000000000004</c:v>
                </c:pt>
                <c:pt idx="116">
                  <c:v>0.95884000000000003</c:v>
                </c:pt>
                <c:pt idx="117">
                  <c:v>0.95657999999999999</c:v>
                </c:pt>
                <c:pt idx="118">
                  <c:v>0.95421999999999996</c:v>
                </c:pt>
                <c:pt idx="119">
                  <c:v>0.95199999999999996</c:v>
                </c:pt>
                <c:pt idx="120">
                  <c:v>0.95001999999999998</c:v>
                </c:pt>
                <c:pt idx="121">
                  <c:v>0.94782</c:v>
                </c:pt>
                <c:pt idx="122">
                  <c:v>0.94557999999999998</c:v>
                </c:pt>
                <c:pt idx="123">
                  <c:v>0.94313999999999998</c:v>
                </c:pt>
                <c:pt idx="124">
                  <c:v>0.94125999999999999</c:v>
                </c:pt>
                <c:pt idx="125">
                  <c:v>0.93957999999999997</c:v>
                </c:pt>
                <c:pt idx="126">
                  <c:v>0.93755999999999995</c:v>
                </c:pt>
                <c:pt idx="127">
                  <c:v>0.93528</c:v>
                </c:pt>
                <c:pt idx="128">
                  <c:v>0.93332000000000004</c:v>
                </c:pt>
                <c:pt idx="129">
                  <c:v>0.93133999999999995</c:v>
                </c:pt>
                <c:pt idx="130">
                  <c:v>0.92937999999999998</c:v>
                </c:pt>
                <c:pt idx="131">
                  <c:v>0.92769999999999997</c:v>
                </c:pt>
                <c:pt idx="132">
                  <c:v>0.92596000000000001</c:v>
                </c:pt>
                <c:pt idx="133">
                  <c:v>0.92413999999999996</c:v>
                </c:pt>
                <c:pt idx="134">
                  <c:v>0.92222000000000004</c:v>
                </c:pt>
                <c:pt idx="135">
                  <c:v>0.92047999999999996</c:v>
                </c:pt>
                <c:pt idx="136">
                  <c:v>0.91888000000000003</c:v>
                </c:pt>
                <c:pt idx="137">
                  <c:v>0.91674</c:v>
                </c:pt>
                <c:pt idx="138">
                  <c:v>0.91491999999999996</c:v>
                </c:pt>
                <c:pt idx="139">
                  <c:v>0.91354000000000002</c:v>
                </c:pt>
                <c:pt idx="140">
                  <c:v>0.91168000000000005</c:v>
                </c:pt>
                <c:pt idx="141">
                  <c:v>0.9103</c:v>
                </c:pt>
                <c:pt idx="142">
                  <c:v>0.90876000000000001</c:v>
                </c:pt>
                <c:pt idx="143">
                  <c:v>0.90761999999999998</c:v>
                </c:pt>
                <c:pt idx="144">
                  <c:v>0.90632000000000001</c:v>
                </c:pt>
                <c:pt idx="145">
                  <c:v>0.90488000000000002</c:v>
                </c:pt>
                <c:pt idx="146">
                  <c:v>0.90378000000000003</c:v>
                </c:pt>
                <c:pt idx="147">
                  <c:v>0.90264</c:v>
                </c:pt>
                <c:pt idx="148">
                  <c:v>0.90127999999999997</c:v>
                </c:pt>
                <c:pt idx="149">
                  <c:v>0.90002000000000004</c:v>
                </c:pt>
                <c:pt idx="150">
                  <c:v>0.89883999999999997</c:v>
                </c:pt>
                <c:pt idx="151">
                  <c:v>0.89781999999999995</c:v>
                </c:pt>
                <c:pt idx="152">
                  <c:v>0.89681999999999995</c:v>
                </c:pt>
                <c:pt idx="153">
                  <c:v>0.89583999999999997</c:v>
                </c:pt>
                <c:pt idx="154">
                  <c:v>0.89490000000000003</c:v>
                </c:pt>
                <c:pt idx="155">
                  <c:v>0.89410000000000001</c:v>
                </c:pt>
                <c:pt idx="156">
                  <c:v>0.89322000000000001</c:v>
                </c:pt>
                <c:pt idx="157">
                  <c:v>0.89251999999999998</c:v>
                </c:pt>
                <c:pt idx="158">
                  <c:v>0.89132</c:v>
                </c:pt>
                <c:pt idx="159">
                  <c:v>0.89068000000000003</c:v>
                </c:pt>
                <c:pt idx="160">
                  <c:v>0.89002000000000003</c:v>
                </c:pt>
                <c:pt idx="161">
                  <c:v>0.88946000000000003</c:v>
                </c:pt>
                <c:pt idx="162">
                  <c:v>0.88854</c:v>
                </c:pt>
                <c:pt idx="163">
                  <c:v>0.88795999999999997</c:v>
                </c:pt>
                <c:pt idx="164">
                  <c:v>0.88748000000000005</c:v>
                </c:pt>
                <c:pt idx="165">
                  <c:v>0.88688</c:v>
                </c:pt>
                <c:pt idx="166">
                  <c:v>0.88641999999999999</c:v>
                </c:pt>
                <c:pt idx="167">
                  <c:v>0.88592000000000004</c:v>
                </c:pt>
                <c:pt idx="168">
                  <c:v>0.88571999999999995</c:v>
                </c:pt>
                <c:pt idx="169">
                  <c:v>0.88500000000000001</c:v>
                </c:pt>
                <c:pt idx="170">
                  <c:v>0.88475999999999999</c:v>
                </c:pt>
                <c:pt idx="171">
                  <c:v>0.88461999999999996</c:v>
                </c:pt>
                <c:pt idx="172">
                  <c:v>0.88405999999999996</c:v>
                </c:pt>
                <c:pt idx="173">
                  <c:v>0.88397999999999999</c:v>
                </c:pt>
                <c:pt idx="174">
                  <c:v>0.88375999999999999</c:v>
                </c:pt>
                <c:pt idx="175">
                  <c:v>0.88382000000000005</c:v>
                </c:pt>
                <c:pt idx="176">
                  <c:v>0.88339999999999996</c:v>
                </c:pt>
                <c:pt idx="177">
                  <c:v>0.88329999999999997</c:v>
                </c:pt>
                <c:pt idx="178">
                  <c:v>0.88312000000000002</c:v>
                </c:pt>
                <c:pt idx="179">
                  <c:v>0.88314000000000004</c:v>
                </c:pt>
                <c:pt idx="180">
                  <c:v>0.88288</c:v>
                </c:pt>
                <c:pt idx="181">
                  <c:v>0.88288</c:v>
                </c:pt>
                <c:pt idx="182">
                  <c:v>0.88249999999999995</c:v>
                </c:pt>
                <c:pt idx="183">
                  <c:v>0.88244</c:v>
                </c:pt>
                <c:pt idx="184">
                  <c:v>0.88224000000000002</c:v>
                </c:pt>
                <c:pt idx="185">
                  <c:v>0.88183999999999996</c:v>
                </c:pt>
                <c:pt idx="186">
                  <c:v>0.88185999999999998</c:v>
                </c:pt>
                <c:pt idx="187">
                  <c:v>0.88146000000000002</c:v>
                </c:pt>
                <c:pt idx="188">
                  <c:v>0.88138000000000005</c:v>
                </c:pt>
                <c:pt idx="189">
                  <c:v>0.88139999999999996</c:v>
                </c:pt>
                <c:pt idx="190">
                  <c:v>0.88102000000000003</c:v>
                </c:pt>
                <c:pt idx="191">
                  <c:v>0.88092000000000004</c:v>
                </c:pt>
                <c:pt idx="192">
                  <c:v>0.88068000000000002</c:v>
                </c:pt>
                <c:pt idx="193">
                  <c:v>0.88056000000000001</c:v>
                </c:pt>
                <c:pt idx="194">
                  <c:v>0.88034000000000001</c:v>
                </c:pt>
                <c:pt idx="195">
                  <c:v>0.87992000000000004</c:v>
                </c:pt>
                <c:pt idx="196">
                  <c:v>0.87963999999999998</c:v>
                </c:pt>
                <c:pt idx="197">
                  <c:v>0.87917999999999996</c:v>
                </c:pt>
                <c:pt idx="198">
                  <c:v>0.87917999999999996</c:v>
                </c:pt>
                <c:pt idx="199">
                  <c:v>0.87924000000000002</c:v>
                </c:pt>
                <c:pt idx="200">
                  <c:v>0.87887999999999999</c:v>
                </c:pt>
                <c:pt idx="201">
                  <c:v>0.87871999999999995</c:v>
                </c:pt>
                <c:pt idx="202">
                  <c:v>0.87849999999999995</c:v>
                </c:pt>
                <c:pt idx="203">
                  <c:v>0.87848000000000004</c:v>
                </c:pt>
                <c:pt idx="204">
                  <c:v>0.87826000000000004</c:v>
                </c:pt>
                <c:pt idx="205">
                  <c:v>0.87826000000000004</c:v>
                </c:pt>
                <c:pt idx="206">
                  <c:v>0.87849999999999995</c:v>
                </c:pt>
                <c:pt idx="207">
                  <c:v>0.87860000000000005</c:v>
                </c:pt>
                <c:pt idx="208">
                  <c:v>0.87917999999999996</c:v>
                </c:pt>
                <c:pt idx="209">
                  <c:v>0.87948000000000004</c:v>
                </c:pt>
                <c:pt idx="210">
                  <c:v>0.88004000000000004</c:v>
                </c:pt>
                <c:pt idx="211">
                  <c:v>0.88061999999999996</c:v>
                </c:pt>
                <c:pt idx="212">
                  <c:v>0.88139999999999996</c:v>
                </c:pt>
                <c:pt idx="213">
                  <c:v>0.88224000000000002</c:v>
                </c:pt>
                <c:pt idx="214">
                  <c:v>0.88317999999999997</c:v>
                </c:pt>
                <c:pt idx="215">
                  <c:v>0.88446000000000002</c:v>
                </c:pt>
                <c:pt idx="216">
                  <c:v>0.88534000000000002</c:v>
                </c:pt>
                <c:pt idx="217">
                  <c:v>0.88673999999999997</c:v>
                </c:pt>
                <c:pt idx="218">
                  <c:v>0.88817999999999997</c:v>
                </c:pt>
                <c:pt idx="219">
                  <c:v>0.88963999999999999</c:v>
                </c:pt>
                <c:pt idx="220">
                  <c:v>0.89114000000000004</c:v>
                </c:pt>
                <c:pt idx="221">
                  <c:v>0.89258000000000004</c:v>
                </c:pt>
                <c:pt idx="222">
                  <c:v>0.89415999999999995</c:v>
                </c:pt>
                <c:pt idx="223">
                  <c:v>0.89612000000000003</c:v>
                </c:pt>
                <c:pt idx="224">
                  <c:v>0.89781999999999995</c:v>
                </c:pt>
                <c:pt idx="225">
                  <c:v>0.89942</c:v>
                </c:pt>
                <c:pt idx="226">
                  <c:v>0.90112000000000003</c:v>
                </c:pt>
                <c:pt idx="227">
                  <c:v>0.90268000000000004</c:v>
                </c:pt>
                <c:pt idx="228">
                  <c:v>0.90402000000000005</c:v>
                </c:pt>
                <c:pt idx="229">
                  <c:v>0.90547999999999995</c:v>
                </c:pt>
                <c:pt idx="230">
                  <c:v>0.90673999999999999</c:v>
                </c:pt>
                <c:pt idx="231">
                  <c:v>0.90780000000000005</c:v>
                </c:pt>
                <c:pt idx="232">
                  <c:v>0.90876000000000001</c:v>
                </c:pt>
                <c:pt idx="233">
                  <c:v>0.90958000000000006</c:v>
                </c:pt>
                <c:pt idx="234">
                  <c:v>0.91</c:v>
                </c:pt>
                <c:pt idx="235">
                  <c:v>0.91024000000000005</c:v>
                </c:pt>
                <c:pt idx="236">
                  <c:v>0.91057999999999995</c:v>
                </c:pt>
                <c:pt idx="237">
                  <c:v>0.91039999999999999</c:v>
                </c:pt>
                <c:pt idx="238">
                  <c:v>0.90998000000000001</c:v>
                </c:pt>
                <c:pt idx="239">
                  <c:v>0.90971999999999997</c:v>
                </c:pt>
                <c:pt idx="240">
                  <c:v>0.90893999999999997</c:v>
                </c:pt>
                <c:pt idx="241">
                  <c:v>0.90813999999999995</c:v>
                </c:pt>
                <c:pt idx="242">
                  <c:v>0.90732000000000002</c:v>
                </c:pt>
                <c:pt idx="243">
                  <c:v>0.90622000000000003</c:v>
                </c:pt>
                <c:pt idx="244">
                  <c:v>0.90510000000000002</c:v>
                </c:pt>
                <c:pt idx="245">
                  <c:v>0.90386</c:v>
                </c:pt>
                <c:pt idx="246">
                  <c:v>0.90258000000000005</c:v>
                </c:pt>
                <c:pt idx="247">
                  <c:v>0.90122000000000002</c:v>
                </c:pt>
                <c:pt idx="248">
                  <c:v>0.89978000000000002</c:v>
                </c:pt>
                <c:pt idx="249">
                  <c:v>0.89859999999999995</c:v>
                </c:pt>
                <c:pt idx="250">
                  <c:v>0.89712000000000003</c:v>
                </c:pt>
                <c:pt idx="251">
                  <c:v>0.89556000000000002</c:v>
                </c:pt>
                <c:pt idx="252">
                  <c:v>0.89395999999999998</c:v>
                </c:pt>
                <c:pt idx="253">
                  <c:v>0.89239999999999997</c:v>
                </c:pt>
                <c:pt idx="254">
                  <c:v>0.89059999999999995</c:v>
                </c:pt>
                <c:pt idx="255">
                  <c:v>0.88892000000000004</c:v>
                </c:pt>
                <c:pt idx="256">
                  <c:v>0.88724000000000003</c:v>
                </c:pt>
                <c:pt idx="257">
                  <c:v>0.88546000000000002</c:v>
                </c:pt>
                <c:pt idx="258">
                  <c:v>0.88378000000000001</c:v>
                </c:pt>
                <c:pt idx="259">
                  <c:v>0.88207999999999998</c:v>
                </c:pt>
                <c:pt idx="260">
                  <c:v>0.88051999999999997</c:v>
                </c:pt>
                <c:pt idx="261">
                  <c:v>0.87912000000000001</c:v>
                </c:pt>
                <c:pt idx="262">
                  <c:v>0.87795999999999996</c:v>
                </c:pt>
                <c:pt idx="263">
                  <c:v>0.87692000000000003</c:v>
                </c:pt>
                <c:pt idx="264">
                  <c:v>0.876</c:v>
                </c:pt>
                <c:pt idx="265">
                  <c:v>0.87539999999999996</c:v>
                </c:pt>
                <c:pt idx="266">
                  <c:v>0.875</c:v>
                </c:pt>
                <c:pt idx="267">
                  <c:v>0.87478</c:v>
                </c:pt>
                <c:pt idx="268">
                  <c:v>0.87472000000000005</c:v>
                </c:pt>
                <c:pt idx="269">
                  <c:v>0.87487999999999999</c:v>
                </c:pt>
                <c:pt idx="270">
                  <c:v>0.87509999999999999</c:v>
                </c:pt>
                <c:pt idx="271">
                  <c:v>0.87529999999999997</c:v>
                </c:pt>
                <c:pt idx="272">
                  <c:v>0.87548000000000004</c:v>
                </c:pt>
                <c:pt idx="273">
                  <c:v>0.87580000000000002</c:v>
                </c:pt>
                <c:pt idx="274">
                  <c:v>0.87594000000000005</c:v>
                </c:pt>
                <c:pt idx="275">
                  <c:v>0.87612000000000001</c:v>
                </c:pt>
                <c:pt idx="276">
                  <c:v>0.87638000000000005</c:v>
                </c:pt>
                <c:pt idx="277">
                  <c:v>0.87670000000000003</c:v>
                </c:pt>
                <c:pt idx="278">
                  <c:v>0.87702000000000002</c:v>
                </c:pt>
                <c:pt idx="279">
                  <c:v>0.87722</c:v>
                </c:pt>
                <c:pt idx="280">
                  <c:v>0.87719999999999998</c:v>
                </c:pt>
                <c:pt idx="281">
                  <c:v>0.87673999999999996</c:v>
                </c:pt>
                <c:pt idx="282">
                  <c:v>0.87582000000000004</c:v>
                </c:pt>
                <c:pt idx="283">
                  <c:v>0.87448000000000004</c:v>
                </c:pt>
                <c:pt idx="284">
                  <c:v>0.87216000000000005</c:v>
                </c:pt>
                <c:pt idx="285">
                  <c:v>0.86983999999999995</c:v>
                </c:pt>
                <c:pt idx="286">
                  <c:v>0.86692000000000002</c:v>
                </c:pt>
                <c:pt idx="287">
                  <c:v>0.86338000000000004</c:v>
                </c:pt>
                <c:pt idx="288">
                  <c:v>0.85973999999999995</c:v>
                </c:pt>
                <c:pt idx="289">
                  <c:v>0.85562000000000005</c:v>
                </c:pt>
                <c:pt idx="290">
                  <c:v>0.85184000000000004</c:v>
                </c:pt>
                <c:pt idx="291">
                  <c:v>0.84741999999999995</c:v>
                </c:pt>
                <c:pt idx="292">
                  <c:v>0.84355999999999998</c:v>
                </c:pt>
                <c:pt idx="293">
                  <c:v>0.83943999999999996</c:v>
                </c:pt>
                <c:pt idx="294">
                  <c:v>0.83543999999999996</c:v>
                </c:pt>
                <c:pt idx="295">
                  <c:v>0.83189999999999997</c:v>
                </c:pt>
                <c:pt idx="296">
                  <c:v>0.82840000000000003</c:v>
                </c:pt>
                <c:pt idx="297">
                  <c:v>0.82491999999999999</c:v>
                </c:pt>
                <c:pt idx="298">
                  <c:v>0.82196000000000002</c:v>
                </c:pt>
                <c:pt idx="299">
                  <c:v>0.81889999999999996</c:v>
                </c:pt>
                <c:pt idx="300">
                  <c:v>0.81599999999999995</c:v>
                </c:pt>
                <c:pt idx="301">
                  <c:v>0.81335999999999997</c:v>
                </c:pt>
                <c:pt idx="302">
                  <c:v>0.81088000000000005</c:v>
                </c:pt>
                <c:pt idx="303">
                  <c:v>0.80866000000000005</c:v>
                </c:pt>
                <c:pt idx="304">
                  <c:v>0.80635999999999997</c:v>
                </c:pt>
                <c:pt idx="305">
                  <c:v>0.80415999999999999</c:v>
                </c:pt>
                <c:pt idx="306">
                  <c:v>0.80210000000000004</c:v>
                </c:pt>
                <c:pt idx="307">
                  <c:v>0.80008000000000001</c:v>
                </c:pt>
                <c:pt idx="308">
                  <c:v>0.79810000000000003</c:v>
                </c:pt>
                <c:pt idx="309">
                  <c:v>0.79637999999999998</c:v>
                </c:pt>
                <c:pt idx="310">
                  <c:v>0.79464000000000001</c:v>
                </c:pt>
                <c:pt idx="311">
                  <c:v>0.79310000000000003</c:v>
                </c:pt>
                <c:pt idx="312">
                  <c:v>0.79156000000000004</c:v>
                </c:pt>
                <c:pt idx="313">
                  <c:v>0.78981999999999997</c:v>
                </c:pt>
                <c:pt idx="314">
                  <c:v>0.78835999999999995</c:v>
                </c:pt>
                <c:pt idx="315">
                  <c:v>0.78710000000000002</c:v>
                </c:pt>
                <c:pt idx="316">
                  <c:v>0.78573999999999999</c:v>
                </c:pt>
                <c:pt idx="317">
                  <c:v>0.78422000000000003</c:v>
                </c:pt>
                <c:pt idx="318">
                  <c:v>0.78280000000000005</c:v>
                </c:pt>
                <c:pt idx="319">
                  <c:v>0.78137999999999996</c:v>
                </c:pt>
                <c:pt idx="320">
                  <c:v>0.78010000000000002</c:v>
                </c:pt>
                <c:pt idx="321">
                  <c:v>0.77878000000000003</c:v>
                </c:pt>
                <c:pt idx="322">
                  <c:v>0.77739999999999998</c:v>
                </c:pt>
                <c:pt idx="323">
                  <c:v>0.77622000000000002</c:v>
                </c:pt>
                <c:pt idx="324">
                  <c:v>0.77517999999999998</c:v>
                </c:pt>
                <c:pt idx="325">
                  <c:v>0.77395999999999998</c:v>
                </c:pt>
                <c:pt idx="326">
                  <c:v>0.77273999999999998</c:v>
                </c:pt>
                <c:pt idx="327">
                  <c:v>0.77146000000000003</c:v>
                </c:pt>
                <c:pt idx="328">
                  <c:v>0.77025999999999994</c:v>
                </c:pt>
                <c:pt idx="329">
                  <c:v>0.76919999999999999</c:v>
                </c:pt>
                <c:pt idx="330">
                  <c:v>0.76792000000000005</c:v>
                </c:pt>
                <c:pt idx="331">
                  <c:v>0.76681999999999995</c:v>
                </c:pt>
                <c:pt idx="332">
                  <c:v>0.76578000000000002</c:v>
                </c:pt>
                <c:pt idx="333">
                  <c:v>0.76458000000000004</c:v>
                </c:pt>
                <c:pt idx="334">
                  <c:v>0.76336000000000004</c:v>
                </c:pt>
                <c:pt idx="335">
                  <c:v>0.76217999999999997</c:v>
                </c:pt>
                <c:pt idx="336">
                  <c:v>0.76104000000000005</c:v>
                </c:pt>
                <c:pt idx="337">
                  <c:v>0.75992000000000004</c:v>
                </c:pt>
                <c:pt idx="338">
                  <c:v>0.75871999999999995</c:v>
                </c:pt>
                <c:pt idx="339">
                  <c:v>0.75771999999999995</c:v>
                </c:pt>
                <c:pt idx="340">
                  <c:v>0.75661999999999996</c:v>
                </c:pt>
                <c:pt idx="341">
                  <c:v>0.75546000000000002</c:v>
                </c:pt>
                <c:pt idx="342">
                  <c:v>0.75436000000000003</c:v>
                </c:pt>
                <c:pt idx="343">
                  <c:v>0.75349999999999995</c:v>
                </c:pt>
                <c:pt idx="344">
                  <c:v>0.75244</c:v>
                </c:pt>
                <c:pt idx="345">
                  <c:v>0.75126000000000004</c:v>
                </c:pt>
                <c:pt idx="346">
                  <c:v>0.75027999999999995</c:v>
                </c:pt>
                <c:pt idx="347">
                  <c:v>0.749</c:v>
                </c:pt>
                <c:pt idx="348">
                  <c:v>0.74809999999999999</c:v>
                </c:pt>
                <c:pt idx="349">
                  <c:v>0.74714000000000003</c:v>
                </c:pt>
                <c:pt idx="350">
                  <c:v>0.74604000000000004</c:v>
                </c:pt>
                <c:pt idx="351">
                  <c:v>0.74490000000000001</c:v>
                </c:pt>
                <c:pt idx="352">
                  <c:v>0.74392000000000003</c:v>
                </c:pt>
                <c:pt idx="353">
                  <c:v>0.74292000000000002</c:v>
                </c:pt>
                <c:pt idx="354">
                  <c:v>0.74180000000000001</c:v>
                </c:pt>
                <c:pt idx="355">
                  <c:v>0.74072000000000005</c:v>
                </c:pt>
                <c:pt idx="356">
                  <c:v>0.74</c:v>
                </c:pt>
                <c:pt idx="357">
                  <c:v>0.73902000000000001</c:v>
                </c:pt>
                <c:pt idx="358">
                  <c:v>0.73775999999999997</c:v>
                </c:pt>
                <c:pt idx="359">
                  <c:v>0.73670000000000002</c:v>
                </c:pt>
                <c:pt idx="360">
                  <c:v>0.73573999999999995</c:v>
                </c:pt>
                <c:pt idx="361">
                  <c:v>0.73514000000000002</c:v>
                </c:pt>
                <c:pt idx="362">
                  <c:v>0.73406000000000005</c:v>
                </c:pt>
                <c:pt idx="363">
                  <c:v>0.73306000000000004</c:v>
                </c:pt>
                <c:pt idx="364">
                  <c:v>0.73207999999999995</c:v>
                </c:pt>
                <c:pt idx="365">
                  <c:v>0.73102</c:v>
                </c:pt>
                <c:pt idx="366">
                  <c:v>0.73002</c:v>
                </c:pt>
                <c:pt idx="367">
                  <c:v>0.72911999999999999</c:v>
                </c:pt>
                <c:pt idx="368">
                  <c:v>0.72818000000000005</c:v>
                </c:pt>
                <c:pt idx="369">
                  <c:v>0.72724</c:v>
                </c:pt>
                <c:pt idx="370">
                  <c:v>0.72621999999999998</c:v>
                </c:pt>
                <c:pt idx="371">
                  <c:v>0.72538000000000002</c:v>
                </c:pt>
                <c:pt idx="372">
                  <c:v>0.72445999999999999</c:v>
                </c:pt>
                <c:pt idx="373">
                  <c:v>0.72331999999999996</c:v>
                </c:pt>
                <c:pt idx="374">
                  <c:v>0.72230000000000005</c:v>
                </c:pt>
                <c:pt idx="375">
                  <c:v>0.72143999999999997</c:v>
                </c:pt>
                <c:pt idx="376">
                  <c:v>0.72052000000000005</c:v>
                </c:pt>
                <c:pt idx="377">
                  <c:v>0.71960000000000002</c:v>
                </c:pt>
                <c:pt idx="378">
                  <c:v>0.71850000000000003</c:v>
                </c:pt>
                <c:pt idx="379">
                  <c:v>0.71752000000000005</c:v>
                </c:pt>
                <c:pt idx="380">
                  <c:v>0.71675999999999995</c:v>
                </c:pt>
                <c:pt idx="381">
                  <c:v>0.71557999999999999</c:v>
                </c:pt>
                <c:pt idx="382">
                  <c:v>0.71499999999999997</c:v>
                </c:pt>
                <c:pt idx="383">
                  <c:v>0.71374000000000004</c:v>
                </c:pt>
                <c:pt idx="384">
                  <c:v>0.71289999999999998</c:v>
                </c:pt>
                <c:pt idx="385">
                  <c:v>0.71197999999999995</c:v>
                </c:pt>
                <c:pt idx="386">
                  <c:v>0.71096000000000004</c:v>
                </c:pt>
                <c:pt idx="387">
                  <c:v>0.70989999999999998</c:v>
                </c:pt>
                <c:pt idx="388">
                  <c:v>0.70909999999999995</c:v>
                </c:pt>
                <c:pt idx="389">
                  <c:v>0.70831999999999995</c:v>
                </c:pt>
                <c:pt idx="390">
                  <c:v>0.70723999999999998</c:v>
                </c:pt>
                <c:pt idx="391">
                  <c:v>0.70623999999999998</c:v>
                </c:pt>
                <c:pt idx="392">
                  <c:v>0.70531999999999995</c:v>
                </c:pt>
                <c:pt idx="393">
                  <c:v>0.70443999999999996</c:v>
                </c:pt>
                <c:pt idx="394">
                  <c:v>0.70343999999999995</c:v>
                </c:pt>
                <c:pt idx="395">
                  <c:v>0.70247999999999999</c:v>
                </c:pt>
                <c:pt idx="396">
                  <c:v>0.7016</c:v>
                </c:pt>
                <c:pt idx="397">
                  <c:v>0.70065999999999995</c:v>
                </c:pt>
                <c:pt idx="398">
                  <c:v>0.69991999999999999</c:v>
                </c:pt>
                <c:pt idx="399">
                  <c:v>0.69891999999999999</c:v>
                </c:pt>
                <c:pt idx="400">
                  <c:v>0.69796000000000002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DE6-408E-80C6-9165C6BD0725}"/>
            </c:ext>
          </c:extLst>
        </c:ser>
        <c:ser>
          <c:idx val="13"/>
          <c:order val="13"/>
          <c:tx>
            <c:strRef>
              <c:f>'Pig graph '!$AH$1</c:f>
              <c:strCache>
                <c:ptCount val="1"/>
                <c:pt idx="0">
                  <c:v>s14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'!$AH$2:$AH$402</c:f>
              <c:numCache>
                <c:formatCode>General</c:formatCode>
                <c:ptCount val="401"/>
                <c:pt idx="0">
                  <c:v>0.98595999999999995</c:v>
                </c:pt>
                <c:pt idx="1">
                  <c:v>0.9859</c:v>
                </c:pt>
                <c:pt idx="2">
                  <c:v>0.98648000000000002</c:v>
                </c:pt>
                <c:pt idx="3">
                  <c:v>0.98748000000000002</c:v>
                </c:pt>
                <c:pt idx="4">
                  <c:v>0.98675999999999997</c:v>
                </c:pt>
                <c:pt idx="5">
                  <c:v>0.98748000000000002</c:v>
                </c:pt>
                <c:pt idx="6">
                  <c:v>0.98806000000000005</c:v>
                </c:pt>
                <c:pt idx="7">
                  <c:v>0.98980000000000001</c:v>
                </c:pt>
                <c:pt idx="8">
                  <c:v>0.99024000000000001</c:v>
                </c:pt>
                <c:pt idx="9">
                  <c:v>0.99077999999999999</c:v>
                </c:pt>
                <c:pt idx="10">
                  <c:v>0.99158000000000002</c:v>
                </c:pt>
                <c:pt idx="11">
                  <c:v>0.99292000000000002</c:v>
                </c:pt>
                <c:pt idx="12">
                  <c:v>0.99380000000000002</c:v>
                </c:pt>
                <c:pt idx="13">
                  <c:v>0.99536000000000002</c:v>
                </c:pt>
                <c:pt idx="14">
                  <c:v>0.99605999999999995</c:v>
                </c:pt>
                <c:pt idx="15">
                  <c:v>0.99680000000000002</c:v>
                </c:pt>
                <c:pt idx="16">
                  <c:v>0.99802000000000002</c:v>
                </c:pt>
                <c:pt idx="17">
                  <c:v>1.00068</c:v>
                </c:pt>
                <c:pt idx="18">
                  <c:v>1.0009999999999999</c:v>
                </c:pt>
                <c:pt idx="19">
                  <c:v>1.0016799999999999</c:v>
                </c:pt>
                <c:pt idx="20">
                  <c:v>1.0021599999999999</c:v>
                </c:pt>
                <c:pt idx="21">
                  <c:v>1.00284</c:v>
                </c:pt>
                <c:pt idx="22">
                  <c:v>1.0033000000000001</c:v>
                </c:pt>
                <c:pt idx="23">
                  <c:v>1.00434</c:v>
                </c:pt>
                <c:pt idx="24">
                  <c:v>1.00406</c:v>
                </c:pt>
                <c:pt idx="25">
                  <c:v>1.0050399999999999</c:v>
                </c:pt>
                <c:pt idx="26">
                  <c:v>1.00576</c:v>
                </c:pt>
                <c:pt idx="27">
                  <c:v>1.0062199999999999</c:v>
                </c:pt>
                <c:pt idx="28">
                  <c:v>1.00766</c:v>
                </c:pt>
                <c:pt idx="29">
                  <c:v>1.00824</c:v>
                </c:pt>
                <c:pt idx="30">
                  <c:v>1.00854</c:v>
                </c:pt>
                <c:pt idx="31">
                  <c:v>1.0106599999999999</c:v>
                </c:pt>
                <c:pt idx="32">
                  <c:v>1.0113799999999999</c:v>
                </c:pt>
                <c:pt idx="33">
                  <c:v>1.0128999999999999</c:v>
                </c:pt>
                <c:pt idx="34">
                  <c:v>1.0134000000000001</c:v>
                </c:pt>
                <c:pt idx="35">
                  <c:v>1.0145</c:v>
                </c:pt>
                <c:pt idx="36">
                  <c:v>1.01596</c:v>
                </c:pt>
                <c:pt idx="37">
                  <c:v>1.0169999999999999</c:v>
                </c:pt>
                <c:pt idx="38">
                  <c:v>1.01752</c:v>
                </c:pt>
                <c:pt idx="39">
                  <c:v>1.0177</c:v>
                </c:pt>
                <c:pt idx="40">
                  <c:v>1.01786</c:v>
                </c:pt>
                <c:pt idx="41">
                  <c:v>1.0178</c:v>
                </c:pt>
                <c:pt idx="42">
                  <c:v>1.01752</c:v>
                </c:pt>
                <c:pt idx="43">
                  <c:v>1.0164200000000001</c:v>
                </c:pt>
                <c:pt idx="44">
                  <c:v>1.01556</c:v>
                </c:pt>
                <c:pt idx="45">
                  <c:v>1.0134799999999999</c:v>
                </c:pt>
                <c:pt idx="46">
                  <c:v>1.0121800000000001</c:v>
                </c:pt>
                <c:pt idx="47">
                  <c:v>1.01058</c:v>
                </c:pt>
                <c:pt idx="48">
                  <c:v>1.0084200000000001</c:v>
                </c:pt>
                <c:pt idx="49">
                  <c:v>1.0064599999999999</c:v>
                </c:pt>
                <c:pt idx="50">
                  <c:v>1.0041800000000001</c:v>
                </c:pt>
                <c:pt idx="51">
                  <c:v>1.0020800000000001</c:v>
                </c:pt>
                <c:pt idx="52">
                  <c:v>1.0000599999999999</c:v>
                </c:pt>
                <c:pt idx="53">
                  <c:v>0.99819999999999998</c:v>
                </c:pt>
                <c:pt idx="54">
                  <c:v>0.99663999999999997</c:v>
                </c:pt>
                <c:pt idx="55">
                  <c:v>0.99502000000000002</c:v>
                </c:pt>
                <c:pt idx="56">
                  <c:v>0.99356</c:v>
                </c:pt>
                <c:pt idx="57">
                  <c:v>0.99261999999999995</c:v>
                </c:pt>
                <c:pt idx="58">
                  <c:v>0.99139999999999995</c:v>
                </c:pt>
                <c:pt idx="59">
                  <c:v>0.99041999999999997</c:v>
                </c:pt>
                <c:pt idx="60">
                  <c:v>0.98897999999999997</c:v>
                </c:pt>
                <c:pt idx="61">
                  <c:v>0.98826000000000003</c:v>
                </c:pt>
                <c:pt idx="62">
                  <c:v>0.98695999999999995</c:v>
                </c:pt>
                <c:pt idx="63">
                  <c:v>0.98595999999999995</c:v>
                </c:pt>
                <c:pt idx="64">
                  <c:v>0.98492000000000002</c:v>
                </c:pt>
                <c:pt idx="65">
                  <c:v>0.98373999999999995</c:v>
                </c:pt>
                <c:pt idx="66">
                  <c:v>0.98263999999999996</c:v>
                </c:pt>
                <c:pt idx="67">
                  <c:v>0.98119999999999996</c:v>
                </c:pt>
                <c:pt idx="68">
                  <c:v>0.97994000000000003</c:v>
                </c:pt>
                <c:pt idx="69">
                  <c:v>0.97840000000000005</c:v>
                </c:pt>
                <c:pt idx="70">
                  <c:v>0.97702</c:v>
                </c:pt>
                <c:pt idx="71">
                  <c:v>0.9758</c:v>
                </c:pt>
                <c:pt idx="72">
                  <c:v>0.97416000000000003</c:v>
                </c:pt>
                <c:pt idx="73">
                  <c:v>0.97265999999999997</c:v>
                </c:pt>
                <c:pt idx="74">
                  <c:v>0.97155999999999998</c:v>
                </c:pt>
                <c:pt idx="75">
                  <c:v>0.96994000000000002</c:v>
                </c:pt>
                <c:pt idx="76">
                  <c:v>0.96894000000000002</c:v>
                </c:pt>
                <c:pt idx="77">
                  <c:v>0.96784000000000003</c:v>
                </c:pt>
                <c:pt idx="78">
                  <c:v>0.96657999999999999</c:v>
                </c:pt>
                <c:pt idx="79">
                  <c:v>0.96552000000000004</c:v>
                </c:pt>
                <c:pt idx="80">
                  <c:v>0.96455999999999997</c:v>
                </c:pt>
                <c:pt idx="81">
                  <c:v>0.96374000000000004</c:v>
                </c:pt>
                <c:pt idx="82">
                  <c:v>0.96279999999999999</c:v>
                </c:pt>
                <c:pt idx="83">
                  <c:v>0.96221999999999996</c:v>
                </c:pt>
                <c:pt idx="84">
                  <c:v>0.96182000000000001</c:v>
                </c:pt>
                <c:pt idx="85">
                  <c:v>0.96109999999999995</c:v>
                </c:pt>
                <c:pt idx="86">
                  <c:v>0.96075999999999995</c:v>
                </c:pt>
                <c:pt idx="87">
                  <c:v>0.95977999999999997</c:v>
                </c:pt>
                <c:pt idx="88">
                  <c:v>0.95994000000000002</c:v>
                </c:pt>
                <c:pt idx="89">
                  <c:v>0.95935999999999999</c:v>
                </c:pt>
                <c:pt idx="90">
                  <c:v>0.95877999999999997</c:v>
                </c:pt>
                <c:pt idx="91">
                  <c:v>0.95816000000000001</c:v>
                </c:pt>
                <c:pt idx="92">
                  <c:v>0.95779999999999998</c:v>
                </c:pt>
                <c:pt idx="93">
                  <c:v>0.95694000000000001</c:v>
                </c:pt>
                <c:pt idx="94">
                  <c:v>0.95618000000000003</c:v>
                </c:pt>
                <c:pt idx="95">
                  <c:v>0.95548</c:v>
                </c:pt>
                <c:pt idx="96">
                  <c:v>0.95426</c:v>
                </c:pt>
                <c:pt idx="97">
                  <c:v>0.95291999999999999</c:v>
                </c:pt>
                <c:pt idx="98">
                  <c:v>0.95177999999999996</c:v>
                </c:pt>
                <c:pt idx="99">
                  <c:v>0.95067999999999997</c:v>
                </c:pt>
                <c:pt idx="100">
                  <c:v>0.94921999999999995</c:v>
                </c:pt>
                <c:pt idx="101">
                  <c:v>0.94764000000000004</c:v>
                </c:pt>
                <c:pt idx="102">
                  <c:v>0.94567999999999997</c:v>
                </c:pt>
                <c:pt idx="103">
                  <c:v>0.94406000000000001</c:v>
                </c:pt>
                <c:pt idx="104">
                  <c:v>0.94220000000000004</c:v>
                </c:pt>
                <c:pt idx="105">
                  <c:v>0.94045999999999996</c:v>
                </c:pt>
                <c:pt idx="106">
                  <c:v>0.93847999999999998</c:v>
                </c:pt>
                <c:pt idx="107">
                  <c:v>0.93611999999999995</c:v>
                </c:pt>
                <c:pt idx="108">
                  <c:v>0.93400000000000005</c:v>
                </c:pt>
                <c:pt idx="109">
                  <c:v>0.93188000000000004</c:v>
                </c:pt>
                <c:pt idx="110">
                  <c:v>0.92989999999999995</c:v>
                </c:pt>
                <c:pt idx="111">
                  <c:v>0.92767999999999995</c:v>
                </c:pt>
                <c:pt idx="112">
                  <c:v>0.92578000000000005</c:v>
                </c:pt>
                <c:pt idx="113">
                  <c:v>0.92349999999999999</c:v>
                </c:pt>
                <c:pt idx="114">
                  <c:v>0.92105999999999999</c:v>
                </c:pt>
                <c:pt idx="115">
                  <c:v>0.91944000000000004</c:v>
                </c:pt>
                <c:pt idx="116">
                  <c:v>0.91720000000000002</c:v>
                </c:pt>
                <c:pt idx="117">
                  <c:v>0.91510000000000002</c:v>
                </c:pt>
                <c:pt idx="118">
                  <c:v>0.91288000000000002</c:v>
                </c:pt>
                <c:pt idx="119">
                  <c:v>0.91091999999999995</c:v>
                </c:pt>
                <c:pt idx="120">
                  <c:v>0.90883999999999998</c:v>
                </c:pt>
                <c:pt idx="121">
                  <c:v>0.90691999999999995</c:v>
                </c:pt>
                <c:pt idx="122">
                  <c:v>0.90490000000000004</c:v>
                </c:pt>
                <c:pt idx="123">
                  <c:v>0.90291999999999994</c:v>
                </c:pt>
                <c:pt idx="124">
                  <c:v>0.90115999999999996</c:v>
                </c:pt>
                <c:pt idx="125">
                  <c:v>0.89932000000000001</c:v>
                </c:pt>
                <c:pt idx="126">
                  <c:v>0.89749999999999996</c:v>
                </c:pt>
                <c:pt idx="127">
                  <c:v>0.89559999999999995</c:v>
                </c:pt>
                <c:pt idx="128">
                  <c:v>0.89385999999999999</c:v>
                </c:pt>
                <c:pt idx="129">
                  <c:v>0.89190000000000003</c:v>
                </c:pt>
                <c:pt idx="130">
                  <c:v>0.89027999999999996</c:v>
                </c:pt>
                <c:pt idx="131">
                  <c:v>0.88875999999999999</c:v>
                </c:pt>
                <c:pt idx="132">
                  <c:v>0.88712000000000002</c:v>
                </c:pt>
                <c:pt idx="133">
                  <c:v>0.88527999999999996</c:v>
                </c:pt>
                <c:pt idx="134">
                  <c:v>0.88353999999999999</c:v>
                </c:pt>
                <c:pt idx="135">
                  <c:v>0.88207999999999998</c:v>
                </c:pt>
                <c:pt idx="136">
                  <c:v>0.88068000000000002</c:v>
                </c:pt>
                <c:pt idx="137">
                  <c:v>0.87836000000000003</c:v>
                </c:pt>
                <c:pt idx="138">
                  <c:v>0.87658000000000003</c:v>
                </c:pt>
                <c:pt idx="139">
                  <c:v>0.87551999999999996</c:v>
                </c:pt>
                <c:pt idx="140">
                  <c:v>0.87394000000000005</c:v>
                </c:pt>
                <c:pt idx="141">
                  <c:v>0.87256</c:v>
                </c:pt>
                <c:pt idx="142">
                  <c:v>0.87121999999999999</c:v>
                </c:pt>
                <c:pt idx="143">
                  <c:v>0.87005999999999994</c:v>
                </c:pt>
                <c:pt idx="144">
                  <c:v>0.86890000000000001</c:v>
                </c:pt>
                <c:pt idx="145">
                  <c:v>0.86761999999999995</c:v>
                </c:pt>
                <c:pt idx="146">
                  <c:v>0.86648000000000003</c:v>
                </c:pt>
                <c:pt idx="147">
                  <c:v>0.86543999999999999</c:v>
                </c:pt>
                <c:pt idx="148">
                  <c:v>0.86434</c:v>
                </c:pt>
                <c:pt idx="149">
                  <c:v>0.86316000000000004</c:v>
                </c:pt>
                <c:pt idx="150">
                  <c:v>0.86204000000000003</c:v>
                </c:pt>
                <c:pt idx="151">
                  <c:v>0.86106000000000005</c:v>
                </c:pt>
                <c:pt idx="152">
                  <c:v>0.85984000000000005</c:v>
                </c:pt>
                <c:pt idx="153">
                  <c:v>0.85892000000000002</c:v>
                </c:pt>
                <c:pt idx="154">
                  <c:v>0.85824</c:v>
                </c:pt>
                <c:pt idx="155">
                  <c:v>0.85729999999999995</c:v>
                </c:pt>
                <c:pt idx="156">
                  <c:v>0.85619999999999996</c:v>
                </c:pt>
                <c:pt idx="157">
                  <c:v>0.85562000000000005</c:v>
                </c:pt>
                <c:pt idx="158">
                  <c:v>0.8548</c:v>
                </c:pt>
                <c:pt idx="159">
                  <c:v>0.85421999999999998</c:v>
                </c:pt>
                <c:pt idx="160">
                  <c:v>0.85358000000000001</c:v>
                </c:pt>
                <c:pt idx="161">
                  <c:v>0.85306000000000004</c:v>
                </c:pt>
                <c:pt idx="162">
                  <c:v>0.85224</c:v>
                </c:pt>
                <c:pt idx="163">
                  <c:v>0.85143999999999997</c:v>
                </c:pt>
                <c:pt idx="164">
                  <c:v>0.85109999999999997</c:v>
                </c:pt>
                <c:pt idx="165">
                  <c:v>0.85052000000000005</c:v>
                </c:pt>
                <c:pt idx="166">
                  <c:v>0.85009999999999997</c:v>
                </c:pt>
                <c:pt idx="167">
                  <c:v>0.84936</c:v>
                </c:pt>
                <c:pt idx="168">
                  <c:v>0.84911999999999999</c:v>
                </c:pt>
                <c:pt idx="169">
                  <c:v>0.84838000000000002</c:v>
                </c:pt>
                <c:pt idx="170">
                  <c:v>0.84799999999999998</c:v>
                </c:pt>
                <c:pt idx="171">
                  <c:v>0.84799999999999998</c:v>
                </c:pt>
                <c:pt idx="172">
                  <c:v>0.84748000000000001</c:v>
                </c:pt>
                <c:pt idx="173">
                  <c:v>0.84731999999999996</c:v>
                </c:pt>
                <c:pt idx="174">
                  <c:v>0.84702</c:v>
                </c:pt>
                <c:pt idx="175">
                  <c:v>0.84689999999999999</c:v>
                </c:pt>
                <c:pt idx="176">
                  <c:v>0.84667999999999999</c:v>
                </c:pt>
                <c:pt idx="177">
                  <c:v>0.84633999999999998</c:v>
                </c:pt>
                <c:pt idx="178">
                  <c:v>0.84614</c:v>
                </c:pt>
                <c:pt idx="179">
                  <c:v>0.84606000000000003</c:v>
                </c:pt>
                <c:pt idx="180">
                  <c:v>0.84592000000000001</c:v>
                </c:pt>
                <c:pt idx="181">
                  <c:v>0.84575999999999996</c:v>
                </c:pt>
                <c:pt idx="182">
                  <c:v>0.84536</c:v>
                </c:pt>
                <c:pt idx="183">
                  <c:v>0.84523999999999999</c:v>
                </c:pt>
                <c:pt idx="184">
                  <c:v>0.84484000000000004</c:v>
                </c:pt>
                <c:pt idx="185">
                  <c:v>0.84441999999999995</c:v>
                </c:pt>
                <c:pt idx="186">
                  <c:v>0.84441999999999995</c:v>
                </c:pt>
                <c:pt idx="187">
                  <c:v>0.84411999999999998</c:v>
                </c:pt>
                <c:pt idx="188">
                  <c:v>0.84401999999999999</c:v>
                </c:pt>
                <c:pt idx="189">
                  <c:v>0.84394000000000002</c:v>
                </c:pt>
                <c:pt idx="190">
                  <c:v>0.84372000000000003</c:v>
                </c:pt>
                <c:pt idx="191">
                  <c:v>0.84348000000000001</c:v>
                </c:pt>
                <c:pt idx="192">
                  <c:v>0.84309999999999996</c:v>
                </c:pt>
                <c:pt idx="193">
                  <c:v>0.84289999999999998</c:v>
                </c:pt>
                <c:pt idx="194">
                  <c:v>0.84292</c:v>
                </c:pt>
                <c:pt idx="195">
                  <c:v>0.84277999999999997</c:v>
                </c:pt>
                <c:pt idx="196">
                  <c:v>0.84226000000000001</c:v>
                </c:pt>
                <c:pt idx="197">
                  <c:v>0.84187999999999996</c:v>
                </c:pt>
                <c:pt idx="198">
                  <c:v>0.84162000000000003</c:v>
                </c:pt>
                <c:pt idx="199">
                  <c:v>0.84164000000000005</c:v>
                </c:pt>
                <c:pt idx="200">
                  <c:v>0.84106000000000003</c:v>
                </c:pt>
                <c:pt idx="201">
                  <c:v>0.84094000000000002</c:v>
                </c:pt>
                <c:pt idx="202">
                  <c:v>0.84064000000000005</c:v>
                </c:pt>
                <c:pt idx="203">
                  <c:v>0.8407</c:v>
                </c:pt>
                <c:pt idx="204">
                  <c:v>0.84048</c:v>
                </c:pt>
                <c:pt idx="205">
                  <c:v>0.84033999999999998</c:v>
                </c:pt>
                <c:pt idx="206">
                  <c:v>0.84057999999999999</c:v>
                </c:pt>
                <c:pt idx="207">
                  <c:v>0.84052000000000004</c:v>
                </c:pt>
                <c:pt idx="208">
                  <c:v>0.84106000000000003</c:v>
                </c:pt>
                <c:pt idx="209">
                  <c:v>0.84128000000000003</c:v>
                </c:pt>
                <c:pt idx="210">
                  <c:v>0.84162000000000003</c:v>
                </c:pt>
                <c:pt idx="211">
                  <c:v>0.84208000000000005</c:v>
                </c:pt>
                <c:pt idx="212">
                  <c:v>0.84262000000000004</c:v>
                </c:pt>
                <c:pt idx="213">
                  <c:v>0.84338000000000002</c:v>
                </c:pt>
                <c:pt idx="214">
                  <c:v>0.84399999999999997</c:v>
                </c:pt>
                <c:pt idx="215">
                  <c:v>0.84482000000000002</c:v>
                </c:pt>
                <c:pt idx="216">
                  <c:v>0.84574000000000005</c:v>
                </c:pt>
                <c:pt idx="217">
                  <c:v>0.8468</c:v>
                </c:pt>
                <c:pt idx="218">
                  <c:v>0.84796000000000005</c:v>
                </c:pt>
                <c:pt idx="219">
                  <c:v>0.84896000000000005</c:v>
                </c:pt>
                <c:pt idx="220">
                  <c:v>0.85026000000000002</c:v>
                </c:pt>
                <c:pt idx="221">
                  <c:v>0.85153999999999996</c:v>
                </c:pt>
                <c:pt idx="222">
                  <c:v>0.85277999999999998</c:v>
                </c:pt>
                <c:pt idx="223">
                  <c:v>0.85411999999999999</c:v>
                </c:pt>
                <c:pt idx="224">
                  <c:v>0.85555999999999999</c:v>
                </c:pt>
                <c:pt idx="225">
                  <c:v>0.85682000000000003</c:v>
                </c:pt>
                <c:pt idx="226">
                  <c:v>0.85821999999999998</c:v>
                </c:pt>
                <c:pt idx="227">
                  <c:v>0.85943999999999998</c:v>
                </c:pt>
                <c:pt idx="228">
                  <c:v>0.86055999999999999</c:v>
                </c:pt>
                <c:pt idx="229">
                  <c:v>0.86177999999999999</c:v>
                </c:pt>
                <c:pt idx="230">
                  <c:v>0.86275999999999997</c:v>
                </c:pt>
                <c:pt idx="231">
                  <c:v>0.86350000000000005</c:v>
                </c:pt>
                <c:pt idx="232">
                  <c:v>0.86438000000000004</c:v>
                </c:pt>
                <c:pt idx="233">
                  <c:v>0.86499999999999999</c:v>
                </c:pt>
                <c:pt idx="234">
                  <c:v>0.86536000000000002</c:v>
                </c:pt>
                <c:pt idx="235">
                  <c:v>0.86553999999999998</c:v>
                </c:pt>
                <c:pt idx="236">
                  <c:v>0.86553999999999998</c:v>
                </c:pt>
                <c:pt idx="237">
                  <c:v>0.86538000000000004</c:v>
                </c:pt>
                <c:pt idx="238">
                  <c:v>0.86506000000000005</c:v>
                </c:pt>
                <c:pt idx="239">
                  <c:v>0.86456</c:v>
                </c:pt>
                <c:pt idx="240">
                  <c:v>0.86395999999999995</c:v>
                </c:pt>
                <c:pt idx="241">
                  <c:v>0.86321999999999999</c:v>
                </c:pt>
                <c:pt idx="242">
                  <c:v>0.86253999999999997</c:v>
                </c:pt>
                <c:pt idx="243">
                  <c:v>0.86153999999999997</c:v>
                </c:pt>
                <c:pt idx="244">
                  <c:v>0.86055999999999999</c:v>
                </c:pt>
                <c:pt idx="245">
                  <c:v>0.85955999999999999</c:v>
                </c:pt>
                <c:pt idx="246">
                  <c:v>0.85833999999999999</c:v>
                </c:pt>
                <c:pt idx="247">
                  <c:v>0.85714000000000001</c:v>
                </c:pt>
                <c:pt idx="248">
                  <c:v>0.85629999999999995</c:v>
                </c:pt>
                <c:pt idx="249">
                  <c:v>0.85519999999999996</c:v>
                </c:pt>
                <c:pt idx="250">
                  <c:v>0.85385999999999995</c:v>
                </c:pt>
                <c:pt idx="251">
                  <c:v>0.85253999999999996</c:v>
                </c:pt>
                <c:pt idx="252">
                  <c:v>0.85121999999999998</c:v>
                </c:pt>
                <c:pt idx="253">
                  <c:v>0.84987999999999997</c:v>
                </c:pt>
                <c:pt idx="254">
                  <c:v>0.84830000000000005</c:v>
                </c:pt>
                <c:pt idx="255">
                  <c:v>0.84689999999999999</c:v>
                </c:pt>
                <c:pt idx="256">
                  <c:v>0.84541999999999995</c:v>
                </c:pt>
                <c:pt idx="257">
                  <c:v>0.84396000000000004</c:v>
                </c:pt>
                <c:pt idx="258">
                  <c:v>0.84240000000000004</c:v>
                </c:pt>
                <c:pt idx="259">
                  <c:v>0.84092</c:v>
                </c:pt>
                <c:pt idx="260">
                  <c:v>0.83942000000000005</c:v>
                </c:pt>
                <c:pt idx="261">
                  <c:v>0.83816000000000002</c:v>
                </c:pt>
                <c:pt idx="262">
                  <c:v>0.83694000000000002</c:v>
                </c:pt>
                <c:pt idx="263">
                  <c:v>0.83589999999999998</c:v>
                </c:pt>
                <c:pt idx="264">
                  <c:v>0.83506000000000002</c:v>
                </c:pt>
                <c:pt idx="265">
                  <c:v>0.83453999999999995</c:v>
                </c:pt>
                <c:pt idx="266">
                  <c:v>0.83409999999999995</c:v>
                </c:pt>
                <c:pt idx="267">
                  <c:v>0.83384000000000003</c:v>
                </c:pt>
                <c:pt idx="268">
                  <c:v>0.83391999999999999</c:v>
                </c:pt>
                <c:pt idx="269">
                  <c:v>0.83379999999999999</c:v>
                </c:pt>
                <c:pt idx="270">
                  <c:v>0.83389999999999997</c:v>
                </c:pt>
                <c:pt idx="271">
                  <c:v>0.83401999999999998</c:v>
                </c:pt>
                <c:pt idx="272">
                  <c:v>0.83404</c:v>
                </c:pt>
                <c:pt idx="273">
                  <c:v>0.83420000000000005</c:v>
                </c:pt>
                <c:pt idx="274">
                  <c:v>0.83413999999999999</c:v>
                </c:pt>
                <c:pt idx="275">
                  <c:v>0.83416000000000001</c:v>
                </c:pt>
                <c:pt idx="276">
                  <c:v>0.83421999999999996</c:v>
                </c:pt>
                <c:pt idx="277">
                  <c:v>0.83450000000000002</c:v>
                </c:pt>
                <c:pt idx="278">
                  <c:v>0.83453999999999995</c:v>
                </c:pt>
                <c:pt idx="279">
                  <c:v>0.83462000000000003</c:v>
                </c:pt>
                <c:pt idx="280">
                  <c:v>0.83435999999999999</c:v>
                </c:pt>
                <c:pt idx="281">
                  <c:v>0.83396000000000003</c:v>
                </c:pt>
                <c:pt idx="282">
                  <c:v>0.83309999999999995</c:v>
                </c:pt>
                <c:pt idx="283">
                  <c:v>0.83172000000000001</c:v>
                </c:pt>
                <c:pt idx="284">
                  <c:v>0.82984000000000002</c:v>
                </c:pt>
                <c:pt idx="285">
                  <c:v>0.82757999999999998</c:v>
                </c:pt>
                <c:pt idx="286">
                  <c:v>0.82509999999999994</c:v>
                </c:pt>
                <c:pt idx="287">
                  <c:v>0.82208000000000003</c:v>
                </c:pt>
                <c:pt idx="288">
                  <c:v>0.81881999999999999</c:v>
                </c:pt>
                <c:pt idx="289">
                  <c:v>0.81511999999999996</c:v>
                </c:pt>
                <c:pt idx="290">
                  <c:v>0.81181999999999999</c:v>
                </c:pt>
                <c:pt idx="291">
                  <c:v>0.80796000000000001</c:v>
                </c:pt>
                <c:pt idx="292">
                  <c:v>0.80456000000000005</c:v>
                </c:pt>
                <c:pt idx="293">
                  <c:v>0.80105999999999999</c:v>
                </c:pt>
                <c:pt idx="294">
                  <c:v>0.79766000000000004</c:v>
                </c:pt>
                <c:pt idx="295">
                  <c:v>0.79452</c:v>
                </c:pt>
                <c:pt idx="296">
                  <c:v>0.79144000000000003</c:v>
                </c:pt>
                <c:pt idx="297">
                  <c:v>0.78842000000000001</c:v>
                </c:pt>
                <c:pt idx="298">
                  <c:v>0.78564000000000001</c:v>
                </c:pt>
                <c:pt idx="299">
                  <c:v>0.78308</c:v>
                </c:pt>
                <c:pt idx="300">
                  <c:v>0.78039999999999998</c:v>
                </c:pt>
                <c:pt idx="301">
                  <c:v>0.77802000000000004</c:v>
                </c:pt>
                <c:pt idx="302">
                  <c:v>0.77590000000000003</c:v>
                </c:pt>
                <c:pt idx="303">
                  <c:v>0.77385999999999999</c:v>
                </c:pt>
                <c:pt idx="304">
                  <c:v>0.77188000000000001</c:v>
                </c:pt>
                <c:pt idx="305">
                  <c:v>0.76985999999999999</c:v>
                </c:pt>
                <c:pt idx="306">
                  <c:v>0.7681</c:v>
                </c:pt>
                <c:pt idx="307">
                  <c:v>0.76637999999999995</c:v>
                </c:pt>
                <c:pt idx="308">
                  <c:v>0.76480000000000004</c:v>
                </c:pt>
                <c:pt idx="309">
                  <c:v>0.76312000000000002</c:v>
                </c:pt>
                <c:pt idx="310">
                  <c:v>0.76160000000000005</c:v>
                </c:pt>
                <c:pt idx="311">
                  <c:v>0.76004000000000005</c:v>
                </c:pt>
                <c:pt idx="312">
                  <c:v>0.75866</c:v>
                </c:pt>
                <c:pt idx="313">
                  <c:v>0.75702000000000003</c:v>
                </c:pt>
                <c:pt idx="314">
                  <c:v>0.75568000000000002</c:v>
                </c:pt>
                <c:pt idx="315">
                  <c:v>0.75441999999999998</c:v>
                </c:pt>
                <c:pt idx="316">
                  <c:v>0.75307999999999997</c:v>
                </c:pt>
                <c:pt idx="317">
                  <c:v>0.75173999999999996</c:v>
                </c:pt>
                <c:pt idx="318">
                  <c:v>0.75053999999999998</c:v>
                </c:pt>
                <c:pt idx="319">
                  <c:v>0.74938000000000005</c:v>
                </c:pt>
                <c:pt idx="320">
                  <c:v>0.74809999999999999</c:v>
                </c:pt>
                <c:pt idx="321">
                  <c:v>0.74692000000000003</c:v>
                </c:pt>
                <c:pt idx="322">
                  <c:v>0.74575999999999998</c:v>
                </c:pt>
                <c:pt idx="323">
                  <c:v>0.74461999999999995</c:v>
                </c:pt>
                <c:pt idx="324">
                  <c:v>0.74350000000000005</c:v>
                </c:pt>
                <c:pt idx="325">
                  <c:v>0.74234</c:v>
                </c:pt>
                <c:pt idx="326">
                  <c:v>0.74117999999999995</c:v>
                </c:pt>
                <c:pt idx="327">
                  <c:v>0.74012</c:v>
                </c:pt>
                <c:pt idx="328">
                  <c:v>0.73885999999999996</c:v>
                </c:pt>
                <c:pt idx="329">
                  <c:v>0.73775999999999997</c:v>
                </c:pt>
                <c:pt idx="330">
                  <c:v>0.73675999999999997</c:v>
                </c:pt>
                <c:pt idx="331">
                  <c:v>0.73580000000000001</c:v>
                </c:pt>
                <c:pt idx="332">
                  <c:v>0.73502000000000001</c:v>
                </c:pt>
                <c:pt idx="333">
                  <c:v>0.73394000000000004</c:v>
                </c:pt>
                <c:pt idx="334">
                  <c:v>0.73275999999999997</c:v>
                </c:pt>
                <c:pt idx="335">
                  <c:v>0.73175999999999997</c:v>
                </c:pt>
                <c:pt idx="336">
                  <c:v>0.73068</c:v>
                </c:pt>
                <c:pt idx="337">
                  <c:v>0.72968</c:v>
                </c:pt>
                <c:pt idx="338">
                  <c:v>0.72858000000000001</c:v>
                </c:pt>
                <c:pt idx="339">
                  <c:v>0.72772000000000003</c:v>
                </c:pt>
                <c:pt idx="340">
                  <c:v>0.72672000000000003</c:v>
                </c:pt>
                <c:pt idx="341">
                  <c:v>0.72552000000000005</c:v>
                </c:pt>
                <c:pt idx="342">
                  <c:v>0.72453999999999996</c:v>
                </c:pt>
                <c:pt idx="343">
                  <c:v>0.72377999999999998</c:v>
                </c:pt>
                <c:pt idx="344">
                  <c:v>0.72277999999999998</c:v>
                </c:pt>
                <c:pt idx="345">
                  <c:v>0.72155999999999998</c:v>
                </c:pt>
                <c:pt idx="346">
                  <c:v>0.72062000000000004</c:v>
                </c:pt>
                <c:pt idx="347">
                  <c:v>0.71975999999999996</c:v>
                </c:pt>
                <c:pt idx="348">
                  <c:v>0.71894000000000002</c:v>
                </c:pt>
                <c:pt idx="349">
                  <c:v>0.71797999999999995</c:v>
                </c:pt>
                <c:pt idx="350">
                  <c:v>0.71721999999999997</c:v>
                </c:pt>
                <c:pt idx="351">
                  <c:v>0.71611999999999998</c:v>
                </c:pt>
                <c:pt idx="352">
                  <c:v>0.71514</c:v>
                </c:pt>
                <c:pt idx="353">
                  <c:v>0.71414</c:v>
                </c:pt>
                <c:pt idx="354">
                  <c:v>0.71326000000000001</c:v>
                </c:pt>
                <c:pt idx="355">
                  <c:v>0.71231999999999995</c:v>
                </c:pt>
                <c:pt idx="356">
                  <c:v>0.71142000000000005</c:v>
                </c:pt>
                <c:pt idx="357">
                  <c:v>0.71053999999999995</c:v>
                </c:pt>
                <c:pt idx="358">
                  <c:v>0.70943999999999996</c:v>
                </c:pt>
                <c:pt idx="359">
                  <c:v>0.70845999999999998</c:v>
                </c:pt>
                <c:pt idx="360">
                  <c:v>0.70762000000000003</c:v>
                </c:pt>
                <c:pt idx="361">
                  <c:v>0.70709999999999995</c:v>
                </c:pt>
                <c:pt idx="362">
                  <c:v>0.70611999999999997</c:v>
                </c:pt>
                <c:pt idx="363">
                  <c:v>0.70513999999999999</c:v>
                </c:pt>
                <c:pt idx="364">
                  <c:v>0.70431999999999995</c:v>
                </c:pt>
                <c:pt idx="365">
                  <c:v>0.70328000000000002</c:v>
                </c:pt>
                <c:pt idx="366">
                  <c:v>0.70240000000000002</c:v>
                </c:pt>
                <c:pt idx="367">
                  <c:v>0.70135999999999998</c:v>
                </c:pt>
                <c:pt idx="368">
                  <c:v>0.70062000000000002</c:v>
                </c:pt>
                <c:pt idx="369">
                  <c:v>0.69964000000000004</c:v>
                </c:pt>
                <c:pt idx="370">
                  <c:v>0.69879999999999998</c:v>
                </c:pt>
                <c:pt idx="371">
                  <c:v>0.69796000000000002</c:v>
                </c:pt>
                <c:pt idx="372">
                  <c:v>0.69701999999999997</c:v>
                </c:pt>
                <c:pt idx="373">
                  <c:v>0.69603999999999999</c:v>
                </c:pt>
                <c:pt idx="374">
                  <c:v>0.69516</c:v>
                </c:pt>
                <c:pt idx="375">
                  <c:v>0.69447999999999999</c:v>
                </c:pt>
                <c:pt idx="376">
                  <c:v>0.69366000000000005</c:v>
                </c:pt>
                <c:pt idx="377">
                  <c:v>0.69274000000000002</c:v>
                </c:pt>
                <c:pt idx="378">
                  <c:v>0.69172</c:v>
                </c:pt>
                <c:pt idx="379">
                  <c:v>0.69086000000000003</c:v>
                </c:pt>
                <c:pt idx="380">
                  <c:v>0.69003999999999999</c:v>
                </c:pt>
                <c:pt idx="381">
                  <c:v>0.68889999999999996</c:v>
                </c:pt>
                <c:pt idx="382">
                  <c:v>0.68825999999999998</c:v>
                </c:pt>
                <c:pt idx="383">
                  <c:v>0.68725999999999998</c:v>
                </c:pt>
                <c:pt idx="384">
                  <c:v>0.68640000000000001</c:v>
                </c:pt>
                <c:pt idx="385">
                  <c:v>0.68559999999999999</c:v>
                </c:pt>
                <c:pt idx="386">
                  <c:v>0.68478000000000006</c:v>
                </c:pt>
                <c:pt idx="387">
                  <c:v>0.68379999999999996</c:v>
                </c:pt>
                <c:pt idx="388">
                  <c:v>0.68296000000000001</c:v>
                </c:pt>
                <c:pt idx="389">
                  <c:v>0.68215999999999999</c:v>
                </c:pt>
                <c:pt idx="390">
                  <c:v>0.68118000000000001</c:v>
                </c:pt>
                <c:pt idx="391">
                  <c:v>0.68018000000000001</c:v>
                </c:pt>
                <c:pt idx="392">
                  <c:v>0.67913999999999997</c:v>
                </c:pt>
                <c:pt idx="393">
                  <c:v>0.6784</c:v>
                </c:pt>
                <c:pt idx="394">
                  <c:v>0.67745999999999995</c:v>
                </c:pt>
                <c:pt idx="395">
                  <c:v>0.67666000000000004</c:v>
                </c:pt>
                <c:pt idx="396">
                  <c:v>0.67571999999999999</c:v>
                </c:pt>
                <c:pt idx="397">
                  <c:v>0.67484</c:v>
                </c:pt>
                <c:pt idx="398">
                  <c:v>0.67391999999999996</c:v>
                </c:pt>
                <c:pt idx="399">
                  <c:v>0.67279999999999995</c:v>
                </c:pt>
                <c:pt idx="400">
                  <c:v>0.67200000000000004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DE6-408E-80C6-9165C6BD0725}"/>
            </c:ext>
          </c:extLst>
        </c:ser>
        <c:ser>
          <c:idx val="14"/>
          <c:order val="14"/>
          <c:tx>
            <c:strRef>
              <c:f>'Pig graph '!$AI$1</c:f>
              <c:strCache>
                <c:ptCount val="1"/>
                <c:pt idx="0">
                  <c:v>s15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'!$AI$2:$AI$402</c:f>
              <c:numCache>
                <c:formatCode>General</c:formatCode>
                <c:ptCount val="401"/>
                <c:pt idx="0">
                  <c:v>0.94864000000000004</c:v>
                </c:pt>
                <c:pt idx="1">
                  <c:v>0.94933999999999996</c:v>
                </c:pt>
                <c:pt idx="2">
                  <c:v>0.94933999999999996</c:v>
                </c:pt>
                <c:pt idx="3">
                  <c:v>0.95020000000000004</c:v>
                </c:pt>
                <c:pt idx="4">
                  <c:v>0.94989999999999997</c:v>
                </c:pt>
                <c:pt idx="5">
                  <c:v>0.94998000000000005</c:v>
                </c:pt>
                <c:pt idx="6">
                  <c:v>0.95155999999999996</c:v>
                </c:pt>
                <c:pt idx="7">
                  <c:v>0.95211999999999997</c:v>
                </c:pt>
                <c:pt idx="8">
                  <c:v>0.95282</c:v>
                </c:pt>
                <c:pt idx="9">
                  <c:v>0.95364000000000004</c:v>
                </c:pt>
                <c:pt idx="10">
                  <c:v>0.95479999999999998</c:v>
                </c:pt>
                <c:pt idx="11">
                  <c:v>0.95574000000000003</c:v>
                </c:pt>
                <c:pt idx="12">
                  <c:v>0.95677999999999996</c:v>
                </c:pt>
                <c:pt idx="13">
                  <c:v>0.95779999999999998</c:v>
                </c:pt>
                <c:pt idx="14">
                  <c:v>0.95891999999999999</c:v>
                </c:pt>
                <c:pt idx="15">
                  <c:v>0.95948</c:v>
                </c:pt>
                <c:pt idx="16">
                  <c:v>0.96089999999999998</c:v>
                </c:pt>
                <c:pt idx="17">
                  <c:v>0.96286000000000005</c:v>
                </c:pt>
                <c:pt idx="18">
                  <c:v>0.96392</c:v>
                </c:pt>
                <c:pt idx="19">
                  <c:v>0.96455999999999997</c:v>
                </c:pt>
                <c:pt idx="20">
                  <c:v>0.96442000000000005</c:v>
                </c:pt>
                <c:pt idx="21">
                  <c:v>0.96541999999999994</c:v>
                </c:pt>
                <c:pt idx="22">
                  <c:v>0.96586000000000005</c:v>
                </c:pt>
                <c:pt idx="23">
                  <c:v>0.96667999999999998</c:v>
                </c:pt>
                <c:pt idx="24">
                  <c:v>0.9667</c:v>
                </c:pt>
                <c:pt idx="25">
                  <c:v>0.96762000000000004</c:v>
                </c:pt>
                <c:pt idx="26">
                  <c:v>0.96809999999999996</c:v>
                </c:pt>
                <c:pt idx="27">
                  <c:v>0.96906000000000003</c:v>
                </c:pt>
                <c:pt idx="28">
                  <c:v>0.97006000000000003</c:v>
                </c:pt>
                <c:pt idx="29">
                  <c:v>0.97070000000000001</c:v>
                </c:pt>
                <c:pt idx="30">
                  <c:v>0.97172000000000003</c:v>
                </c:pt>
                <c:pt idx="31">
                  <c:v>0.97284000000000004</c:v>
                </c:pt>
                <c:pt idx="32">
                  <c:v>0.97326000000000001</c:v>
                </c:pt>
                <c:pt idx="33">
                  <c:v>0.97540000000000004</c:v>
                </c:pt>
                <c:pt idx="34">
                  <c:v>0.97614000000000001</c:v>
                </c:pt>
                <c:pt idx="35">
                  <c:v>0.97692000000000001</c:v>
                </c:pt>
                <c:pt idx="36">
                  <c:v>0.97802</c:v>
                </c:pt>
                <c:pt idx="37">
                  <c:v>0.97872000000000003</c:v>
                </c:pt>
                <c:pt idx="38">
                  <c:v>0.97958000000000001</c:v>
                </c:pt>
                <c:pt idx="39">
                  <c:v>0.97985999999999995</c:v>
                </c:pt>
                <c:pt idx="40">
                  <c:v>0.97994000000000003</c:v>
                </c:pt>
                <c:pt idx="41">
                  <c:v>0.98026000000000002</c:v>
                </c:pt>
                <c:pt idx="42">
                  <c:v>0.97951999999999995</c:v>
                </c:pt>
                <c:pt idx="43">
                  <c:v>0.97899999999999998</c:v>
                </c:pt>
                <c:pt idx="44">
                  <c:v>0.97814000000000001</c:v>
                </c:pt>
                <c:pt idx="45">
                  <c:v>0.97660000000000002</c:v>
                </c:pt>
                <c:pt idx="46">
                  <c:v>0.97485999999999995</c:v>
                </c:pt>
                <c:pt idx="47">
                  <c:v>0.97336</c:v>
                </c:pt>
                <c:pt idx="48">
                  <c:v>0.97152000000000005</c:v>
                </c:pt>
                <c:pt idx="49">
                  <c:v>0.96975999999999996</c:v>
                </c:pt>
                <c:pt idx="50">
                  <c:v>0.96789999999999998</c:v>
                </c:pt>
                <c:pt idx="51">
                  <c:v>0.96557999999999999</c:v>
                </c:pt>
                <c:pt idx="52">
                  <c:v>0.96392</c:v>
                </c:pt>
                <c:pt idx="53">
                  <c:v>0.96192</c:v>
                </c:pt>
                <c:pt idx="54">
                  <c:v>0.96072000000000002</c:v>
                </c:pt>
                <c:pt idx="55">
                  <c:v>0.95935999999999999</c:v>
                </c:pt>
                <c:pt idx="56">
                  <c:v>0.95811999999999997</c:v>
                </c:pt>
                <c:pt idx="57">
                  <c:v>0.95694000000000001</c:v>
                </c:pt>
                <c:pt idx="58">
                  <c:v>0.95611999999999997</c:v>
                </c:pt>
                <c:pt idx="59">
                  <c:v>0.95501999999999998</c:v>
                </c:pt>
                <c:pt idx="60">
                  <c:v>0.95394000000000001</c:v>
                </c:pt>
                <c:pt idx="61">
                  <c:v>0.95306000000000002</c:v>
                </c:pt>
                <c:pt idx="62">
                  <c:v>0.95206000000000002</c:v>
                </c:pt>
                <c:pt idx="63">
                  <c:v>0.95096000000000003</c:v>
                </c:pt>
                <c:pt idx="64">
                  <c:v>0.94998000000000005</c:v>
                </c:pt>
                <c:pt idx="65">
                  <c:v>0.94887999999999995</c:v>
                </c:pt>
                <c:pt idx="66">
                  <c:v>0.94754000000000005</c:v>
                </c:pt>
                <c:pt idx="67">
                  <c:v>0.94650000000000001</c:v>
                </c:pt>
                <c:pt idx="68">
                  <c:v>0.94543999999999995</c:v>
                </c:pt>
                <c:pt idx="69">
                  <c:v>0.94352000000000003</c:v>
                </c:pt>
                <c:pt idx="70">
                  <c:v>0.94232000000000005</c:v>
                </c:pt>
                <c:pt idx="71">
                  <c:v>0.94137999999999999</c:v>
                </c:pt>
                <c:pt idx="72">
                  <c:v>0.93959999999999999</c:v>
                </c:pt>
                <c:pt idx="73">
                  <c:v>0.93820000000000003</c:v>
                </c:pt>
                <c:pt idx="74">
                  <c:v>0.93703999999999998</c:v>
                </c:pt>
                <c:pt idx="75">
                  <c:v>0.93545999999999996</c:v>
                </c:pt>
                <c:pt idx="76">
                  <c:v>0.93488000000000004</c:v>
                </c:pt>
                <c:pt idx="77">
                  <c:v>0.93328</c:v>
                </c:pt>
                <c:pt idx="78">
                  <c:v>0.93218000000000001</c:v>
                </c:pt>
                <c:pt idx="79">
                  <c:v>0.93118000000000001</c:v>
                </c:pt>
                <c:pt idx="80">
                  <c:v>0.93020000000000003</c:v>
                </c:pt>
                <c:pt idx="81">
                  <c:v>0.92942000000000002</c:v>
                </c:pt>
                <c:pt idx="82">
                  <c:v>0.92864000000000002</c:v>
                </c:pt>
                <c:pt idx="83">
                  <c:v>0.92852000000000001</c:v>
                </c:pt>
                <c:pt idx="84">
                  <c:v>0.92749999999999999</c:v>
                </c:pt>
                <c:pt idx="85">
                  <c:v>0.92703999999999998</c:v>
                </c:pt>
                <c:pt idx="86">
                  <c:v>0.92635999999999996</c:v>
                </c:pt>
                <c:pt idx="87">
                  <c:v>0.92566000000000004</c:v>
                </c:pt>
                <c:pt idx="88">
                  <c:v>0.92562</c:v>
                </c:pt>
                <c:pt idx="89">
                  <c:v>0.92530000000000001</c:v>
                </c:pt>
                <c:pt idx="90">
                  <c:v>0.92486000000000002</c:v>
                </c:pt>
                <c:pt idx="91">
                  <c:v>0.92422000000000004</c:v>
                </c:pt>
                <c:pt idx="92">
                  <c:v>0.92401999999999995</c:v>
                </c:pt>
                <c:pt idx="93">
                  <c:v>0.92315999999999998</c:v>
                </c:pt>
                <c:pt idx="94">
                  <c:v>0.92257999999999996</c:v>
                </c:pt>
                <c:pt idx="95">
                  <c:v>0.92176000000000002</c:v>
                </c:pt>
                <c:pt idx="96">
                  <c:v>0.92071999999999998</c:v>
                </c:pt>
                <c:pt idx="97">
                  <c:v>0.91961999999999999</c:v>
                </c:pt>
                <c:pt idx="98">
                  <c:v>0.91846000000000005</c:v>
                </c:pt>
                <c:pt idx="99">
                  <c:v>0.91708000000000001</c:v>
                </c:pt>
                <c:pt idx="100">
                  <c:v>0.91591999999999996</c:v>
                </c:pt>
                <c:pt idx="101">
                  <c:v>0.91439999999999999</c:v>
                </c:pt>
                <c:pt idx="102">
                  <c:v>0.91276000000000002</c:v>
                </c:pt>
                <c:pt idx="103">
                  <c:v>0.91110000000000002</c:v>
                </c:pt>
                <c:pt idx="104">
                  <c:v>0.90912000000000004</c:v>
                </c:pt>
                <c:pt idx="105">
                  <c:v>0.90713999999999995</c:v>
                </c:pt>
                <c:pt idx="106">
                  <c:v>0.90547999999999995</c:v>
                </c:pt>
                <c:pt idx="107">
                  <c:v>0.90336000000000005</c:v>
                </c:pt>
                <c:pt idx="108">
                  <c:v>0.90156000000000003</c:v>
                </c:pt>
                <c:pt idx="109">
                  <c:v>0.89937999999999996</c:v>
                </c:pt>
                <c:pt idx="110">
                  <c:v>0.89756000000000002</c:v>
                </c:pt>
                <c:pt idx="111">
                  <c:v>0.89525999999999994</c:v>
                </c:pt>
                <c:pt idx="112">
                  <c:v>0.89327999999999996</c:v>
                </c:pt>
                <c:pt idx="113">
                  <c:v>0.89095999999999997</c:v>
                </c:pt>
                <c:pt idx="114">
                  <c:v>0.88870000000000005</c:v>
                </c:pt>
                <c:pt idx="115">
                  <c:v>0.88700000000000001</c:v>
                </c:pt>
                <c:pt idx="116">
                  <c:v>0.88475999999999999</c:v>
                </c:pt>
                <c:pt idx="117">
                  <c:v>0.88282000000000005</c:v>
                </c:pt>
                <c:pt idx="118">
                  <c:v>0.88068000000000002</c:v>
                </c:pt>
                <c:pt idx="119">
                  <c:v>0.87887999999999999</c:v>
                </c:pt>
                <c:pt idx="120">
                  <c:v>0.87695999999999996</c:v>
                </c:pt>
                <c:pt idx="121">
                  <c:v>0.87465999999999999</c:v>
                </c:pt>
                <c:pt idx="122">
                  <c:v>0.87297999999999998</c:v>
                </c:pt>
                <c:pt idx="123">
                  <c:v>0.87117999999999995</c:v>
                </c:pt>
                <c:pt idx="124">
                  <c:v>0.86950000000000005</c:v>
                </c:pt>
                <c:pt idx="125">
                  <c:v>0.86770000000000003</c:v>
                </c:pt>
                <c:pt idx="126">
                  <c:v>0.86599999999999999</c:v>
                </c:pt>
                <c:pt idx="127">
                  <c:v>0.86407999999999996</c:v>
                </c:pt>
                <c:pt idx="128">
                  <c:v>0.86263999999999996</c:v>
                </c:pt>
                <c:pt idx="129">
                  <c:v>0.86068</c:v>
                </c:pt>
                <c:pt idx="130">
                  <c:v>0.85906000000000005</c:v>
                </c:pt>
                <c:pt idx="131">
                  <c:v>0.85758000000000001</c:v>
                </c:pt>
                <c:pt idx="132">
                  <c:v>0.85597999999999996</c:v>
                </c:pt>
                <c:pt idx="133">
                  <c:v>0.85429999999999995</c:v>
                </c:pt>
                <c:pt idx="134">
                  <c:v>0.85231999999999997</c:v>
                </c:pt>
                <c:pt idx="135">
                  <c:v>0.85140000000000005</c:v>
                </c:pt>
                <c:pt idx="136">
                  <c:v>0.84987999999999997</c:v>
                </c:pt>
                <c:pt idx="137">
                  <c:v>0.84796000000000005</c:v>
                </c:pt>
                <c:pt idx="138">
                  <c:v>0.84631999999999996</c:v>
                </c:pt>
                <c:pt idx="139">
                  <c:v>0.84511999999999998</c:v>
                </c:pt>
                <c:pt idx="140">
                  <c:v>0.84343999999999997</c:v>
                </c:pt>
                <c:pt idx="141">
                  <c:v>0.84238000000000002</c:v>
                </c:pt>
                <c:pt idx="142">
                  <c:v>0.84104000000000001</c:v>
                </c:pt>
                <c:pt idx="143">
                  <c:v>0.83996000000000004</c:v>
                </c:pt>
                <c:pt idx="144">
                  <c:v>0.83897999999999995</c:v>
                </c:pt>
                <c:pt idx="145">
                  <c:v>0.83762000000000003</c:v>
                </c:pt>
                <c:pt idx="146">
                  <c:v>0.83665999999999996</c:v>
                </c:pt>
                <c:pt idx="147">
                  <c:v>0.83565999999999996</c:v>
                </c:pt>
                <c:pt idx="148">
                  <c:v>0.83428000000000002</c:v>
                </c:pt>
                <c:pt idx="149">
                  <c:v>0.83326</c:v>
                </c:pt>
                <c:pt idx="150">
                  <c:v>0.83230000000000004</c:v>
                </c:pt>
                <c:pt idx="151">
                  <c:v>0.83152000000000004</c:v>
                </c:pt>
                <c:pt idx="152">
                  <c:v>0.83035999999999999</c:v>
                </c:pt>
                <c:pt idx="153">
                  <c:v>0.82940000000000003</c:v>
                </c:pt>
                <c:pt idx="154">
                  <c:v>0.82864000000000004</c:v>
                </c:pt>
                <c:pt idx="155">
                  <c:v>0.82787999999999995</c:v>
                </c:pt>
                <c:pt idx="156">
                  <c:v>0.82706000000000002</c:v>
                </c:pt>
                <c:pt idx="157">
                  <c:v>0.82672000000000001</c:v>
                </c:pt>
                <c:pt idx="158">
                  <c:v>0.82577999999999996</c:v>
                </c:pt>
                <c:pt idx="159">
                  <c:v>0.82486000000000004</c:v>
                </c:pt>
                <c:pt idx="160">
                  <c:v>0.82452000000000003</c:v>
                </c:pt>
                <c:pt idx="161">
                  <c:v>0.82399999999999995</c:v>
                </c:pt>
                <c:pt idx="162">
                  <c:v>0.82299999999999995</c:v>
                </c:pt>
                <c:pt idx="163">
                  <c:v>0.82250000000000001</c:v>
                </c:pt>
                <c:pt idx="164">
                  <c:v>0.82211999999999996</c:v>
                </c:pt>
                <c:pt idx="165">
                  <c:v>0.82186000000000003</c:v>
                </c:pt>
                <c:pt idx="166">
                  <c:v>0.82125999999999999</c:v>
                </c:pt>
                <c:pt idx="167">
                  <c:v>0.82079999999999997</c:v>
                </c:pt>
                <c:pt idx="168">
                  <c:v>0.82074000000000003</c:v>
                </c:pt>
                <c:pt idx="169">
                  <c:v>0.82003999999999999</c:v>
                </c:pt>
                <c:pt idx="170">
                  <c:v>0.81964000000000004</c:v>
                </c:pt>
                <c:pt idx="171">
                  <c:v>0.81967999999999996</c:v>
                </c:pt>
                <c:pt idx="172">
                  <c:v>0.81918000000000002</c:v>
                </c:pt>
                <c:pt idx="173">
                  <c:v>0.81918000000000002</c:v>
                </c:pt>
                <c:pt idx="174">
                  <c:v>0.81877999999999995</c:v>
                </c:pt>
                <c:pt idx="175">
                  <c:v>0.81866000000000005</c:v>
                </c:pt>
                <c:pt idx="176">
                  <c:v>0.81852000000000003</c:v>
                </c:pt>
                <c:pt idx="177">
                  <c:v>0.81820000000000004</c:v>
                </c:pt>
                <c:pt idx="178">
                  <c:v>0.81830000000000003</c:v>
                </c:pt>
                <c:pt idx="179">
                  <c:v>0.81818000000000002</c:v>
                </c:pt>
                <c:pt idx="180">
                  <c:v>0.81806000000000001</c:v>
                </c:pt>
                <c:pt idx="181">
                  <c:v>0.81794</c:v>
                </c:pt>
                <c:pt idx="182">
                  <c:v>0.81755999999999995</c:v>
                </c:pt>
                <c:pt idx="183">
                  <c:v>0.81735999999999998</c:v>
                </c:pt>
                <c:pt idx="184">
                  <c:v>0.81698000000000004</c:v>
                </c:pt>
                <c:pt idx="185">
                  <c:v>0.81674000000000002</c:v>
                </c:pt>
                <c:pt idx="186">
                  <c:v>0.81677999999999995</c:v>
                </c:pt>
                <c:pt idx="187">
                  <c:v>0.81645999999999996</c:v>
                </c:pt>
                <c:pt idx="188">
                  <c:v>0.81613999999999998</c:v>
                </c:pt>
                <c:pt idx="189">
                  <c:v>0.81633999999999995</c:v>
                </c:pt>
                <c:pt idx="190">
                  <c:v>0.81616</c:v>
                </c:pt>
                <c:pt idx="191">
                  <c:v>0.81599999999999995</c:v>
                </c:pt>
                <c:pt idx="192">
                  <c:v>0.81574000000000002</c:v>
                </c:pt>
                <c:pt idx="193">
                  <c:v>0.81542000000000003</c:v>
                </c:pt>
                <c:pt idx="194">
                  <c:v>0.81533999999999995</c:v>
                </c:pt>
                <c:pt idx="195">
                  <c:v>0.81494</c:v>
                </c:pt>
                <c:pt idx="196">
                  <c:v>0.81491999999999998</c:v>
                </c:pt>
                <c:pt idx="197">
                  <c:v>0.81442000000000003</c:v>
                </c:pt>
                <c:pt idx="198">
                  <c:v>0.81440000000000001</c:v>
                </c:pt>
                <c:pt idx="199">
                  <c:v>0.81452000000000002</c:v>
                </c:pt>
                <c:pt idx="200">
                  <c:v>0.81399999999999995</c:v>
                </c:pt>
                <c:pt idx="201">
                  <c:v>0.81384000000000001</c:v>
                </c:pt>
                <c:pt idx="202">
                  <c:v>0.81366000000000005</c:v>
                </c:pt>
                <c:pt idx="203">
                  <c:v>0.81384000000000001</c:v>
                </c:pt>
                <c:pt idx="204">
                  <c:v>0.81354000000000004</c:v>
                </c:pt>
                <c:pt idx="205">
                  <c:v>0.8135</c:v>
                </c:pt>
                <c:pt idx="206">
                  <c:v>0.81362000000000001</c:v>
                </c:pt>
                <c:pt idx="207">
                  <c:v>0.81396000000000002</c:v>
                </c:pt>
                <c:pt idx="208">
                  <c:v>0.81408000000000003</c:v>
                </c:pt>
                <c:pt idx="209">
                  <c:v>0.81442000000000003</c:v>
                </c:pt>
                <c:pt idx="210">
                  <c:v>0.81484000000000001</c:v>
                </c:pt>
                <c:pt idx="211">
                  <c:v>0.8155</c:v>
                </c:pt>
                <c:pt idx="212">
                  <c:v>0.81579999999999997</c:v>
                </c:pt>
                <c:pt idx="213">
                  <c:v>0.81657999999999997</c:v>
                </c:pt>
                <c:pt idx="214">
                  <c:v>0.81720000000000004</c:v>
                </c:pt>
                <c:pt idx="215">
                  <c:v>0.81818000000000002</c:v>
                </c:pt>
                <c:pt idx="216">
                  <c:v>0.81899999999999995</c:v>
                </c:pt>
                <c:pt idx="217">
                  <c:v>0.82020000000000004</c:v>
                </c:pt>
                <c:pt idx="218">
                  <c:v>0.82138</c:v>
                </c:pt>
                <c:pt idx="219">
                  <c:v>0.82243999999999995</c:v>
                </c:pt>
                <c:pt idx="220">
                  <c:v>0.82382</c:v>
                </c:pt>
                <c:pt idx="221">
                  <c:v>0.82501999999999998</c:v>
                </c:pt>
                <c:pt idx="222">
                  <c:v>0.82611999999999997</c:v>
                </c:pt>
                <c:pt idx="223">
                  <c:v>0.82787999999999995</c:v>
                </c:pt>
                <c:pt idx="224">
                  <c:v>0.82933999999999997</c:v>
                </c:pt>
                <c:pt idx="225">
                  <c:v>0.83038000000000001</c:v>
                </c:pt>
                <c:pt idx="226">
                  <c:v>0.83184000000000002</c:v>
                </c:pt>
                <c:pt idx="227">
                  <c:v>0.83320000000000005</c:v>
                </c:pt>
                <c:pt idx="228">
                  <c:v>0.83438000000000001</c:v>
                </c:pt>
                <c:pt idx="229">
                  <c:v>0.83552000000000004</c:v>
                </c:pt>
                <c:pt idx="230">
                  <c:v>0.83657999999999999</c:v>
                </c:pt>
                <c:pt idx="231">
                  <c:v>0.83738000000000001</c:v>
                </c:pt>
                <c:pt idx="232">
                  <c:v>0.83809999999999996</c:v>
                </c:pt>
                <c:pt idx="233">
                  <c:v>0.83889999999999998</c:v>
                </c:pt>
                <c:pt idx="234">
                  <c:v>0.83935999999999999</c:v>
                </c:pt>
                <c:pt idx="235">
                  <c:v>0.83975999999999995</c:v>
                </c:pt>
                <c:pt idx="236">
                  <c:v>0.83982000000000001</c:v>
                </c:pt>
                <c:pt idx="237">
                  <c:v>0.83964000000000005</c:v>
                </c:pt>
                <c:pt idx="238">
                  <c:v>0.83942000000000005</c:v>
                </c:pt>
                <c:pt idx="239">
                  <c:v>0.83911999999999998</c:v>
                </c:pt>
                <c:pt idx="240">
                  <c:v>0.83874000000000004</c:v>
                </c:pt>
                <c:pt idx="241">
                  <c:v>0.83814</c:v>
                </c:pt>
                <c:pt idx="242">
                  <c:v>0.83745999999999998</c:v>
                </c:pt>
                <c:pt idx="243">
                  <c:v>0.83664000000000005</c:v>
                </c:pt>
                <c:pt idx="244">
                  <c:v>0.8357</c:v>
                </c:pt>
                <c:pt idx="245">
                  <c:v>0.83467999999999998</c:v>
                </c:pt>
                <c:pt idx="246">
                  <c:v>0.83364000000000005</c:v>
                </c:pt>
                <c:pt idx="247">
                  <c:v>0.83257999999999999</c:v>
                </c:pt>
                <c:pt idx="248">
                  <c:v>0.83153999999999995</c:v>
                </c:pt>
                <c:pt idx="249">
                  <c:v>0.83043999999999996</c:v>
                </c:pt>
                <c:pt idx="250">
                  <c:v>0.82950000000000002</c:v>
                </c:pt>
                <c:pt idx="251">
                  <c:v>0.82811999999999997</c:v>
                </c:pt>
                <c:pt idx="252">
                  <c:v>0.82687999999999995</c:v>
                </c:pt>
                <c:pt idx="253">
                  <c:v>0.82562000000000002</c:v>
                </c:pt>
                <c:pt idx="254">
                  <c:v>0.82421999999999995</c:v>
                </c:pt>
                <c:pt idx="255">
                  <c:v>0.82277999999999996</c:v>
                </c:pt>
                <c:pt idx="256">
                  <c:v>0.82128000000000001</c:v>
                </c:pt>
                <c:pt idx="257">
                  <c:v>0.81974000000000002</c:v>
                </c:pt>
                <c:pt idx="258">
                  <c:v>0.81825999999999999</c:v>
                </c:pt>
                <c:pt idx="259">
                  <c:v>0.81696000000000002</c:v>
                </c:pt>
                <c:pt idx="260">
                  <c:v>0.81567999999999996</c:v>
                </c:pt>
                <c:pt idx="261">
                  <c:v>0.81442000000000003</c:v>
                </c:pt>
                <c:pt idx="262">
                  <c:v>0.81332000000000004</c:v>
                </c:pt>
                <c:pt idx="263">
                  <c:v>0.81228</c:v>
                </c:pt>
                <c:pt idx="264">
                  <c:v>0.81152000000000002</c:v>
                </c:pt>
                <c:pt idx="265">
                  <c:v>0.81100000000000005</c:v>
                </c:pt>
                <c:pt idx="266">
                  <c:v>0.81047999999999998</c:v>
                </c:pt>
                <c:pt idx="267">
                  <c:v>0.81023999999999996</c:v>
                </c:pt>
                <c:pt idx="268">
                  <c:v>0.81001999999999996</c:v>
                </c:pt>
                <c:pt idx="269">
                  <c:v>0.80996000000000001</c:v>
                </c:pt>
                <c:pt idx="270">
                  <c:v>0.81015999999999999</c:v>
                </c:pt>
                <c:pt idx="271">
                  <c:v>0.81023999999999996</c:v>
                </c:pt>
                <c:pt idx="272">
                  <c:v>0.81018000000000001</c:v>
                </c:pt>
                <c:pt idx="273">
                  <c:v>0.81028</c:v>
                </c:pt>
                <c:pt idx="274">
                  <c:v>0.81042000000000003</c:v>
                </c:pt>
                <c:pt idx="275">
                  <c:v>0.81045999999999996</c:v>
                </c:pt>
                <c:pt idx="276">
                  <c:v>0.81069999999999998</c:v>
                </c:pt>
                <c:pt idx="277">
                  <c:v>0.81079999999999997</c:v>
                </c:pt>
                <c:pt idx="278">
                  <c:v>0.81088000000000005</c:v>
                </c:pt>
                <c:pt idx="279">
                  <c:v>0.81100000000000005</c:v>
                </c:pt>
                <c:pt idx="280">
                  <c:v>0.81076000000000004</c:v>
                </c:pt>
                <c:pt idx="281">
                  <c:v>0.81035999999999997</c:v>
                </c:pt>
                <c:pt idx="282">
                  <c:v>0.80959999999999999</c:v>
                </c:pt>
                <c:pt idx="283">
                  <c:v>0.80847999999999998</c:v>
                </c:pt>
                <c:pt idx="284">
                  <c:v>0.80667999999999995</c:v>
                </c:pt>
                <c:pt idx="285">
                  <c:v>0.80484</c:v>
                </c:pt>
                <c:pt idx="286">
                  <c:v>0.80234000000000005</c:v>
                </c:pt>
                <c:pt idx="287">
                  <c:v>0.79945999999999995</c:v>
                </c:pt>
                <c:pt idx="288">
                  <c:v>0.79644000000000004</c:v>
                </c:pt>
                <c:pt idx="289">
                  <c:v>0.79300000000000004</c:v>
                </c:pt>
                <c:pt idx="290">
                  <c:v>0.78993999999999998</c:v>
                </c:pt>
                <c:pt idx="291">
                  <c:v>0.78627999999999998</c:v>
                </c:pt>
                <c:pt idx="292">
                  <c:v>0.78305999999999998</c:v>
                </c:pt>
                <c:pt idx="293">
                  <c:v>0.77971999999999997</c:v>
                </c:pt>
                <c:pt idx="294">
                  <c:v>0.77642</c:v>
                </c:pt>
                <c:pt idx="295">
                  <c:v>0.77366000000000001</c:v>
                </c:pt>
                <c:pt idx="296">
                  <c:v>0.77066000000000001</c:v>
                </c:pt>
                <c:pt idx="297">
                  <c:v>0.76788000000000001</c:v>
                </c:pt>
                <c:pt idx="298">
                  <c:v>0.76519999999999999</c:v>
                </c:pt>
                <c:pt idx="299">
                  <c:v>0.76271999999999995</c:v>
                </c:pt>
                <c:pt idx="300">
                  <c:v>0.76027999999999996</c:v>
                </c:pt>
                <c:pt idx="301">
                  <c:v>0.75793999999999995</c:v>
                </c:pt>
                <c:pt idx="302">
                  <c:v>0.75607999999999997</c:v>
                </c:pt>
                <c:pt idx="303">
                  <c:v>0.75417999999999996</c:v>
                </c:pt>
                <c:pt idx="304">
                  <c:v>0.75216000000000005</c:v>
                </c:pt>
                <c:pt idx="305">
                  <c:v>0.75024000000000002</c:v>
                </c:pt>
                <c:pt idx="306">
                  <c:v>0.74838000000000005</c:v>
                </c:pt>
                <c:pt idx="307">
                  <c:v>0.74675999999999998</c:v>
                </c:pt>
                <c:pt idx="308">
                  <c:v>0.74505999999999994</c:v>
                </c:pt>
                <c:pt idx="309">
                  <c:v>0.74350000000000005</c:v>
                </c:pt>
                <c:pt idx="310">
                  <c:v>0.74197999999999997</c:v>
                </c:pt>
                <c:pt idx="311">
                  <c:v>0.74063999999999997</c:v>
                </c:pt>
                <c:pt idx="312">
                  <c:v>0.73921999999999999</c:v>
                </c:pt>
                <c:pt idx="313">
                  <c:v>0.73763999999999996</c:v>
                </c:pt>
                <c:pt idx="314">
                  <c:v>0.73624000000000001</c:v>
                </c:pt>
                <c:pt idx="315">
                  <c:v>0.73504000000000003</c:v>
                </c:pt>
                <c:pt idx="316">
                  <c:v>0.73392000000000002</c:v>
                </c:pt>
                <c:pt idx="317">
                  <c:v>0.73265999999999998</c:v>
                </c:pt>
                <c:pt idx="318">
                  <c:v>0.73138000000000003</c:v>
                </c:pt>
                <c:pt idx="319">
                  <c:v>0.73016000000000003</c:v>
                </c:pt>
                <c:pt idx="320">
                  <c:v>0.72894000000000003</c:v>
                </c:pt>
                <c:pt idx="321">
                  <c:v>0.72770000000000001</c:v>
                </c:pt>
                <c:pt idx="322">
                  <c:v>0.72648000000000001</c:v>
                </c:pt>
                <c:pt idx="323">
                  <c:v>0.72528000000000004</c:v>
                </c:pt>
                <c:pt idx="324">
                  <c:v>0.72423999999999999</c:v>
                </c:pt>
                <c:pt idx="325">
                  <c:v>0.72311999999999999</c:v>
                </c:pt>
                <c:pt idx="326">
                  <c:v>0.72202</c:v>
                </c:pt>
                <c:pt idx="327">
                  <c:v>0.72082000000000002</c:v>
                </c:pt>
                <c:pt idx="328">
                  <c:v>0.71972000000000003</c:v>
                </c:pt>
                <c:pt idx="329">
                  <c:v>0.71865999999999997</c:v>
                </c:pt>
                <c:pt idx="330">
                  <c:v>0.71767999999999998</c:v>
                </c:pt>
                <c:pt idx="331">
                  <c:v>0.71662000000000003</c:v>
                </c:pt>
                <c:pt idx="332">
                  <c:v>0.7157</c:v>
                </c:pt>
                <c:pt idx="333">
                  <c:v>0.71460000000000001</c:v>
                </c:pt>
                <c:pt idx="334">
                  <c:v>0.71353999999999995</c:v>
                </c:pt>
                <c:pt idx="335">
                  <c:v>0.71233999999999997</c:v>
                </c:pt>
                <c:pt idx="336">
                  <c:v>0.71140000000000003</c:v>
                </c:pt>
                <c:pt idx="337">
                  <c:v>0.71031999999999995</c:v>
                </c:pt>
                <c:pt idx="338">
                  <c:v>0.70913999999999999</c:v>
                </c:pt>
                <c:pt idx="339">
                  <c:v>0.70826</c:v>
                </c:pt>
                <c:pt idx="340">
                  <c:v>0.70733999999999997</c:v>
                </c:pt>
                <c:pt idx="341">
                  <c:v>0.70620000000000005</c:v>
                </c:pt>
                <c:pt idx="342">
                  <c:v>0.70509999999999995</c:v>
                </c:pt>
                <c:pt idx="343">
                  <c:v>0.70452000000000004</c:v>
                </c:pt>
                <c:pt idx="344">
                  <c:v>0.70335999999999999</c:v>
                </c:pt>
                <c:pt idx="345">
                  <c:v>0.70228000000000002</c:v>
                </c:pt>
                <c:pt idx="346">
                  <c:v>0.70132000000000005</c:v>
                </c:pt>
                <c:pt idx="347">
                  <c:v>0.70021999999999995</c:v>
                </c:pt>
                <c:pt idx="348">
                  <c:v>0.69943999999999995</c:v>
                </c:pt>
                <c:pt idx="349">
                  <c:v>0.69847999999999999</c:v>
                </c:pt>
                <c:pt idx="350">
                  <c:v>0.69747999999999999</c:v>
                </c:pt>
                <c:pt idx="351">
                  <c:v>0.69628000000000001</c:v>
                </c:pt>
                <c:pt idx="352">
                  <c:v>0.69543999999999995</c:v>
                </c:pt>
                <c:pt idx="353">
                  <c:v>0.69440000000000002</c:v>
                </c:pt>
                <c:pt idx="354">
                  <c:v>0.69323999999999997</c:v>
                </c:pt>
                <c:pt idx="355">
                  <c:v>0.69225999999999999</c:v>
                </c:pt>
                <c:pt idx="356">
                  <c:v>0.69162000000000001</c:v>
                </c:pt>
                <c:pt idx="357">
                  <c:v>0.69052000000000002</c:v>
                </c:pt>
                <c:pt idx="358">
                  <c:v>0.68947999999999998</c:v>
                </c:pt>
                <c:pt idx="359">
                  <c:v>0.68842000000000003</c:v>
                </c:pt>
                <c:pt idx="360">
                  <c:v>0.68737999999999999</c:v>
                </c:pt>
                <c:pt idx="361">
                  <c:v>0.68657999999999997</c:v>
                </c:pt>
                <c:pt idx="362">
                  <c:v>0.68557999999999997</c:v>
                </c:pt>
                <c:pt idx="363">
                  <c:v>0.68457999999999997</c:v>
                </c:pt>
                <c:pt idx="364">
                  <c:v>0.68355999999999995</c:v>
                </c:pt>
                <c:pt idx="365">
                  <c:v>0.68252000000000002</c:v>
                </c:pt>
                <c:pt idx="366">
                  <c:v>0.68164000000000002</c:v>
                </c:pt>
                <c:pt idx="367">
                  <c:v>0.68057999999999996</c:v>
                </c:pt>
                <c:pt idx="368">
                  <c:v>0.67978000000000005</c:v>
                </c:pt>
                <c:pt idx="369">
                  <c:v>0.67867999999999995</c:v>
                </c:pt>
                <c:pt idx="370">
                  <c:v>0.67779999999999996</c:v>
                </c:pt>
                <c:pt idx="371">
                  <c:v>0.67691999999999997</c:v>
                </c:pt>
                <c:pt idx="372">
                  <c:v>0.67608000000000001</c:v>
                </c:pt>
                <c:pt idx="373">
                  <c:v>0.67513999999999996</c:v>
                </c:pt>
                <c:pt idx="374">
                  <c:v>0.67401999999999995</c:v>
                </c:pt>
                <c:pt idx="375">
                  <c:v>0.67322000000000004</c:v>
                </c:pt>
                <c:pt idx="376">
                  <c:v>0.67227999999999999</c:v>
                </c:pt>
                <c:pt idx="377">
                  <c:v>0.67135999999999996</c:v>
                </c:pt>
                <c:pt idx="378">
                  <c:v>0.67054000000000002</c:v>
                </c:pt>
                <c:pt idx="379">
                  <c:v>0.66957999999999995</c:v>
                </c:pt>
                <c:pt idx="380">
                  <c:v>0.66854000000000002</c:v>
                </c:pt>
                <c:pt idx="381">
                  <c:v>0.66742000000000001</c:v>
                </c:pt>
                <c:pt idx="382">
                  <c:v>0.66656000000000004</c:v>
                </c:pt>
                <c:pt idx="383">
                  <c:v>0.66549999999999998</c:v>
                </c:pt>
                <c:pt idx="384">
                  <c:v>0.66452</c:v>
                </c:pt>
                <c:pt idx="385">
                  <c:v>0.66339999999999999</c:v>
                </c:pt>
                <c:pt idx="386">
                  <c:v>0.66261999999999999</c:v>
                </c:pt>
                <c:pt idx="387">
                  <c:v>0.66149999999999998</c:v>
                </c:pt>
                <c:pt idx="388">
                  <c:v>0.66056000000000004</c:v>
                </c:pt>
                <c:pt idx="389">
                  <c:v>0.65958000000000006</c:v>
                </c:pt>
                <c:pt idx="390">
                  <c:v>0.65864</c:v>
                </c:pt>
                <c:pt idx="391">
                  <c:v>0.65756000000000003</c:v>
                </c:pt>
                <c:pt idx="392">
                  <c:v>0.65656000000000003</c:v>
                </c:pt>
                <c:pt idx="393">
                  <c:v>0.65547999999999995</c:v>
                </c:pt>
                <c:pt idx="394">
                  <c:v>0.65451999999999999</c:v>
                </c:pt>
                <c:pt idx="395">
                  <c:v>0.65354000000000001</c:v>
                </c:pt>
                <c:pt idx="396">
                  <c:v>0.65264</c:v>
                </c:pt>
                <c:pt idx="397">
                  <c:v>0.65161999999999998</c:v>
                </c:pt>
                <c:pt idx="398">
                  <c:v>0.65088000000000001</c:v>
                </c:pt>
                <c:pt idx="399">
                  <c:v>0.64978000000000002</c:v>
                </c:pt>
                <c:pt idx="400">
                  <c:v>0.64885999999999999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DE6-408E-80C6-9165C6BD0725}"/>
            </c:ext>
          </c:extLst>
        </c:ser>
        <c:ser>
          <c:idx val="15"/>
          <c:order val="15"/>
          <c:tx>
            <c:strRef>
              <c:f>'Pig graph '!$AJ$1</c:f>
              <c:strCache>
                <c:ptCount val="1"/>
                <c:pt idx="0">
                  <c:v>s16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'!$AJ$2:$AJ$402</c:f>
              <c:numCache>
                <c:formatCode>General</c:formatCode>
                <c:ptCount val="401"/>
                <c:pt idx="0">
                  <c:v>1.05402</c:v>
                </c:pt>
                <c:pt idx="1">
                  <c:v>1.05444</c:v>
                </c:pt>
                <c:pt idx="2">
                  <c:v>1.0551999999999999</c:v>
                </c:pt>
                <c:pt idx="3">
                  <c:v>1.0551999999999999</c:v>
                </c:pt>
                <c:pt idx="4">
                  <c:v>1.05576</c:v>
                </c:pt>
                <c:pt idx="5">
                  <c:v>1.05664</c:v>
                </c:pt>
                <c:pt idx="6">
                  <c:v>1.05722</c:v>
                </c:pt>
                <c:pt idx="7">
                  <c:v>1.0583199999999999</c:v>
                </c:pt>
                <c:pt idx="8">
                  <c:v>1.05966</c:v>
                </c:pt>
                <c:pt idx="9">
                  <c:v>1.06012</c:v>
                </c:pt>
                <c:pt idx="10">
                  <c:v>1.06118</c:v>
                </c:pt>
                <c:pt idx="11">
                  <c:v>1.0631200000000001</c:v>
                </c:pt>
                <c:pt idx="12">
                  <c:v>1.0642</c:v>
                </c:pt>
                <c:pt idx="13">
                  <c:v>1.0650999999999999</c:v>
                </c:pt>
                <c:pt idx="14">
                  <c:v>1.06586</c:v>
                </c:pt>
                <c:pt idx="15">
                  <c:v>1.0671600000000001</c:v>
                </c:pt>
                <c:pt idx="16">
                  <c:v>1.0688200000000001</c:v>
                </c:pt>
                <c:pt idx="17">
                  <c:v>1.0709599999999999</c:v>
                </c:pt>
                <c:pt idx="18">
                  <c:v>1.07162</c:v>
                </c:pt>
                <c:pt idx="19">
                  <c:v>1.0725800000000001</c:v>
                </c:pt>
                <c:pt idx="20">
                  <c:v>1.0727599999999999</c:v>
                </c:pt>
                <c:pt idx="21">
                  <c:v>1.0736600000000001</c:v>
                </c:pt>
                <c:pt idx="22">
                  <c:v>1.07412</c:v>
                </c:pt>
                <c:pt idx="23">
                  <c:v>1.0750999999999999</c:v>
                </c:pt>
                <c:pt idx="24">
                  <c:v>1.0754600000000001</c:v>
                </c:pt>
                <c:pt idx="25">
                  <c:v>1.0766199999999999</c:v>
                </c:pt>
                <c:pt idx="26">
                  <c:v>1.0767</c:v>
                </c:pt>
                <c:pt idx="27">
                  <c:v>1.0773999999999999</c:v>
                </c:pt>
                <c:pt idx="28">
                  <c:v>1.0790200000000001</c:v>
                </c:pt>
                <c:pt idx="29">
                  <c:v>1.07968</c:v>
                </c:pt>
                <c:pt idx="30">
                  <c:v>1.0810599999999999</c:v>
                </c:pt>
                <c:pt idx="31">
                  <c:v>1.0824199999999999</c:v>
                </c:pt>
                <c:pt idx="32">
                  <c:v>1.0838000000000001</c:v>
                </c:pt>
                <c:pt idx="33">
                  <c:v>1.08572</c:v>
                </c:pt>
                <c:pt idx="34">
                  <c:v>1.08674</c:v>
                </c:pt>
                <c:pt idx="35">
                  <c:v>1.08802</c:v>
                </c:pt>
                <c:pt idx="36">
                  <c:v>1.0889800000000001</c:v>
                </c:pt>
                <c:pt idx="37">
                  <c:v>1.09006</c:v>
                </c:pt>
                <c:pt idx="38">
                  <c:v>1.09066</c:v>
                </c:pt>
                <c:pt idx="39">
                  <c:v>1.0909199999999999</c:v>
                </c:pt>
                <c:pt idx="40">
                  <c:v>1.0912999999999999</c:v>
                </c:pt>
                <c:pt idx="41">
                  <c:v>1.0913600000000001</c:v>
                </c:pt>
                <c:pt idx="42">
                  <c:v>1.0908199999999999</c:v>
                </c:pt>
                <c:pt idx="43">
                  <c:v>1.0901799999999999</c:v>
                </c:pt>
                <c:pt idx="44">
                  <c:v>1.0886800000000001</c:v>
                </c:pt>
                <c:pt idx="45">
                  <c:v>1.0868800000000001</c:v>
                </c:pt>
                <c:pt idx="46">
                  <c:v>1.0848</c:v>
                </c:pt>
                <c:pt idx="47">
                  <c:v>1.0829200000000001</c:v>
                </c:pt>
                <c:pt idx="48">
                  <c:v>1.0808199999999999</c:v>
                </c:pt>
                <c:pt idx="49">
                  <c:v>1.0782799999999999</c:v>
                </c:pt>
                <c:pt idx="50">
                  <c:v>1.0756600000000001</c:v>
                </c:pt>
                <c:pt idx="51">
                  <c:v>1.0734600000000001</c:v>
                </c:pt>
                <c:pt idx="52">
                  <c:v>1.07138</c:v>
                </c:pt>
                <c:pt idx="53">
                  <c:v>1.0691200000000001</c:v>
                </c:pt>
                <c:pt idx="54">
                  <c:v>1.06704</c:v>
                </c:pt>
                <c:pt idx="55">
                  <c:v>1.06528</c:v>
                </c:pt>
                <c:pt idx="56">
                  <c:v>1.06376</c:v>
                </c:pt>
                <c:pt idx="57">
                  <c:v>1.06254</c:v>
                </c:pt>
                <c:pt idx="58">
                  <c:v>1.06124</c:v>
                </c:pt>
                <c:pt idx="59">
                  <c:v>1.0604</c:v>
                </c:pt>
                <c:pt idx="60">
                  <c:v>1.05914</c:v>
                </c:pt>
                <c:pt idx="61">
                  <c:v>1.0580799999999999</c:v>
                </c:pt>
                <c:pt idx="62">
                  <c:v>1.05688</c:v>
                </c:pt>
                <c:pt idx="63">
                  <c:v>1.0557000000000001</c:v>
                </c:pt>
                <c:pt idx="64">
                  <c:v>1.0545</c:v>
                </c:pt>
                <c:pt idx="65">
                  <c:v>1.05314</c:v>
                </c:pt>
                <c:pt idx="66">
                  <c:v>1.05172</c:v>
                </c:pt>
                <c:pt idx="67">
                  <c:v>1.0505</c:v>
                </c:pt>
                <c:pt idx="68">
                  <c:v>1.0486200000000001</c:v>
                </c:pt>
                <c:pt idx="69">
                  <c:v>1.0473399999999999</c:v>
                </c:pt>
                <c:pt idx="70">
                  <c:v>1.0460199999999999</c:v>
                </c:pt>
                <c:pt idx="71">
                  <c:v>1.04426</c:v>
                </c:pt>
                <c:pt idx="72">
                  <c:v>1.0424800000000001</c:v>
                </c:pt>
                <c:pt idx="73">
                  <c:v>1.0407999999999999</c:v>
                </c:pt>
                <c:pt idx="74">
                  <c:v>1.0395799999999999</c:v>
                </c:pt>
                <c:pt idx="75">
                  <c:v>1.03826</c:v>
                </c:pt>
                <c:pt idx="76">
                  <c:v>1.0368999999999999</c:v>
                </c:pt>
                <c:pt idx="77">
                  <c:v>1.03582</c:v>
                </c:pt>
                <c:pt idx="78">
                  <c:v>1.0344800000000001</c:v>
                </c:pt>
                <c:pt idx="79">
                  <c:v>1.03342</c:v>
                </c:pt>
                <c:pt idx="80">
                  <c:v>1.0322199999999999</c:v>
                </c:pt>
                <c:pt idx="81">
                  <c:v>1.0314399999999999</c:v>
                </c:pt>
                <c:pt idx="82">
                  <c:v>1.0304199999999999</c:v>
                </c:pt>
                <c:pt idx="83">
                  <c:v>1.0297799999999999</c:v>
                </c:pt>
                <c:pt idx="84">
                  <c:v>1.0292600000000001</c:v>
                </c:pt>
                <c:pt idx="85">
                  <c:v>1.0287999999999999</c:v>
                </c:pt>
                <c:pt idx="86">
                  <c:v>1.0280800000000001</c:v>
                </c:pt>
                <c:pt idx="87">
                  <c:v>1.0274399999999999</c:v>
                </c:pt>
                <c:pt idx="88">
                  <c:v>1.02722</c:v>
                </c:pt>
                <c:pt idx="89">
                  <c:v>1.02694</c:v>
                </c:pt>
                <c:pt idx="90">
                  <c:v>1.02624</c:v>
                </c:pt>
                <c:pt idx="91">
                  <c:v>1.02552</c:v>
                </c:pt>
                <c:pt idx="92">
                  <c:v>1.0252399999999999</c:v>
                </c:pt>
                <c:pt idx="93">
                  <c:v>1.0243599999999999</c:v>
                </c:pt>
                <c:pt idx="94">
                  <c:v>1.0238</c:v>
                </c:pt>
                <c:pt idx="95">
                  <c:v>1.0226999999999999</c:v>
                </c:pt>
                <c:pt idx="96">
                  <c:v>1.02146</c:v>
                </c:pt>
                <c:pt idx="97">
                  <c:v>1.0201199999999999</c:v>
                </c:pt>
                <c:pt idx="98">
                  <c:v>1.0188999999999999</c:v>
                </c:pt>
                <c:pt idx="99">
                  <c:v>1.0174799999999999</c:v>
                </c:pt>
                <c:pt idx="100">
                  <c:v>1.01596</c:v>
                </c:pt>
                <c:pt idx="101">
                  <c:v>1.0143200000000001</c:v>
                </c:pt>
                <c:pt idx="102">
                  <c:v>1.0123599999999999</c:v>
                </c:pt>
                <c:pt idx="103">
                  <c:v>1.0105599999999999</c:v>
                </c:pt>
                <c:pt idx="104">
                  <c:v>1.0085200000000001</c:v>
                </c:pt>
                <c:pt idx="105">
                  <c:v>1.00634</c:v>
                </c:pt>
                <c:pt idx="106">
                  <c:v>1.00434</c:v>
                </c:pt>
                <c:pt idx="107">
                  <c:v>1.00204</c:v>
                </c:pt>
                <c:pt idx="108">
                  <c:v>0.99970000000000003</c:v>
                </c:pt>
                <c:pt idx="109">
                  <c:v>0.99743999999999999</c:v>
                </c:pt>
                <c:pt idx="110">
                  <c:v>0.99512</c:v>
                </c:pt>
                <c:pt idx="111">
                  <c:v>0.99270000000000003</c:v>
                </c:pt>
                <c:pt idx="112">
                  <c:v>0.99050000000000005</c:v>
                </c:pt>
                <c:pt idx="113">
                  <c:v>0.98816000000000004</c:v>
                </c:pt>
                <c:pt idx="114">
                  <c:v>0.98543999999999998</c:v>
                </c:pt>
                <c:pt idx="115">
                  <c:v>0.98368</c:v>
                </c:pt>
                <c:pt idx="116">
                  <c:v>0.98129999999999995</c:v>
                </c:pt>
                <c:pt idx="117">
                  <c:v>0.97899999999999998</c:v>
                </c:pt>
                <c:pt idx="118">
                  <c:v>0.97667999999999999</c:v>
                </c:pt>
                <c:pt idx="119">
                  <c:v>0.97440000000000004</c:v>
                </c:pt>
                <c:pt idx="120">
                  <c:v>0.97221999999999997</c:v>
                </c:pt>
                <c:pt idx="121">
                  <c:v>0.97</c:v>
                </c:pt>
                <c:pt idx="122">
                  <c:v>0.96779999999999999</c:v>
                </c:pt>
                <c:pt idx="123">
                  <c:v>0.96582000000000001</c:v>
                </c:pt>
                <c:pt idx="124">
                  <c:v>0.96389999999999998</c:v>
                </c:pt>
                <c:pt idx="125">
                  <c:v>0.96187999999999996</c:v>
                </c:pt>
                <c:pt idx="126">
                  <c:v>0.95996000000000004</c:v>
                </c:pt>
                <c:pt idx="127">
                  <c:v>0.95786000000000004</c:v>
                </c:pt>
                <c:pt idx="128">
                  <c:v>0.95635999999999999</c:v>
                </c:pt>
                <c:pt idx="129">
                  <c:v>0.95394000000000001</c:v>
                </c:pt>
                <c:pt idx="130">
                  <c:v>0.95213999999999999</c:v>
                </c:pt>
                <c:pt idx="131">
                  <c:v>0.95033999999999996</c:v>
                </c:pt>
                <c:pt idx="132">
                  <c:v>0.94874000000000003</c:v>
                </c:pt>
                <c:pt idx="133">
                  <c:v>0.94672000000000001</c:v>
                </c:pt>
                <c:pt idx="134">
                  <c:v>0.94481999999999999</c:v>
                </c:pt>
                <c:pt idx="135">
                  <c:v>0.94325999999999999</c:v>
                </c:pt>
                <c:pt idx="136">
                  <c:v>0.94191999999999998</c:v>
                </c:pt>
                <c:pt idx="137">
                  <c:v>0.93964000000000003</c:v>
                </c:pt>
                <c:pt idx="138">
                  <c:v>0.93779999999999997</c:v>
                </c:pt>
                <c:pt idx="139">
                  <c:v>0.93655999999999995</c:v>
                </c:pt>
                <c:pt idx="140">
                  <c:v>0.93476000000000004</c:v>
                </c:pt>
                <c:pt idx="141">
                  <c:v>0.93344000000000005</c:v>
                </c:pt>
                <c:pt idx="142">
                  <c:v>0.93200000000000005</c:v>
                </c:pt>
                <c:pt idx="143">
                  <c:v>0.93078000000000005</c:v>
                </c:pt>
                <c:pt idx="144">
                  <c:v>0.92967999999999995</c:v>
                </c:pt>
                <c:pt idx="145">
                  <c:v>0.92832000000000003</c:v>
                </c:pt>
                <c:pt idx="146">
                  <c:v>0.92698000000000003</c:v>
                </c:pt>
                <c:pt idx="147">
                  <c:v>0.92596000000000001</c:v>
                </c:pt>
                <c:pt idx="148">
                  <c:v>0.92484</c:v>
                </c:pt>
                <c:pt idx="149">
                  <c:v>0.9234</c:v>
                </c:pt>
                <c:pt idx="150">
                  <c:v>0.92213999999999996</c:v>
                </c:pt>
                <c:pt idx="151">
                  <c:v>0.92112000000000005</c:v>
                </c:pt>
                <c:pt idx="152">
                  <c:v>0.92013999999999996</c:v>
                </c:pt>
                <c:pt idx="153">
                  <c:v>0.91934000000000005</c:v>
                </c:pt>
                <c:pt idx="154">
                  <c:v>0.91839999999999999</c:v>
                </c:pt>
                <c:pt idx="155">
                  <c:v>0.91766000000000003</c:v>
                </c:pt>
                <c:pt idx="156">
                  <c:v>0.91659999999999997</c:v>
                </c:pt>
                <c:pt idx="157">
                  <c:v>0.91615999999999997</c:v>
                </c:pt>
                <c:pt idx="158">
                  <c:v>0.91513999999999995</c:v>
                </c:pt>
                <c:pt idx="159">
                  <c:v>0.91435999999999995</c:v>
                </c:pt>
                <c:pt idx="160">
                  <c:v>0.91383999999999999</c:v>
                </c:pt>
                <c:pt idx="161">
                  <c:v>0.91324000000000005</c:v>
                </c:pt>
                <c:pt idx="162">
                  <c:v>0.91237999999999997</c:v>
                </c:pt>
                <c:pt idx="163">
                  <c:v>0.91168000000000005</c:v>
                </c:pt>
                <c:pt idx="164">
                  <c:v>0.91120000000000001</c:v>
                </c:pt>
                <c:pt idx="165">
                  <c:v>0.91080000000000005</c:v>
                </c:pt>
                <c:pt idx="166">
                  <c:v>0.91024000000000005</c:v>
                </c:pt>
                <c:pt idx="167">
                  <c:v>0.90991999999999995</c:v>
                </c:pt>
                <c:pt idx="168">
                  <c:v>0.90947999999999996</c:v>
                </c:pt>
                <c:pt idx="169">
                  <c:v>0.90893999999999997</c:v>
                </c:pt>
                <c:pt idx="170">
                  <c:v>0.90864</c:v>
                </c:pt>
                <c:pt idx="171">
                  <c:v>0.90832000000000002</c:v>
                </c:pt>
                <c:pt idx="172">
                  <c:v>0.90795999999999999</c:v>
                </c:pt>
                <c:pt idx="173">
                  <c:v>0.90812000000000004</c:v>
                </c:pt>
                <c:pt idx="174">
                  <c:v>0.90773999999999999</c:v>
                </c:pt>
                <c:pt idx="175">
                  <c:v>0.90783999999999998</c:v>
                </c:pt>
                <c:pt idx="176">
                  <c:v>0.90766000000000002</c:v>
                </c:pt>
                <c:pt idx="177">
                  <c:v>0.90747999999999995</c:v>
                </c:pt>
                <c:pt idx="178">
                  <c:v>0.90727999999999998</c:v>
                </c:pt>
                <c:pt idx="179">
                  <c:v>0.90727999999999998</c:v>
                </c:pt>
                <c:pt idx="180">
                  <c:v>0.90725999999999996</c:v>
                </c:pt>
                <c:pt idx="181">
                  <c:v>0.90715999999999997</c:v>
                </c:pt>
                <c:pt idx="182">
                  <c:v>0.90669999999999995</c:v>
                </c:pt>
                <c:pt idx="183">
                  <c:v>0.90669999999999995</c:v>
                </c:pt>
                <c:pt idx="184">
                  <c:v>0.90658000000000005</c:v>
                </c:pt>
                <c:pt idx="185">
                  <c:v>0.90617999999999999</c:v>
                </c:pt>
                <c:pt idx="186">
                  <c:v>0.90610000000000002</c:v>
                </c:pt>
                <c:pt idx="187">
                  <c:v>0.90576000000000001</c:v>
                </c:pt>
                <c:pt idx="188">
                  <c:v>0.90564</c:v>
                </c:pt>
                <c:pt idx="189">
                  <c:v>0.90588000000000002</c:v>
                </c:pt>
                <c:pt idx="190">
                  <c:v>0.90547999999999995</c:v>
                </c:pt>
                <c:pt idx="191">
                  <c:v>0.90524000000000004</c:v>
                </c:pt>
                <c:pt idx="192">
                  <c:v>0.90500000000000003</c:v>
                </c:pt>
                <c:pt idx="193">
                  <c:v>0.90464</c:v>
                </c:pt>
                <c:pt idx="194">
                  <c:v>0.90459999999999996</c:v>
                </c:pt>
                <c:pt idx="195">
                  <c:v>0.90425999999999995</c:v>
                </c:pt>
                <c:pt idx="196">
                  <c:v>0.90390000000000004</c:v>
                </c:pt>
                <c:pt idx="197">
                  <c:v>0.90371999999999997</c:v>
                </c:pt>
                <c:pt idx="198">
                  <c:v>0.90356000000000003</c:v>
                </c:pt>
                <c:pt idx="199">
                  <c:v>0.90347999999999995</c:v>
                </c:pt>
                <c:pt idx="200">
                  <c:v>0.90295999999999998</c:v>
                </c:pt>
                <c:pt idx="201">
                  <c:v>0.90290000000000004</c:v>
                </c:pt>
                <c:pt idx="202">
                  <c:v>0.90278000000000003</c:v>
                </c:pt>
                <c:pt idx="203">
                  <c:v>0.90283999999999998</c:v>
                </c:pt>
                <c:pt idx="204">
                  <c:v>0.90283999999999998</c:v>
                </c:pt>
                <c:pt idx="205">
                  <c:v>0.90251999999999999</c:v>
                </c:pt>
                <c:pt idx="206">
                  <c:v>0.90283999999999998</c:v>
                </c:pt>
                <c:pt idx="207">
                  <c:v>0.90290000000000004</c:v>
                </c:pt>
                <c:pt idx="208">
                  <c:v>0.90327999999999997</c:v>
                </c:pt>
                <c:pt idx="209">
                  <c:v>0.90354000000000001</c:v>
                </c:pt>
                <c:pt idx="210">
                  <c:v>0.90417999999999998</c:v>
                </c:pt>
                <c:pt idx="211">
                  <c:v>0.90454000000000001</c:v>
                </c:pt>
                <c:pt idx="212">
                  <c:v>0.90536000000000005</c:v>
                </c:pt>
                <c:pt idx="213">
                  <c:v>0.90627999999999997</c:v>
                </c:pt>
                <c:pt idx="214">
                  <c:v>0.90715999999999997</c:v>
                </c:pt>
                <c:pt idx="215">
                  <c:v>0.90820000000000001</c:v>
                </c:pt>
                <c:pt idx="216">
                  <c:v>0.9093</c:v>
                </c:pt>
                <c:pt idx="217">
                  <c:v>0.91061999999999999</c:v>
                </c:pt>
                <c:pt idx="218">
                  <c:v>0.91213999999999995</c:v>
                </c:pt>
                <c:pt idx="219">
                  <c:v>0.91346000000000005</c:v>
                </c:pt>
                <c:pt idx="220">
                  <c:v>0.91493999999999998</c:v>
                </c:pt>
                <c:pt idx="221">
                  <c:v>0.91632000000000002</c:v>
                </c:pt>
                <c:pt idx="222">
                  <c:v>0.91783999999999999</c:v>
                </c:pt>
                <c:pt idx="223">
                  <c:v>0.91957999999999995</c:v>
                </c:pt>
                <c:pt idx="224">
                  <c:v>0.92112000000000005</c:v>
                </c:pt>
                <c:pt idx="225">
                  <c:v>0.92264000000000002</c:v>
                </c:pt>
                <c:pt idx="226">
                  <c:v>0.92427999999999999</c:v>
                </c:pt>
                <c:pt idx="227">
                  <c:v>0.92578000000000005</c:v>
                </c:pt>
                <c:pt idx="228">
                  <c:v>0.92706</c:v>
                </c:pt>
                <c:pt idx="229">
                  <c:v>0.92825999999999997</c:v>
                </c:pt>
                <c:pt idx="230">
                  <c:v>0.92942000000000002</c:v>
                </c:pt>
                <c:pt idx="231">
                  <c:v>0.93045999999999995</c:v>
                </c:pt>
                <c:pt idx="232">
                  <c:v>0.93142000000000003</c:v>
                </c:pt>
                <c:pt idx="233">
                  <c:v>0.93222000000000005</c:v>
                </c:pt>
                <c:pt idx="234">
                  <c:v>0.93257999999999996</c:v>
                </c:pt>
                <c:pt idx="235">
                  <c:v>0.93279999999999996</c:v>
                </c:pt>
                <c:pt idx="236">
                  <c:v>0.93308000000000002</c:v>
                </c:pt>
                <c:pt idx="237">
                  <c:v>0.93284</c:v>
                </c:pt>
                <c:pt idx="238">
                  <c:v>0.93240000000000001</c:v>
                </c:pt>
                <c:pt idx="239">
                  <c:v>0.93206</c:v>
                </c:pt>
                <c:pt idx="240">
                  <c:v>0.93123999999999996</c:v>
                </c:pt>
                <c:pt idx="241">
                  <c:v>0.93045999999999995</c:v>
                </c:pt>
                <c:pt idx="242">
                  <c:v>0.92962</c:v>
                </c:pt>
                <c:pt idx="243">
                  <c:v>0.92852000000000001</c:v>
                </c:pt>
                <c:pt idx="244">
                  <c:v>0.92742000000000002</c:v>
                </c:pt>
                <c:pt idx="245">
                  <c:v>0.92608000000000001</c:v>
                </c:pt>
                <c:pt idx="246">
                  <c:v>0.92486000000000002</c:v>
                </c:pt>
                <c:pt idx="247">
                  <c:v>0.92352000000000001</c:v>
                </c:pt>
                <c:pt idx="248">
                  <c:v>0.92234000000000005</c:v>
                </c:pt>
                <c:pt idx="249">
                  <c:v>0.92112000000000005</c:v>
                </c:pt>
                <c:pt idx="250">
                  <c:v>0.91969999999999996</c:v>
                </c:pt>
                <c:pt idx="251">
                  <c:v>0.91805999999999999</c:v>
                </c:pt>
                <c:pt idx="252">
                  <c:v>0.91654000000000002</c:v>
                </c:pt>
                <c:pt idx="253">
                  <c:v>0.91505999999999998</c:v>
                </c:pt>
                <c:pt idx="254">
                  <c:v>0.91339999999999999</c:v>
                </c:pt>
                <c:pt idx="255">
                  <c:v>0.91178000000000003</c:v>
                </c:pt>
                <c:pt idx="256">
                  <c:v>0.91017999999999999</c:v>
                </c:pt>
                <c:pt idx="257">
                  <c:v>0.90849999999999997</c:v>
                </c:pt>
                <c:pt idx="258">
                  <c:v>0.90676000000000001</c:v>
                </c:pt>
                <c:pt idx="259">
                  <c:v>0.90517999999999998</c:v>
                </c:pt>
                <c:pt idx="260">
                  <c:v>0.90361999999999998</c:v>
                </c:pt>
                <c:pt idx="261">
                  <c:v>0.9022</c:v>
                </c:pt>
                <c:pt idx="262">
                  <c:v>0.90103999999999995</c:v>
                </c:pt>
                <c:pt idx="263">
                  <c:v>0.90012000000000003</c:v>
                </c:pt>
                <c:pt idx="264">
                  <c:v>0.89924000000000004</c:v>
                </c:pt>
                <c:pt idx="265">
                  <c:v>0.89868000000000003</c:v>
                </c:pt>
                <c:pt idx="266">
                  <c:v>0.89834000000000003</c:v>
                </c:pt>
                <c:pt idx="267">
                  <c:v>0.89814000000000005</c:v>
                </c:pt>
                <c:pt idx="268">
                  <c:v>0.89803999999999995</c:v>
                </c:pt>
                <c:pt idx="269">
                  <c:v>0.89814000000000005</c:v>
                </c:pt>
                <c:pt idx="270">
                  <c:v>0.89827999999999997</c:v>
                </c:pt>
                <c:pt idx="271">
                  <c:v>0.89846000000000004</c:v>
                </c:pt>
                <c:pt idx="272">
                  <c:v>0.89880000000000004</c:v>
                </c:pt>
                <c:pt idx="273">
                  <c:v>0.89890000000000003</c:v>
                </c:pt>
                <c:pt idx="274">
                  <c:v>0.89902000000000004</c:v>
                </c:pt>
                <c:pt idx="275">
                  <c:v>0.89914000000000005</c:v>
                </c:pt>
                <c:pt idx="276">
                  <c:v>0.89936000000000005</c:v>
                </c:pt>
                <c:pt idx="277">
                  <c:v>0.89968000000000004</c:v>
                </c:pt>
                <c:pt idx="278">
                  <c:v>0.89978000000000002</c:v>
                </c:pt>
                <c:pt idx="279">
                  <c:v>0.89995999999999998</c:v>
                </c:pt>
                <c:pt idx="280">
                  <c:v>0.89971999999999996</c:v>
                </c:pt>
                <c:pt idx="281">
                  <c:v>0.89914000000000005</c:v>
                </c:pt>
                <c:pt idx="282">
                  <c:v>0.89825999999999995</c:v>
                </c:pt>
                <c:pt idx="283">
                  <c:v>0.89685999999999999</c:v>
                </c:pt>
                <c:pt idx="284">
                  <c:v>0.89468000000000003</c:v>
                </c:pt>
                <c:pt idx="285">
                  <c:v>0.89224000000000003</c:v>
                </c:pt>
                <c:pt idx="286">
                  <c:v>0.88939999999999997</c:v>
                </c:pt>
                <c:pt idx="287">
                  <c:v>0.88592000000000004</c:v>
                </c:pt>
                <c:pt idx="288">
                  <c:v>0.88217999999999996</c:v>
                </c:pt>
                <c:pt idx="289">
                  <c:v>0.87812000000000001</c:v>
                </c:pt>
                <c:pt idx="290">
                  <c:v>0.87431999999999999</c:v>
                </c:pt>
                <c:pt idx="291">
                  <c:v>0.86994000000000005</c:v>
                </c:pt>
                <c:pt idx="292">
                  <c:v>0.86612</c:v>
                </c:pt>
                <c:pt idx="293">
                  <c:v>0.86216000000000004</c:v>
                </c:pt>
                <c:pt idx="294">
                  <c:v>0.85816000000000003</c:v>
                </c:pt>
                <c:pt idx="295">
                  <c:v>0.85474000000000006</c:v>
                </c:pt>
                <c:pt idx="296">
                  <c:v>0.85128000000000004</c:v>
                </c:pt>
                <c:pt idx="297">
                  <c:v>0.84796000000000005</c:v>
                </c:pt>
                <c:pt idx="298">
                  <c:v>0.84482000000000002</c:v>
                </c:pt>
                <c:pt idx="299">
                  <c:v>0.84192</c:v>
                </c:pt>
                <c:pt idx="300">
                  <c:v>0.83901999999999999</c:v>
                </c:pt>
                <c:pt idx="301">
                  <c:v>0.83635999999999999</c:v>
                </c:pt>
                <c:pt idx="302">
                  <c:v>0.83391999999999999</c:v>
                </c:pt>
                <c:pt idx="303">
                  <c:v>0.83165999999999995</c:v>
                </c:pt>
                <c:pt idx="304">
                  <c:v>0.82940000000000003</c:v>
                </c:pt>
                <c:pt idx="305">
                  <c:v>0.82730000000000004</c:v>
                </c:pt>
                <c:pt idx="306">
                  <c:v>0.82520000000000004</c:v>
                </c:pt>
                <c:pt idx="307">
                  <c:v>0.82311999999999996</c:v>
                </c:pt>
                <c:pt idx="308">
                  <c:v>0.82143999999999995</c:v>
                </c:pt>
                <c:pt idx="309">
                  <c:v>0.81954000000000005</c:v>
                </c:pt>
                <c:pt idx="310">
                  <c:v>0.81777999999999995</c:v>
                </c:pt>
                <c:pt idx="311">
                  <c:v>0.81620000000000004</c:v>
                </c:pt>
                <c:pt idx="312">
                  <c:v>0.81466000000000005</c:v>
                </c:pt>
                <c:pt idx="313">
                  <c:v>0.81289999999999996</c:v>
                </c:pt>
                <c:pt idx="314">
                  <c:v>0.81144000000000005</c:v>
                </c:pt>
                <c:pt idx="315">
                  <c:v>0.81006</c:v>
                </c:pt>
                <c:pt idx="316">
                  <c:v>0.80862000000000001</c:v>
                </c:pt>
                <c:pt idx="317">
                  <c:v>0.80718000000000001</c:v>
                </c:pt>
                <c:pt idx="318">
                  <c:v>0.80564000000000002</c:v>
                </c:pt>
                <c:pt idx="319">
                  <c:v>0.80430000000000001</c:v>
                </c:pt>
                <c:pt idx="320">
                  <c:v>0.80291999999999997</c:v>
                </c:pt>
                <c:pt idx="321">
                  <c:v>0.80164000000000002</c:v>
                </c:pt>
                <c:pt idx="322">
                  <c:v>0.80035999999999996</c:v>
                </c:pt>
                <c:pt idx="323">
                  <c:v>0.79903999999999997</c:v>
                </c:pt>
                <c:pt idx="324">
                  <c:v>0.79786000000000001</c:v>
                </c:pt>
                <c:pt idx="325">
                  <c:v>0.79664000000000001</c:v>
                </c:pt>
                <c:pt idx="326">
                  <c:v>0.79532000000000003</c:v>
                </c:pt>
                <c:pt idx="327">
                  <c:v>0.79405999999999999</c:v>
                </c:pt>
                <c:pt idx="328">
                  <c:v>0.79288000000000003</c:v>
                </c:pt>
                <c:pt idx="329">
                  <c:v>0.79171999999999998</c:v>
                </c:pt>
                <c:pt idx="330">
                  <c:v>0.79056000000000004</c:v>
                </c:pt>
                <c:pt idx="331">
                  <c:v>0.78946000000000005</c:v>
                </c:pt>
                <c:pt idx="332">
                  <c:v>0.78842000000000001</c:v>
                </c:pt>
                <c:pt idx="333">
                  <c:v>0.78710000000000002</c:v>
                </c:pt>
                <c:pt idx="334">
                  <c:v>0.78581999999999996</c:v>
                </c:pt>
                <c:pt idx="335">
                  <c:v>0.78469999999999995</c:v>
                </c:pt>
                <c:pt idx="336">
                  <c:v>0.78354000000000001</c:v>
                </c:pt>
                <c:pt idx="337">
                  <c:v>0.78225999999999996</c:v>
                </c:pt>
                <c:pt idx="338">
                  <c:v>0.78105999999999998</c:v>
                </c:pt>
                <c:pt idx="339">
                  <c:v>0.78</c:v>
                </c:pt>
                <c:pt idx="340">
                  <c:v>0.77890000000000004</c:v>
                </c:pt>
                <c:pt idx="341">
                  <c:v>0.77780000000000005</c:v>
                </c:pt>
                <c:pt idx="342">
                  <c:v>0.77664</c:v>
                </c:pt>
                <c:pt idx="343">
                  <c:v>0.77564</c:v>
                </c:pt>
                <c:pt idx="344">
                  <c:v>0.77456000000000003</c:v>
                </c:pt>
                <c:pt idx="345">
                  <c:v>0.77339999999999998</c:v>
                </c:pt>
                <c:pt idx="346">
                  <c:v>0.77239999999999998</c:v>
                </c:pt>
                <c:pt idx="347">
                  <c:v>0.77124000000000004</c:v>
                </c:pt>
                <c:pt idx="348">
                  <c:v>0.77029999999999998</c:v>
                </c:pt>
                <c:pt idx="349">
                  <c:v>0.76915999999999995</c:v>
                </c:pt>
                <c:pt idx="350">
                  <c:v>0.76822000000000001</c:v>
                </c:pt>
                <c:pt idx="351">
                  <c:v>0.76702000000000004</c:v>
                </c:pt>
                <c:pt idx="352">
                  <c:v>0.76605999999999996</c:v>
                </c:pt>
                <c:pt idx="353">
                  <c:v>0.76504000000000005</c:v>
                </c:pt>
                <c:pt idx="354">
                  <c:v>0.76392000000000004</c:v>
                </c:pt>
                <c:pt idx="355">
                  <c:v>0.76288</c:v>
                </c:pt>
                <c:pt idx="356">
                  <c:v>0.76188</c:v>
                </c:pt>
                <c:pt idx="357">
                  <c:v>0.76078000000000001</c:v>
                </c:pt>
                <c:pt idx="358">
                  <c:v>0.75975999999999999</c:v>
                </c:pt>
                <c:pt idx="359">
                  <c:v>0.75863999999999998</c:v>
                </c:pt>
                <c:pt idx="360">
                  <c:v>0.75761999999999996</c:v>
                </c:pt>
                <c:pt idx="361">
                  <c:v>0.75683999999999996</c:v>
                </c:pt>
                <c:pt idx="362">
                  <c:v>0.75568000000000002</c:v>
                </c:pt>
                <c:pt idx="363">
                  <c:v>0.75470000000000004</c:v>
                </c:pt>
                <c:pt idx="364">
                  <c:v>0.75349999999999995</c:v>
                </c:pt>
                <c:pt idx="365">
                  <c:v>0.75253999999999999</c:v>
                </c:pt>
                <c:pt idx="366">
                  <c:v>0.75158000000000003</c:v>
                </c:pt>
                <c:pt idx="367">
                  <c:v>0.75051999999999996</c:v>
                </c:pt>
                <c:pt idx="368">
                  <c:v>0.74948000000000004</c:v>
                </c:pt>
                <c:pt idx="369">
                  <c:v>0.74838000000000005</c:v>
                </c:pt>
                <c:pt idx="370">
                  <c:v>0.74738000000000004</c:v>
                </c:pt>
                <c:pt idx="371">
                  <c:v>0.74646000000000001</c:v>
                </c:pt>
                <c:pt idx="372">
                  <c:v>0.74551999999999996</c:v>
                </c:pt>
                <c:pt idx="373">
                  <c:v>0.74460000000000004</c:v>
                </c:pt>
                <c:pt idx="374">
                  <c:v>0.74365999999999999</c:v>
                </c:pt>
                <c:pt idx="375">
                  <c:v>0.74256</c:v>
                </c:pt>
                <c:pt idx="376">
                  <c:v>0.74163999999999997</c:v>
                </c:pt>
                <c:pt idx="377">
                  <c:v>0.74084000000000005</c:v>
                </c:pt>
                <c:pt idx="378">
                  <c:v>0.73972000000000004</c:v>
                </c:pt>
                <c:pt idx="379">
                  <c:v>0.73868</c:v>
                </c:pt>
                <c:pt idx="380">
                  <c:v>0.73780000000000001</c:v>
                </c:pt>
                <c:pt idx="381">
                  <c:v>0.73646</c:v>
                </c:pt>
                <c:pt idx="382">
                  <c:v>0.73577999999999999</c:v>
                </c:pt>
                <c:pt idx="383">
                  <c:v>0.73468</c:v>
                </c:pt>
                <c:pt idx="384">
                  <c:v>0.73363999999999996</c:v>
                </c:pt>
                <c:pt idx="385">
                  <c:v>0.73282000000000003</c:v>
                </c:pt>
                <c:pt idx="386">
                  <c:v>0.73194000000000004</c:v>
                </c:pt>
                <c:pt idx="387">
                  <c:v>0.73080000000000001</c:v>
                </c:pt>
                <c:pt idx="388">
                  <c:v>0.72974000000000006</c:v>
                </c:pt>
                <c:pt idx="389">
                  <c:v>0.72887999999999997</c:v>
                </c:pt>
                <c:pt idx="390">
                  <c:v>0.72789999999999999</c:v>
                </c:pt>
                <c:pt idx="391">
                  <c:v>0.72684000000000004</c:v>
                </c:pt>
                <c:pt idx="392">
                  <c:v>0.72596000000000005</c:v>
                </c:pt>
                <c:pt idx="393">
                  <c:v>0.72504000000000002</c:v>
                </c:pt>
                <c:pt idx="394">
                  <c:v>0.72396000000000005</c:v>
                </c:pt>
                <c:pt idx="395">
                  <c:v>0.72306000000000004</c:v>
                </c:pt>
                <c:pt idx="396">
                  <c:v>0.72226000000000001</c:v>
                </c:pt>
                <c:pt idx="397">
                  <c:v>0.72133999999999998</c:v>
                </c:pt>
                <c:pt idx="398">
                  <c:v>0.72040000000000004</c:v>
                </c:pt>
                <c:pt idx="399">
                  <c:v>0.71940000000000004</c:v>
                </c:pt>
                <c:pt idx="400">
                  <c:v>0.71830000000000005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DE6-408E-80C6-9165C6BD0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10984"/>
        <c:axId val="421812624"/>
      </c:scatterChart>
      <c:valAx>
        <c:axId val="421810984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2624"/>
        <c:crosses val="autoZero"/>
        <c:crossBetween val="midCat"/>
      </c:valAx>
      <c:valAx>
        <c:axId val="4218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0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Abs spec at final OD selected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'Pig graph '!$U$1</c:f>
              <c:strCache>
                <c:ptCount val="1"/>
                <c:pt idx="0">
                  <c:v>s1</c:v>
                </c:pt>
              </c:strCache>
            </c:strRef>
          </c:tx>
          <c:spPr>
            <a:ln w="19050" cap="rnd">
              <a:solidFill>
                <a:schemeClr val="accent6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'!$U$2:$U$402</c:f>
              <c:numCache>
                <c:formatCode>General</c:formatCode>
                <c:ptCount val="401"/>
                <c:pt idx="0">
                  <c:v>1.2366600000000001</c:v>
                </c:pt>
                <c:pt idx="1">
                  <c:v>1.2376799999999999</c:v>
                </c:pt>
                <c:pt idx="2">
                  <c:v>1.2387999999999999</c:v>
                </c:pt>
                <c:pt idx="3">
                  <c:v>1.24054</c:v>
                </c:pt>
                <c:pt idx="4">
                  <c:v>1.2418199999999999</c:v>
                </c:pt>
                <c:pt idx="5">
                  <c:v>1.24468</c:v>
                </c:pt>
                <c:pt idx="6">
                  <c:v>1.24756</c:v>
                </c:pt>
                <c:pt idx="7">
                  <c:v>1.25092</c:v>
                </c:pt>
                <c:pt idx="8">
                  <c:v>1.2551000000000001</c:v>
                </c:pt>
                <c:pt idx="9">
                  <c:v>1.2586999999999999</c:v>
                </c:pt>
                <c:pt idx="10">
                  <c:v>1.2637</c:v>
                </c:pt>
                <c:pt idx="11">
                  <c:v>1.26874</c:v>
                </c:pt>
                <c:pt idx="12">
                  <c:v>1.2727599999999999</c:v>
                </c:pt>
                <c:pt idx="13">
                  <c:v>1.2780199999999999</c:v>
                </c:pt>
                <c:pt idx="14">
                  <c:v>1.2826599999999999</c:v>
                </c:pt>
                <c:pt idx="15">
                  <c:v>1.2870200000000001</c:v>
                </c:pt>
                <c:pt idx="16">
                  <c:v>1.2918799999999999</c:v>
                </c:pt>
                <c:pt idx="17">
                  <c:v>1.2969999999999999</c:v>
                </c:pt>
                <c:pt idx="18">
                  <c:v>1.30148</c:v>
                </c:pt>
                <c:pt idx="19">
                  <c:v>1.3046199999999999</c:v>
                </c:pt>
                <c:pt idx="20">
                  <c:v>1.30758</c:v>
                </c:pt>
                <c:pt idx="21">
                  <c:v>1.3108200000000001</c:v>
                </c:pt>
                <c:pt idx="22">
                  <c:v>1.3135399999999999</c:v>
                </c:pt>
                <c:pt idx="23">
                  <c:v>1.3158000000000001</c:v>
                </c:pt>
                <c:pt idx="24">
                  <c:v>1.3186</c:v>
                </c:pt>
                <c:pt idx="25">
                  <c:v>1.32084</c:v>
                </c:pt>
                <c:pt idx="26">
                  <c:v>1.32348</c:v>
                </c:pt>
                <c:pt idx="27">
                  <c:v>1.3267199999999999</c:v>
                </c:pt>
                <c:pt idx="28">
                  <c:v>1.3302</c:v>
                </c:pt>
                <c:pt idx="29">
                  <c:v>1.33422</c:v>
                </c:pt>
                <c:pt idx="30">
                  <c:v>1.33918</c:v>
                </c:pt>
                <c:pt idx="31">
                  <c:v>1.3442000000000001</c:v>
                </c:pt>
                <c:pt idx="32">
                  <c:v>1.34992</c:v>
                </c:pt>
                <c:pt idx="33">
                  <c:v>1.3554600000000001</c:v>
                </c:pt>
                <c:pt idx="34">
                  <c:v>1.3610800000000001</c:v>
                </c:pt>
                <c:pt idx="35">
                  <c:v>1.36788</c:v>
                </c:pt>
                <c:pt idx="36">
                  <c:v>1.3741399999999999</c:v>
                </c:pt>
                <c:pt idx="37">
                  <c:v>1.38028</c:v>
                </c:pt>
                <c:pt idx="38">
                  <c:v>1.38558</c:v>
                </c:pt>
                <c:pt idx="39">
                  <c:v>1.3900999999999999</c:v>
                </c:pt>
                <c:pt idx="40">
                  <c:v>1.3935200000000001</c:v>
                </c:pt>
                <c:pt idx="41">
                  <c:v>1.3966400000000001</c:v>
                </c:pt>
                <c:pt idx="42">
                  <c:v>1.3978200000000001</c:v>
                </c:pt>
                <c:pt idx="43">
                  <c:v>1.39764</c:v>
                </c:pt>
                <c:pt idx="44">
                  <c:v>1.39666</c:v>
                </c:pt>
                <c:pt idx="45">
                  <c:v>1.39398</c:v>
                </c:pt>
                <c:pt idx="46">
                  <c:v>1.3892199999999999</c:v>
                </c:pt>
                <c:pt idx="47">
                  <c:v>1.3837200000000001</c:v>
                </c:pt>
                <c:pt idx="48">
                  <c:v>1.3766799999999999</c:v>
                </c:pt>
                <c:pt idx="49">
                  <c:v>1.3690199999999999</c:v>
                </c:pt>
                <c:pt idx="50">
                  <c:v>1.36056</c:v>
                </c:pt>
                <c:pt idx="51">
                  <c:v>1.35148</c:v>
                </c:pt>
                <c:pt idx="52">
                  <c:v>1.3428599999999999</c:v>
                </c:pt>
                <c:pt idx="53">
                  <c:v>1.33552</c:v>
                </c:pt>
                <c:pt idx="54">
                  <c:v>1.3283</c:v>
                </c:pt>
                <c:pt idx="55">
                  <c:v>1.3210999999999999</c:v>
                </c:pt>
                <c:pt idx="56">
                  <c:v>1.3147599999999999</c:v>
                </c:pt>
                <c:pt idx="57">
                  <c:v>1.30908</c:v>
                </c:pt>
                <c:pt idx="58">
                  <c:v>1.3042</c:v>
                </c:pt>
                <c:pt idx="59">
                  <c:v>1.3001400000000001</c:v>
                </c:pt>
                <c:pt idx="60">
                  <c:v>1.29606</c:v>
                </c:pt>
                <c:pt idx="61">
                  <c:v>1.2926</c:v>
                </c:pt>
                <c:pt idx="62">
                  <c:v>1.28898</c:v>
                </c:pt>
                <c:pt idx="63">
                  <c:v>1.2857400000000001</c:v>
                </c:pt>
                <c:pt idx="64">
                  <c:v>1.2823800000000001</c:v>
                </c:pt>
                <c:pt idx="65">
                  <c:v>1.2791399999999999</c:v>
                </c:pt>
                <c:pt idx="66">
                  <c:v>1.27624</c:v>
                </c:pt>
                <c:pt idx="67">
                  <c:v>1.2729200000000001</c:v>
                </c:pt>
                <c:pt idx="68">
                  <c:v>1.2692600000000001</c:v>
                </c:pt>
                <c:pt idx="69">
                  <c:v>1.2654399999999999</c:v>
                </c:pt>
                <c:pt idx="70">
                  <c:v>1.2624200000000001</c:v>
                </c:pt>
                <c:pt idx="71">
                  <c:v>1.2585200000000001</c:v>
                </c:pt>
                <c:pt idx="72">
                  <c:v>1.25474</c:v>
                </c:pt>
                <c:pt idx="73">
                  <c:v>1.25122</c:v>
                </c:pt>
                <c:pt idx="74">
                  <c:v>1.2478</c:v>
                </c:pt>
                <c:pt idx="75">
                  <c:v>1.2438</c:v>
                </c:pt>
                <c:pt idx="76">
                  <c:v>1.24024</c:v>
                </c:pt>
                <c:pt idx="77">
                  <c:v>1.23682</c:v>
                </c:pt>
                <c:pt idx="78">
                  <c:v>1.23342</c:v>
                </c:pt>
                <c:pt idx="79">
                  <c:v>1.23038</c:v>
                </c:pt>
                <c:pt idx="80">
                  <c:v>1.22712</c:v>
                </c:pt>
                <c:pt idx="81">
                  <c:v>1.22458</c:v>
                </c:pt>
                <c:pt idx="82">
                  <c:v>1.2221</c:v>
                </c:pt>
                <c:pt idx="83">
                  <c:v>1.2198800000000001</c:v>
                </c:pt>
                <c:pt idx="84">
                  <c:v>1.2181</c:v>
                </c:pt>
                <c:pt idx="85">
                  <c:v>1.2161</c:v>
                </c:pt>
                <c:pt idx="86">
                  <c:v>1.2151799999999999</c:v>
                </c:pt>
                <c:pt idx="87">
                  <c:v>1.2135400000000001</c:v>
                </c:pt>
                <c:pt idx="88">
                  <c:v>1.21252</c:v>
                </c:pt>
                <c:pt idx="89">
                  <c:v>1.2113400000000001</c:v>
                </c:pt>
                <c:pt idx="90">
                  <c:v>1.2105399999999999</c:v>
                </c:pt>
                <c:pt idx="91">
                  <c:v>1.20922</c:v>
                </c:pt>
                <c:pt idx="92">
                  <c:v>1.2081200000000001</c:v>
                </c:pt>
                <c:pt idx="93">
                  <c:v>1.2069399999999999</c:v>
                </c:pt>
                <c:pt idx="94">
                  <c:v>1.2053199999999999</c:v>
                </c:pt>
                <c:pt idx="95">
                  <c:v>1.2039200000000001</c:v>
                </c:pt>
                <c:pt idx="96">
                  <c:v>1.2020599999999999</c:v>
                </c:pt>
                <c:pt idx="97">
                  <c:v>1.1997599999999999</c:v>
                </c:pt>
                <c:pt idx="98">
                  <c:v>1.1975800000000001</c:v>
                </c:pt>
                <c:pt idx="99">
                  <c:v>1.19482</c:v>
                </c:pt>
                <c:pt idx="100">
                  <c:v>1.1917199999999999</c:v>
                </c:pt>
                <c:pt idx="101">
                  <c:v>1.18866</c:v>
                </c:pt>
                <c:pt idx="102">
                  <c:v>1.18546</c:v>
                </c:pt>
                <c:pt idx="103">
                  <c:v>1.18174</c:v>
                </c:pt>
                <c:pt idx="104">
                  <c:v>1.1775199999999999</c:v>
                </c:pt>
                <c:pt idx="105">
                  <c:v>1.17306</c:v>
                </c:pt>
                <c:pt idx="106">
                  <c:v>1.1684000000000001</c:v>
                </c:pt>
                <c:pt idx="107">
                  <c:v>1.1637200000000001</c:v>
                </c:pt>
                <c:pt idx="108">
                  <c:v>1.15866</c:v>
                </c:pt>
                <c:pt idx="109">
                  <c:v>1.1534800000000001</c:v>
                </c:pt>
                <c:pt idx="110">
                  <c:v>1.1481600000000001</c:v>
                </c:pt>
                <c:pt idx="111">
                  <c:v>1.14286</c:v>
                </c:pt>
                <c:pt idx="112">
                  <c:v>1.13764</c:v>
                </c:pt>
                <c:pt idx="113">
                  <c:v>1.1317200000000001</c:v>
                </c:pt>
                <c:pt idx="114">
                  <c:v>1.1260600000000001</c:v>
                </c:pt>
                <c:pt idx="115">
                  <c:v>1.12036</c:v>
                </c:pt>
                <c:pt idx="116">
                  <c:v>1.11466</c:v>
                </c:pt>
                <c:pt idx="117">
                  <c:v>1.10846</c:v>
                </c:pt>
                <c:pt idx="118">
                  <c:v>1.1026400000000001</c:v>
                </c:pt>
                <c:pt idx="119">
                  <c:v>1.0969</c:v>
                </c:pt>
                <c:pt idx="120">
                  <c:v>1.0911</c:v>
                </c:pt>
                <c:pt idx="121">
                  <c:v>1.0855399999999999</c:v>
                </c:pt>
                <c:pt idx="122">
                  <c:v>1.07972</c:v>
                </c:pt>
                <c:pt idx="123">
                  <c:v>1.0743799999999999</c:v>
                </c:pt>
                <c:pt idx="124">
                  <c:v>1.0687</c:v>
                </c:pt>
                <c:pt idx="125">
                  <c:v>1.06382</c:v>
                </c:pt>
                <c:pt idx="126">
                  <c:v>1.0583199999999999</c:v>
                </c:pt>
                <c:pt idx="127">
                  <c:v>1.05322</c:v>
                </c:pt>
                <c:pt idx="128">
                  <c:v>1.0479400000000001</c:v>
                </c:pt>
                <c:pt idx="129">
                  <c:v>1.0428999999999999</c:v>
                </c:pt>
                <c:pt idx="130">
                  <c:v>1.0379</c:v>
                </c:pt>
                <c:pt idx="131">
                  <c:v>1.0333000000000001</c:v>
                </c:pt>
                <c:pt idx="132">
                  <c:v>1.0288600000000001</c:v>
                </c:pt>
                <c:pt idx="133">
                  <c:v>1.0243599999999999</c:v>
                </c:pt>
                <c:pt idx="134">
                  <c:v>1.01986</c:v>
                </c:pt>
                <c:pt idx="135">
                  <c:v>1.01532</c:v>
                </c:pt>
                <c:pt idx="136">
                  <c:v>1.0112399999999999</c:v>
                </c:pt>
                <c:pt idx="137">
                  <c:v>1.0062199999999999</c:v>
                </c:pt>
                <c:pt idx="138">
                  <c:v>1.0022200000000001</c:v>
                </c:pt>
                <c:pt idx="139">
                  <c:v>0.99883999999999995</c:v>
                </c:pt>
                <c:pt idx="140">
                  <c:v>0.99490000000000001</c:v>
                </c:pt>
                <c:pt idx="141">
                  <c:v>0.99121999999999999</c:v>
                </c:pt>
                <c:pt idx="142">
                  <c:v>0.98760000000000003</c:v>
                </c:pt>
                <c:pt idx="143">
                  <c:v>0.98443999999999998</c:v>
                </c:pt>
                <c:pt idx="144">
                  <c:v>0.98138000000000003</c:v>
                </c:pt>
                <c:pt idx="145">
                  <c:v>0.97799999999999998</c:v>
                </c:pt>
                <c:pt idx="146">
                  <c:v>0.97506000000000004</c:v>
                </c:pt>
                <c:pt idx="147">
                  <c:v>0.97202</c:v>
                </c:pt>
                <c:pt idx="148">
                  <c:v>0.96945999999999999</c:v>
                </c:pt>
                <c:pt idx="149">
                  <c:v>0.96640000000000004</c:v>
                </c:pt>
                <c:pt idx="150">
                  <c:v>0.96365999999999996</c:v>
                </c:pt>
                <c:pt idx="151">
                  <c:v>0.96116000000000001</c:v>
                </c:pt>
                <c:pt idx="152">
                  <c:v>0.95879999999999999</c:v>
                </c:pt>
                <c:pt idx="153">
                  <c:v>0.95657999999999999</c:v>
                </c:pt>
                <c:pt idx="154">
                  <c:v>0.95433999999999997</c:v>
                </c:pt>
                <c:pt idx="155">
                  <c:v>0.95254000000000005</c:v>
                </c:pt>
                <c:pt idx="156">
                  <c:v>0.95054000000000005</c:v>
                </c:pt>
                <c:pt idx="157">
                  <c:v>0.94854000000000005</c:v>
                </c:pt>
                <c:pt idx="158">
                  <c:v>0.94679999999999997</c:v>
                </c:pt>
                <c:pt idx="159">
                  <c:v>0.94520000000000004</c:v>
                </c:pt>
                <c:pt idx="160">
                  <c:v>0.94352000000000003</c:v>
                </c:pt>
                <c:pt idx="161">
                  <c:v>0.94232000000000005</c:v>
                </c:pt>
                <c:pt idx="162">
                  <c:v>0.94076000000000004</c:v>
                </c:pt>
                <c:pt idx="163">
                  <c:v>0.93976000000000004</c:v>
                </c:pt>
                <c:pt idx="164">
                  <c:v>0.93881999999999999</c:v>
                </c:pt>
                <c:pt idx="165">
                  <c:v>0.93786000000000003</c:v>
                </c:pt>
                <c:pt idx="166">
                  <c:v>0.93691999999999998</c:v>
                </c:pt>
                <c:pt idx="167">
                  <c:v>0.93640000000000001</c:v>
                </c:pt>
                <c:pt idx="168">
                  <c:v>0.93600000000000005</c:v>
                </c:pt>
                <c:pt idx="169">
                  <c:v>0.93576000000000004</c:v>
                </c:pt>
                <c:pt idx="170">
                  <c:v>0.93554000000000004</c:v>
                </c:pt>
                <c:pt idx="171">
                  <c:v>0.93557999999999997</c:v>
                </c:pt>
                <c:pt idx="172">
                  <c:v>0.93545999999999996</c:v>
                </c:pt>
                <c:pt idx="173">
                  <c:v>0.93542000000000003</c:v>
                </c:pt>
                <c:pt idx="174">
                  <c:v>0.93559999999999999</c:v>
                </c:pt>
                <c:pt idx="175">
                  <c:v>0.93593999999999999</c:v>
                </c:pt>
                <c:pt idx="176">
                  <c:v>0.93598000000000003</c:v>
                </c:pt>
                <c:pt idx="177">
                  <c:v>0.93633999999999995</c:v>
                </c:pt>
                <c:pt idx="178">
                  <c:v>0.93679999999999997</c:v>
                </c:pt>
                <c:pt idx="179">
                  <c:v>0.93691999999999998</c:v>
                </c:pt>
                <c:pt idx="180">
                  <c:v>0.93713999999999997</c:v>
                </c:pt>
                <c:pt idx="181">
                  <c:v>0.93732000000000004</c:v>
                </c:pt>
                <c:pt idx="182">
                  <c:v>0.93720000000000003</c:v>
                </c:pt>
                <c:pt idx="183">
                  <c:v>0.93733999999999995</c:v>
                </c:pt>
                <c:pt idx="184">
                  <c:v>0.9375</c:v>
                </c:pt>
                <c:pt idx="185">
                  <c:v>0.93740000000000001</c:v>
                </c:pt>
                <c:pt idx="186">
                  <c:v>0.93725999999999998</c:v>
                </c:pt>
                <c:pt idx="187">
                  <c:v>0.93720000000000003</c:v>
                </c:pt>
                <c:pt idx="188">
                  <c:v>0.93725999999999998</c:v>
                </c:pt>
                <c:pt idx="189">
                  <c:v>0.93720000000000003</c:v>
                </c:pt>
                <c:pt idx="190">
                  <c:v>0.93676000000000004</c:v>
                </c:pt>
                <c:pt idx="191">
                  <c:v>0.93669999999999998</c:v>
                </c:pt>
                <c:pt idx="192">
                  <c:v>0.93657999999999997</c:v>
                </c:pt>
                <c:pt idx="193">
                  <c:v>0.93644000000000005</c:v>
                </c:pt>
                <c:pt idx="194">
                  <c:v>0.93610000000000004</c:v>
                </c:pt>
                <c:pt idx="195">
                  <c:v>0.93586000000000003</c:v>
                </c:pt>
                <c:pt idx="196">
                  <c:v>0.93569999999999998</c:v>
                </c:pt>
                <c:pt idx="197">
                  <c:v>0.93530000000000002</c:v>
                </c:pt>
                <c:pt idx="198">
                  <c:v>0.93515999999999999</c:v>
                </c:pt>
                <c:pt idx="199">
                  <c:v>0.93493999999999999</c:v>
                </c:pt>
                <c:pt idx="200">
                  <c:v>0.93464000000000003</c:v>
                </c:pt>
                <c:pt idx="201">
                  <c:v>0.93459999999999999</c:v>
                </c:pt>
                <c:pt idx="202">
                  <c:v>0.93484</c:v>
                </c:pt>
                <c:pt idx="203">
                  <c:v>0.93508000000000002</c:v>
                </c:pt>
                <c:pt idx="204">
                  <c:v>0.93576000000000004</c:v>
                </c:pt>
                <c:pt idx="205">
                  <c:v>0.93644000000000005</c:v>
                </c:pt>
                <c:pt idx="206">
                  <c:v>0.93755999999999995</c:v>
                </c:pt>
                <c:pt idx="207">
                  <c:v>0.93896000000000002</c:v>
                </c:pt>
                <c:pt idx="208">
                  <c:v>0.94042000000000003</c:v>
                </c:pt>
                <c:pt idx="209">
                  <c:v>0.94223999999999997</c:v>
                </c:pt>
                <c:pt idx="210">
                  <c:v>0.94452000000000003</c:v>
                </c:pt>
                <c:pt idx="211">
                  <c:v>0.94701999999999997</c:v>
                </c:pt>
                <c:pt idx="212">
                  <c:v>0.94976000000000005</c:v>
                </c:pt>
                <c:pt idx="213">
                  <c:v>0.95316000000000001</c:v>
                </c:pt>
                <c:pt idx="214">
                  <c:v>0.95648</c:v>
                </c:pt>
                <c:pt idx="215">
                  <c:v>0.96013999999999999</c:v>
                </c:pt>
                <c:pt idx="216">
                  <c:v>0.96430000000000005</c:v>
                </c:pt>
                <c:pt idx="217">
                  <c:v>0.96884000000000003</c:v>
                </c:pt>
                <c:pt idx="218">
                  <c:v>0.97326000000000001</c:v>
                </c:pt>
                <c:pt idx="219">
                  <c:v>0.97789999999999999</c:v>
                </c:pt>
                <c:pt idx="220">
                  <c:v>0.98258000000000001</c:v>
                </c:pt>
                <c:pt idx="221">
                  <c:v>0.98729999999999996</c:v>
                </c:pt>
                <c:pt idx="222">
                  <c:v>0.99206000000000005</c:v>
                </c:pt>
                <c:pt idx="223">
                  <c:v>0.99731999999999998</c:v>
                </c:pt>
                <c:pt idx="224">
                  <c:v>1.0022599999999999</c:v>
                </c:pt>
                <c:pt idx="225">
                  <c:v>1.0072399999999999</c:v>
                </c:pt>
                <c:pt idx="226">
                  <c:v>1.01214</c:v>
                </c:pt>
                <c:pt idx="227">
                  <c:v>1.0167200000000001</c:v>
                </c:pt>
                <c:pt idx="228">
                  <c:v>1.0207200000000001</c:v>
                </c:pt>
                <c:pt idx="229">
                  <c:v>1.0244200000000001</c:v>
                </c:pt>
                <c:pt idx="230">
                  <c:v>1.0280400000000001</c:v>
                </c:pt>
                <c:pt idx="231">
                  <c:v>1.0310600000000001</c:v>
                </c:pt>
                <c:pt idx="232">
                  <c:v>1.0336000000000001</c:v>
                </c:pt>
                <c:pt idx="233">
                  <c:v>1.0354000000000001</c:v>
                </c:pt>
                <c:pt idx="234">
                  <c:v>1.03684</c:v>
                </c:pt>
                <c:pt idx="235">
                  <c:v>1.03748</c:v>
                </c:pt>
                <c:pt idx="236">
                  <c:v>1.0374399999999999</c:v>
                </c:pt>
                <c:pt idx="237">
                  <c:v>1.0367999999999999</c:v>
                </c:pt>
                <c:pt idx="238">
                  <c:v>1.0354000000000001</c:v>
                </c:pt>
                <c:pt idx="239">
                  <c:v>1.03342</c:v>
                </c:pt>
                <c:pt idx="240">
                  <c:v>1.0304</c:v>
                </c:pt>
                <c:pt idx="241">
                  <c:v>1.0271399999999999</c:v>
                </c:pt>
                <c:pt idx="242">
                  <c:v>1.02332</c:v>
                </c:pt>
                <c:pt idx="243">
                  <c:v>1.0186999999999999</c:v>
                </c:pt>
                <c:pt idx="244">
                  <c:v>1.014</c:v>
                </c:pt>
                <c:pt idx="245">
                  <c:v>1.00892</c:v>
                </c:pt>
                <c:pt idx="246">
                  <c:v>1.0038199999999999</c:v>
                </c:pt>
                <c:pt idx="247">
                  <c:v>0.99860000000000004</c:v>
                </c:pt>
                <c:pt idx="248">
                  <c:v>0.99343999999999999</c:v>
                </c:pt>
                <c:pt idx="249">
                  <c:v>0.98831999999999998</c:v>
                </c:pt>
                <c:pt idx="250">
                  <c:v>0.98292000000000002</c:v>
                </c:pt>
                <c:pt idx="251">
                  <c:v>0.97811999999999999</c:v>
                </c:pt>
                <c:pt idx="252">
                  <c:v>0.97323999999999999</c:v>
                </c:pt>
                <c:pt idx="253">
                  <c:v>0.96867999999999999</c:v>
                </c:pt>
                <c:pt idx="254">
                  <c:v>0.96426000000000001</c:v>
                </c:pt>
                <c:pt idx="255">
                  <c:v>0.96018000000000003</c:v>
                </c:pt>
                <c:pt idx="256">
                  <c:v>0.95657999999999999</c:v>
                </c:pt>
                <c:pt idx="257">
                  <c:v>0.95330000000000004</c:v>
                </c:pt>
                <c:pt idx="258">
                  <c:v>0.95065999999999995</c:v>
                </c:pt>
                <c:pt idx="259">
                  <c:v>0.9486</c:v>
                </c:pt>
                <c:pt idx="260">
                  <c:v>0.94732000000000005</c:v>
                </c:pt>
                <c:pt idx="261">
                  <c:v>0.94701999999999997</c:v>
                </c:pt>
                <c:pt idx="262">
                  <c:v>0.94742000000000004</c:v>
                </c:pt>
                <c:pt idx="263">
                  <c:v>0.94894000000000001</c:v>
                </c:pt>
                <c:pt idx="264">
                  <c:v>0.95113999999999999</c:v>
                </c:pt>
                <c:pt idx="265">
                  <c:v>0.95433999999999997</c:v>
                </c:pt>
                <c:pt idx="266">
                  <c:v>0.95852000000000004</c:v>
                </c:pt>
                <c:pt idx="267">
                  <c:v>0.96338000000000001</c:v>
                </c:pt>
                <c:pt idx="268">
                  <c:v>0.96814</c:v>
                </c:pt>
                <c:pt idx="269">
                  <c:v>0.97343999999999997</c:v>
                </c:pt>
                <c:pt idx="270">
                  <c:v>0.97916000000000003</c:v>
                </c:pt>
                <c:pt idx="271">
                  <c:v>0.98485999999999996</c:v>
                </c:pt>
                <c:pt idx="272">
                  <c:v>0.99038000000000004</c:v>
                </c:pt>
                <c:pt idx="273">
                  <c:v>0.99582000000000004</c:v>
                </c:pt>
                <c:pt idx="274">
                  <c:v>1.00116</c:v>
                </c:pt>
                <c:pt idx="275">
                  <c:v>1.00668</c:v>
                </c:pt>
                <c:pt idx="276">
                  <c:v>1.01258</c:v>
                </c:pt>
                <c:pt idx="277">
                  <c:v>1.0185200000000001</c:v>
                </c:pt>
                <c:pt idx="278">
                  <c:v>1.0246599999999999</c:v>
                </c:pt>
                <c:pt idx="279">
                  <c:v>1.03016</c:v>
                </c:pt>
                <c:pt idx="280">
                  <c:v>1.0349200000000001</c:v>
                </c:pt>
                <c:pt idx="281">
                  <c:v>1.03826</c:v>
                </c:pt>
                <c:pt idx="282">
                  <c:v>1.0398799999999999</c:v>
                </c:pt>
                <c:pt idx="283">
                  <c:v>1.0395799999999999</c:v>
                </c:pt>
                <c:pt idx="284">
                  <c:v>1.03714</c:v>
                </c:pt>
                <c:pt idx="285">
                  <c:v>1.0329200000000001</c:v>
                </c:pt>
                <c:pt idx="286">
                  <c:v>1.02694</c:v>
                </c:pt>
                <c:pt idx="287">
                  <c:v>1.01908</c:v>
                </c:pt>
                <c:pt idx="288">
                  <c:v>1.0097400000000001</c:v>
                </c:pt>
                <c:pt idx="289">
                  <c:v>0.99936000000000003</c:v>
                </c:pt>
                <c:pt idx="290">
                  <c:v>0.98816000000000004</c:v>
                </c:pt>
                <c:pt idx="291">
                  <c:v>0.9758</c:v>
                </c:pt>
                <c:pt idx="292">
                  <c:v>0.96406000000000003</c:v>
                </c:pt>
                <c:pt idx="293">
                  <c:v>0.95223999999999998</c:v>
                </c:pt>
                <c:pt idx="294">
                  <c:v>0.93972</c:v>
                </c:pt>
                <c:pt idx="295">
                  <c:v>0.92834000000000005</c:v>
                </c:pt>
                <c:pt idx="296">
                  <c:v>0.9173</c:v>
                </c:pt>
                <c:pt idx="297">
                  <c:v>0.90669999999999995</c:v>
                </c:pt>
                <c:pt idx="298">
                  <c:v>0.89658000000000004</c:v>
                </c:pt>
                <c:pt idx="299">
                  <c:v>0.88741999999999999</c:v>
                </c:pt>
                <c:pt idx="300">
                  <c:v>0.87860000000000005</c:v>
                </c:pt>
                <c:pt idx="301">
                  <c:v>0.87053999999999998</c:v>
                </c:pt>
                <c:pt idx="302">
                  <c:v>0.86317999999999995</c:v>
                </c:pt>
                <c:pt idx="303">
                  <c:v>0.85641999999999996</c:v>
                </c:pt>
                <c:pt idx="304">
                  <c:v>0.85004000000000002</c:v>
                </c:pt>
                <c:pt idx="305">
                  <c:v>0.84389999999999998</c:v>
                </c:pt>
                <c:pt idx="306">
                  <c:v>0.83826000000000001</c:v>
                </c:pt>
                <c:pt idx="307">
                  <c:v>0.83309999999999995</c:v>
                </c:pt>
                <c:pt idx="308">
                  <c:v>0.82811999999999997</c:v>
                </c:pt>
                <c:pt idx="309">
                  <c:v>0.82330000000000003</c:v>
                </c:pt>
                <c:pt idx="310">
                  <c:v>0.81888000000000005</c:v>
                </c:pt>
                <c:pt idx="311">
                  <c:v>0.81476000000000004</c:v>
                </c:pt>
                <c:pt idx="312">
                  <c:v>0.81088000000000005</c:v>
                </c:pt>
                <c:pt idx="313">
                  <c:v>0.80700000000000005</c:v>
                </c:pt>
                <c:pt idx="314">
                  <c:v>0.80337999999999998</c:v>
                </c:pt>
                <c:pt idx="315">
                  <c:v>0.80008000000000001</c:v>
                </c:pt>
                <c:pt idx="316">
                  <c:v>0.79681999999999997</c:v>
                </c:pt>
                <c:pt idx="317">
                  <c:v>0.79369999999999996</c:v>
                </c:pt>
                <c:pt idx="318">
                  <c:v>0.79057999999999995</c:v>
                </c:pt>
                <c:pt idx="319">
                  <c:v>0.78754000000000002</c:v>
                </c:pt>
                <c:pt idx="320">
                  <c:v>0.78464</c:v>
                </c:pt>
                <c:pt idx="321">
                  <c:v>0.78198000000000001</c:v>
                </c:pt>
                <c:pt idx="322">
                  <c:v>0.77932000000000001</c:v>
                </c:pt>
                <c:pt idx="323">
                  <c:v>0.77681999999999995</c:v>
                </c:pt>
                <c:pt idx="324">
                  <c:v>0.77429999999999999</c:v>
                </c:pt>
                <c:pt idx="325">
                  <c:v>0.77171999999999996</c:v>
                </c:pt>
                <c:pt idx="326">
                  <c:v>0.76926000000000005</c:v>
                </c:pt>
                <c:pt idx="327">
                  <c:v>0.76688000000000001</c:v>
                </c:pt>
                <c:pt idx="328">
                  <c:v>0.76463999999999999</c:v>
                </c:pt>
                <c:pt idx="329">
                  <c:v>0.76239999999999997</c:v>
                </c:pt>
                <c:pt idx="330">
                  <c:v>0.76049999999999995</c:v>
                </c:pt>
                <c:pt idx="331">
                  <c:v>0.75819999999999999</c:v>
                </c:pt>
                <c:pt idx="332">
                  <c:v>0.75619999999999998</c:v>
                </c:pt>
                <c:pt idx="333">
                  <c:v>0.75407999999999997</c:v>
                </c:pt>
                <c:pt idx="334">
                  <c:v>0.75195999999999996</c:v>
                </c:pt>
                <c:pt idx="335">
                  <c:v>0.75005999999999995</c:v>
                </c:pt>
                <c:pt idx="336">
                  <c:v>0.74780000000000002</c:v>
                </c:pt>
                <c:pt idx="337">
                  <c:v>0.74578</c:v>
                </c:pt>
                <c:pt idx="338">
                  <c:v>0.74373999999999996</c:v>
                </c:pt>
                <c:pt idx="339">
                  <c:v>0.74194000000000004</c:v>
                </c:pt>
                <c:pt idx="340">
                  <c:v>0.74002000000000001</c:v>
                </c:pt>
                <c:pt idx="341">
                  <c:v>0.73812</c:v>
                </c:pt>
                <c:pt idx="342">
                  <c:v>0.73607999999999996</c:v>
                </c:pt>
                <c:pt idx="343">
                  <c:v>0.73440000000000005</c:v>
                </c:pt>
                <c:pt idx="344">
                  <c:v>0.73258000000000001</c:v>
                </c:pt>
                <c:pt idx="345">
                  <c:v>0.73080000000000001</c:v>
                </c:pt>
                <c:pt idx="346">
                  <c:v>0.72918000000000005</c:v>
                </c:pt>
                <c:pt idx="347">
                  <c:v>0.72726000000000002</c:v>
                </c:pt>
                <c:pt idx="348">
                  <c:v>0.72552000000000005</c:v>
                </c:pt>
                <c:pt idx="349">
                  <c:v>0.72382000000000002</c:v>
                </c:pt>
                <c:pt idx="350">
                  <c:v>0.72214</c:v>
                </c:pt>
                <c:pt idx="351">
                  <c:v>0.72033999999999998</c:v>
                </c:pt>
                <c:pt idx="352">
                  <c:v>0.71867999999999999</c:v>
                </c:pt>
                <c:pt idx="353">
                  <c:v>0.71714</c:v>
                </c:pt>
                <c:pt idx="354">
                  <c:v>0.71560000000000001</c:v>
                </c:pt>
                <c:pt idx="355">
                  <c:v>0.71386000000000005</c:v>
                </c:pt>
                <c:pt idx="356">
                  <c:v>0.71211999999999998</c:v>
                </c:pt>
                <c:pt idx="357">
                  <c:v>0.71060000000000001</c:v>
                </c:pt>
                <c:pt idx="358">
                  <c:v>0.70889999999999997</c:v>
                </c:pt>
                <c:pt idx="359">
                  <c:v>0.70730000000000004</c:v>
                </c:pt>
                <c:pt idx="360">
                  <c:v>0.70572000000000001</c:v>
                </c:pt>
                <c:pt idx="361">
                  <c:v>0.70450000000000002</c:v>
                </c:pt>
                <c:pt idx="362">
                  <c:v>0.70287999999999995</c:v>
                </c:pt>
                <c:pt idx="363">
                  <c:v>0.70123999999999997</c:v>
                </c:pt>
                <c:pt idx="364">
                  <c:v>0.69976000000000005</c:v>
                </c:pt>
                <c:pt idx="365">
                  <c:v>0.69821999999999995</c:v>
                </c:pt>
                <c:pt idx="366">
                  <c:v>0.69672000000000001</c:v>
                </c:pt>
                <c:pt idx="367">
                  <c:v>0.69510000000000005</c:v>
                </c:pt>
                <c:pt idx="368">
                  <c:v>0.69366000000000005</c:v>
                </c:pt>
                <c:pt idx="369">
                  <c:v>0.69220000000000004</c:v>
                </c:pt>
                <c:pt idx="370">
                  <c:v>0.69086000000000003</c:v>
                </c:pt>
                <c:pt idx="371">
                  <c:v>0.68935999999999997</c:v>
                </c:pt>
                <c:pt idx="372">
                  <c:v>0.68789999999999996</c:v>
                </c:pt>
                <c:pt idx="373">
                  <c:v>0.68655999999999995</c:v>
                </c:pt>
                <c:pt idx="374">
                  <c:v>0.68518000000000001</c:v>
                </c:pt>
                <c:pt idx="375">
                  <c:v>0.68371999999999999</c:v>
                </c:pt>
                <c:pt idx="376">
                  <c:v>0.68228</c:v>
                </c:pt>
                <c:pt idx="377">
                  <c:v>0.68100000000000005</c:v>
                </c:pt>
                <c:pt idx="378">
                  <c:v>0.67956000000000005</c:v>
                </c:pt>
                <c:pt idx="379">
                  <c:v>0.67810000000000004</c:v>
                </c:pt>
                <c:pt idx="380">
                  <c:v>0.67681999999999998</c:v>
                </c:pt>
                <c:pt idx="381">
                  <c:v>0.67542000000000002</c:v>
                </c:pt>
                <c:pt idx="382">
                  <c:v>0.67422000000000004</c:v>
                </c:pt>
                <c:pt idx="383">
                  <c:v>0.67266000000000004</c:v>
                </c:pt>
                <c:pt idx="384">
                  <c:v>0.67147999999999997</c:v>
                </c:pt>
                <c:pt idx="385">
                  <c:v>0.66983999999999999</c:v>
                </c:pt>
                <c:pt idx="386">
                  <c:v>0.66859999999999997</c:v>
                </c:pt>
                <c:pt idx="387">
                  <c:v>0.66718</c:v>
                </c:pt>
                <c:pt idx="388">
                  <c:v>0.66586000000000001</c:v>
                </c:pt>
                <c:pt idx="389">
                  <c:v>0.66456000000000004</c:v>
                </c:pt>
                <c:pt idx="390">
                  <c:v>0.66325999999999996</c:v>
                </c:pt>
                <c:pt idx="391">
                  <c:v>0.66168000000000005</c:v>
                </c:pt>
                <c:pt idx="392">
                  <c:v>0.66052</c:v>
                </c:pt>
                <c:pt idx="393">
                  <c:v>0.65913999999999995</c:v>
                </c:pt>
                <c:pt idx="394">
                  <c:v>0.65790000000000004</c:v>
                </c:pt>
                <c:pt idx="395">
                  <c:v>0.65649999999999997</c:v>
                </c:pt>
                <c:pt idx="396">
                  <c:v>0.65505999999999998</c:v>
                </c:pt>
                <c:pt idx="397">
                  <c:v>0.65378000000000003</c:v>
                </c:pt>
                <c:pt idx="398">
                  <c:v>0.65258000000000005</c:v>
                </c:pt>
                <c:pt idx="399">
                  <c:v>0.65124000000000004</c:v>
                </c:pt>
                <c:pt idx="400">
                  <c:v>0.65014000000000005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8-4C85-A572-B620E03465A2}"/>
            </c:ext>
          </c:extLst>
        </c:ser>
        <c:ser>
          <c:idx val="5"/>
          <c:order val="1"/>
          <c:tx>
            <c:strRef>
              <c:f>'Pig graph '!$Z$1</c:f>
              <c:strCache>
                <c:ptCount val="1"/>
                <c:pt idx="0">
                  <c:v>s6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'!$Z$2:$Z$402</c:f>
              <c:numCache>
                <c:formatCode>General</c:formatCode>
                <c:ptCount val="401"/>
                <c:pt idx="0">
                  <c:v>1.07138</c:v>
                </c:pt>
                <c:pt idx="1">
                  <c:v>1.07142</c:v>
                </c:pt>
                <c:pt idx="2">
                  <c:v>1.0724400000000001</c:v>
                </c:pt>
                <c:pt idx="3">
                  <c:v>1.0739799999999999</c:v>
                </c:pt>
                <c:pt idx="4">
                  <c:v>1.0755399999999999</c:v>
                </c:pt>
                <c:pt idx="5">
                  <c:v>1.0767199999999999</c:v>
                </c:pt>
                <c:pt idx="6">
                  <c:v>1.0788</c:v>
                </c:pt>
                <c:pt idx="7">
                  <c:v>1.0817000000000001</c:v>
                </c:pt>
                <c:pt idx="8">
                  <c:v>1.08368</c:v>
                </c:pt>
                <c:pt idx="9">
                  <c:v>1.0868800000000001</c:v>
                </c:pt>
                <c:pt idx="10">
                  <c:v>1.08988</c:v>
                </c:pt>
                <c:pt idx="11">
                  <c:v>1.09246</c:v>
                </c:pt>
                <c:pt idx="12">
                  <c:v>1.09558</c:v>
                </c:pt>
                <c:pt idx="13">
                  <c:v>1.0995200000000001</c:v>
                </c:pt>
                <c:pt idx="14">
                  <c:v>1.10206</c:v>
                </c:pt>
                <c:pt idx="15">
                  <c:v>1.1043000000000001</c:v>
                </c:pt>
                <c:pt idx="16">
                  <c:v>1.1070199999999999</c:v>
                </c:pt>
                <c:pt idx="17">
                  <c:v>1.1105400000000001</c:v>
                </c:pt>
                <c:pt idx="18">
                  <c:v>1.1126</c:v>
                </c:pt>
                <c:pt idx="19">
                  <c:v>1.1145400000000001</c:v>
                </c:pt>
                <c:pt idx="20">
                  <c:v>1.1160600000000001</c:v>
                </c:pt>
                <c:pt idx="21">
                  <c:v>1.1169199999999999</c:v>
                </c:pt>
                <c:pt idx="22">
                  <c:v>1.11832</c:v>
                </c:pt>
                <c:pt idx="23">
                  <c:v>1.1187800000000001</c:v>
                </c:pt>
                <c:pt idx="24">
                  <c:v>1.12002</c:v>
                </c:pt>
                <c:pt idx="25">
                  <c:v>1.1211800000000001</c:v>
                </c:pt>
                <c:pt idx="26">
                  <c:v>1.1221399999999999</c:v>
                </c:pt>
                <c:pt idx="27">
                  <c:v>1.12442</c:v>
                </c:pt>
                <c:pt idx="28">
                  <c:v>1.1261000000000001</c:v>
                </c:pt>
                <c:pt idx="29">
                  <c:v>1.1285000000000001</c:v>
                </c:pt>
                <c:pt idx="30">
                  <c:v>1.1310199999999999</c:v>
                </c:pt>
                <c:pt idx="31">
                  <c:v>1.1337200000000001</c:v>
                </c:pt>
                <c:pt idx="32">
                  <c:v>1.1372</c:v>
                </c:pt>
                <c:pt idx="33">
                  <c:v>1.14042</c:v>
                </c:pt>
                <c:pt idx="34">
                  <c:v>1.1432800000000001</c:v>
                </c:pt>
                <c:pt idx="35">
                  <c:v>1.1471</c:v>
                </c:pt>
                <c:pt idx="36">
                  <c:v>1.15036</c:v>
                </c:pt>
                <c:pt idx="37">
                  <c:v>1.15384</c:v>
                </c:pt>
                <c:pt idx="38">
                  <c:v>1.15652</c:v>
                </c:pt>
                <c:pt idx="39">
                  <c:v>1.15866</c:v>
                </c:pt>
                <c:pt idx="40">
                  <c:v>1.1599200000000001</c:v>
                </c:pt>
                <c:pt idx="41">
                  <c:v>1.1608000000000001</c:v>
                </c:pt>
                <c:pt idx="42">
                  <c:v>1.16028</c:v>
                </c:pt>
                <c:pt idx="43">
                  <c:v>1.15906</c:v>
                </c:pt>
                <c:pt idx="44">
                  <c:v>1.1572199999999999</c:v>
                </c:pt>
                <c:pt idx="45">
                  <c:v>1.1539999999999999</c:v>
                </c:pt>
                <c:pt idx="46">
                  <c:v>1.14968</c:v>
                </c:pt>
                <c:pt idx="47">
                  <c:v>1.1453199999999999</c:v>
                </c:pt>
                <c:pt idx="48">
                  <c:v>1.14008</c:v>
                </c:pt>
                <c:pt idx="49">
                  <c:v>1.1339999999999999</c:v>
                </c:pt>
                <c:pt idx="50">
                  <c:v>1.12792</c:v>
                </c:pt>
                <c:pt idx="51">
                  <c:v>1.1221000000000001</c:v>
                </c:pt>
                <c:pt idx="52">
                  <c:v>1.11612</c:v>
                </c:pt>
                <c:pt idx="53">
                  <c:v>1.1109</c:v>
                </c:pt>
                <c:pt idx="54">
                  <c:v>1.1064400000000001</c:v>
                </c:pt>
                <c:pt idx="55">
                  <c:v>1.1017999999999999</c:v>
                </c:pt>
                <c:pt idx="56">
                  <c:v>1.0975999999999999</c:v>
                </c:pt>
                <c:pt idx="57">
                  <c:v>1.09378</c:v>
                </c:pt>
                <c:pt idx="58">
                  <c:v>1.0909800000000001</c:v>
                </c:pt>
                <c:pt idx="59">
                  <c:v>1.0881000000000001</c:v>
                </c:pt>
                <c:pt idx="60">
                  <c:v>1.08602</c:v>
                </c:pt>
                <c:pt idx="61">
                  <c:v>1.0839799999999999</c:v>
                </c:pt>
                <c:pt idx="62">
                  <c:v>1.08206</c:v>
                </c:pt>
                <c:pt idx="63">
                  <c:v>1.0804199999999999</c:v>
                </c:pt>
                <c:pt idx="64">
                  <c:v>1.0783</c:v>
                </c:pt>
                <c:pt idx="65">
                  <c:v>1.0766199999999999</c:v>
                </c:pt>
                <c:pt idx="66">
                  <c:v>1.07464</c:v>
                </c:pt>
                <c:pt idx="67">
                  <c:v>1.0730200000000001</c:v>
                </c:pt>
                <c:pt idx="68">
                  <c:v>1.07098</c:v>
                </c:pt>
                <c:pt idx="69">
                  <c:v>1.0688200000000001</c:v>
                </c:pt>
                <c:pt idx="70">
                  <c:v>1.06724</c:v>
                </c:pt>
                <c:pt idx="71">
                  <c:v>1.0650599999999999</c:v>
                </c:pt>
                <c:pt idx="72">
                  <c:v>1.0630200000000001</c:v>
                </c:pt>
                <c:pt idx="73">
                  <c:v>1.06118</c:v>
                </c:pt>
                <c:pt idx="74">
                  <c:v>1.0592600000000001</c:v>
                </c:pt>
                <c:pt idx="75">
                  <c:v>1.0572600000000001</c:v>
                </c:pt>
                <c:pt idx="76">
                  <c:v>1.0554600000000001</c:v>
                </c:pt>
                <c:pt idx="77">
                  <c:v>1.0537399999999999</c:v>
                </c:pt>
                <c:pt idx="78">
                  <c:v>1.05206</c:v>
                </c:pt>
                <c:pt idx="79">
                  <c:v>1.05054</c:v>
                </c:pt>
                <c:pt idx="80">
                  <c:v>1.0490999999999999</c:v>
                </c:pt>
                <c:pt idx="81">
                  <c:v>1.04816</c:v>
                </c:pt>
                <c:pt idx="82">
                  <c:v>1.0468999999999999</c:v>
                </c:pt>
                <c:pt idx="83">
                  <c:v>1.0457799999999999</c:v>
                </c:pt>
                <c:pt idx="84">
                  <c:v>1.0449600000000001</c:v>
                </c:pt>
                <c:pt idx="85">
                  <c:v>1.04426</c:v>
                </c:pt>
                <c:pt idx="86">
                  <c:v>1.04382</c:v>
                </c:pt>
                <c:pt idx="87">
                  <c:v>1.0429600000000001</c:v>
                </c:pt>
                <c:pt idx="88">
                  <c:v>1.04264</c:v>
                </c:pt>
                <c:pt idx="89">
                  <c:v>1.04244</c:v>
                </c:pt>
                <c:pt idx="90">
                  <c:v>1.04196</c:v>
                </c:pt>
                <c:pt idx="91">
                  <c:v>1.04142</c:v>
                </c:pt>
                <c:pt idx="92">
                  <c:v>1.0410200000000001</c:v>
                </c:pt>
                <c:pt idx="93">
                  <c:v>1.0405599999999999</c:v>
                </c:pt>
                <c:pt idx="94">
                  <c:v>1.03986</c:v>
                </c:pt>
                <c:pt idx="95">
                  <c:v>1.03894</c:v>
                </c:pt>
                <c:pt idx="96">
                  <c:v>1.0380199999999999</c:v>
                </c:pt>
                <c:pt idx="97">
                  <c:v>1.0373600000000001</c:v>
                </c:pt>
                <c:pt idx="98">
                  <c:v>1.03592</c:v>
                </c:pt>
                <c:pt idx="99">
                  <c:v>1.0341400000000001</c:v>
                </c:pt>
                <c:pt idx="100">
                  <c:v>1.03274</c:v>
                </c:pt>
                <c:pt idx="101">
                  <c:v>1.0309200000000001</c:v>
                </c:pt>
                <c:pt idx="102">
                  <c:v>1.0291999999999999</c:v>
                </c:pt>
                <c:pt idx="103">
                  <c:v>1.0266999999999999</c:v>
                </c:pt>
                <c:pt idx="104">
                  <c:v>1.0244200000000001</c:v>
                </c:pt>
                <c:pt idx="105">
                  <c:v>1.0221199999999999</c:v>
                </c:pt>
                <c:pt idx="106">
                  <c:v>1.01956</c:v>
                </c:pt>
                <c:pt idx="107">
                  <c:v>1.0167600000000001</c:v>
                </c:pt>
                <c:pt idx="108">
                  <c:v>1.0140400000000001</c:v>
                </c:pt>
                <c:pt idx="109">
                  <c:v>1.01108</c:v>
                </c:pt>
                <c:pt idx="110">
                  <c:v>1.0083</c:v>
                </c:pt>
                <c:pt idx="111">
                  <c:v>1.0056400000000001</c:v>
                </c:pt>
                <c:pt idx="112">
                  <c:v>1.0028600000000001</c:v>
                </c:pt>
                <c:pt idx="113">
                  <c:v>0.99982000000000004</c:v>
                </c:pt>
                <c:pt idx="114">
                  <c:v>0.99697999999999998</c:v>
                </c:pt>
                <c:pt idx="115">
                  <c:v>0.99380000000000002</c:v>
                </c:pt>
                <c:pt idx="116">
                  <c:v>0.99077999999999999</c:v>
                </c:pt>
                <c:pt idx="117">
                  <c:v>0.98746</c:v>
                </c:pt>
                <c:pt idx="118">
                  <c:v>0.98463999999999996</c:v>
                </c:pt>
                <c:pt idx="119">
                  <c:v>0.98155999999999999</c:v>
                </c:pt>
                <c:pt idx="120">
                  <c:v>0.97875999999999996</c:v>
                </c:pt>
                <c:pt idx="121">
                  <c:v>0.97597999999999996</c:v>
                </c:pt>
                <c:pt idx="122">
                  <c:v>0.97306000000000004</c:v>
                </c:pt>
                <c:pt idx="123">
                  <c:v>0.97030000000000005</c:v>
                </c:pt>
                <c:pt idx="124">
                  <c:v>0.96740000000000004</c:v>
                </c:pt>
                <c:pt idx="125">
                  <c:v>0.96518000000000004</c:v>
                </c:pt>
                <c:pt idx="126">
                  <c:v>0.96218000000000004</c:v>
                </c:pt>
                <c:pt idx="127">
                  <c:v>0.95989999999999998</c:v>
                </c:pt>
                <c:pt idx="128">
                  <c:v>0.95767999999999998</c:v>
                </c:pt>
                <c:pt idx="129">
                  <c:v>0.95486000000000004</c:v>
                </c:pt>
                <c:pt idx="130">
                  <c:v>0.95277999999999996</c:v>
                </c:pt>
                <c:pt idx="131">
                  <c:v>0.95065999999999995</c:v>
                </c:pt>
                <c:pt idx="132">
                  <c:v>0.94845999999999997</c:v>
                </c:pt>
                <c:pt idx="133">
                  <c:v>0.94620000000000004</c:v>
                </c:pt>
                <c:pt idx="134">
                  <c:v>0.94447999999999999</c:v>
                </c:pt>
                <c:pt idx="135">
                  <c:v>0.94232000000000005</c:v>
                </c:pt>
                <c:pt idx="136">
                  <c:v>0.94052000000000002</c:v>
                </c:pt>
                <c:pt idx="137">
                  <c:v>0.93798000000000004</c:v>
                </c:pt>
                <c:pt idx="138">
                  <c:v>0.93610000000000004</c:v>
                </c:pt>
                <c:pt idx="139">
                  <c:v>0.93464000000000003</c:v>
                </c:pt>
                <c:pt idx="140">
                  <c:v>0.93308000000000002</c:v>
                </c:pt>
                <c:pt idx="141">
                  <c:v>0.93130000000000002</c:v>
                </c:pt>
                <c:pt idx="142">
                  <c:v>0.92962</c:v>
                </c:pt>
                <c:pt idx="143">
                  <c:v>0.92837999999999998</c:v>
                </c:pt>
                <c:pt idx="144">
                  <c:v>0.92703999999999998</c:v>
                </c:pt>
                <c:pt idx="145">
                  <c:v>0.92537999999999998</c:v>
                </c:pt>
                <c:pt idx="146">
                  <c:v>0.92449999999999999</c:v>
                </c:pt>
                <c:pt idx="147">
                  <c:v>0.92327999999999999</c:v>
                </c:pt>
                <c:pt idx="148">
                  <c:v>0.92190000000000005</c:v>
                </c:pt>
                <c:pt idx="149">
                  <c:v>0.92101999999999995</c:v>
                </c:pt>
                <c:pt idx="150">
                  <c:v>0.91952</c:v>
                </c:pt>
                <c:pt idx="151">
                  <c:v>0.91859999999999997</c:v>
                </c:pt>
                <c:pt idx="152">
                  <c:v>0.91737999999999997</c:v>
                </c:pt>
                <c:pt idx="153">
                  <c:v>0.91649999999999998</c:v>
                </c:pt>
                <c:pt idx="154">
                  <c:v>0.91571999999999998</c:v>
                </c:pt>
                <c:pt idx="155">
                  <c:v>0.91498000000000002</c:v>
                </c:pt>
                <c:pt idx="156">
                  <c:v>0.91405999999999998</c:v>
                </c:pt>
                <c:pt idx="157">
                  <c:v>0.91325999999999996</c:v>
                </c:pt>
                <c:pt idx="158">
                  <c:v>0.91288000000000002</c:v>
                </c:pt>
                <c:pt idx="159">
                  <c:v>0.91213999999999995</c:v>
                </c:pt>
                <c:pt idx="160">
                  <c:v>0.91166000000000003</c:v>
                </c:pt>
                <c:pt idx="161">
                  <c:v>0.91132000000000002</c:v>
                </c:pt>
                <c:pt idx="162">
                  <c:v>0.91076000000000001</c:v>
                </c:pt>
                <c:pt idx="163">
                  <c:v>0.9103</c:v>
                </c:pt>
                <c:pt idx="164">
                  <c:v>0.90988000000000002</c:v>
                </c:pt>
                <c:pt idx="165">
                  <c:v>0.90998000000000001</c:v>
                </c:pt>
                <c:pt idx="166">
                  <c:v>0.90966000000000002</c:v>
                </c:pt>
                <c:pt idx="167">
                  <c:v>0.90952</c:v>
                </c:pt>
                <c:pt idx="168">
                  <c:v>0.90939999999999999</c:v>
                </c:pt>
                <c:pt idx="169">
                  <c:v>0.90942000000000001</c:v>
                </c:pt>
                <c:pt idx="170">
                  <c:v>0.90946000000000005</c:v>
                </c:pt>
                <c:pt idx="171">
                  <c:v>0.90981999999999996</c:v>
                </c:pt>
                <c:pt idx="172">
                  <c:v>0.90988000000000002</c:v>
                </c:pt>
                <c:pt idx="173">
                  <c:v>0.90998000000000001</c:v>
                </c:pt>
                <c:pt idx="174">
                  <c:v>0.91003999999999996</c:v>
                </c:pt>
                <c:pt idx="175">
                  <c:v>0.91039999999999999</c:v>
                </c:pt>
                <c:pt idx="176">
                  <c:v>0.91091999999999995</c:v>
                </c:pt>
                <c:pt idx="177">
                  <c:v>0.91139999999999999</c:v>
                </c:pt>
                <c:pt idx="178">
                  <c:v>0.91180000000000005</c:v>
                </c:pt>
                <c:pt idx="179">
                  <c:v>0.91191999999999995</c:v>
                </c:pt>
                <c:pt idx="180">
                  <c:v>0.9123</c:v>
                </c:pt>
                <c:pt idx="181">
                  <c:v>0.91249999999999998</c:v>
                </c:pt>
                <c:pt idx="182">
                  <c:v>0.91290000000000004</c:v>
                </c:pt>
                <c:pt idx="183">
                  <c:v>0.91295999999999999</c:v>
                </c:pt>
                <c:pt idx="184">
                  <c:v>0.91312000000000004</c:v>
                </c:pt>
                <c:pt idx="185">
                  <c:v>0.91317999999999999</c:v>
                </c:pt>
                <c:pt idx="186">
                  <c:v>0.91335999999999995</c:v>
                </c:pt>
                <c:pt idx="187">
                  <c:v>0.91347999999999996</c:v>
                </c:pt>
                <c:pt idx="188">
                  <c:v>0.91359999999999997</c:v>
                </c:pt>
                <c:pt idx="189">
                  <c:v>0.91381999999999997</c:v>
                </c:pt>
                <c:pt idx="190">
                  <c:v>0.91381999999999997</c:v>
                </c:pt>
                <c:pt idx="191">
                  <c:v>0.91393999999999997</c:v>
                </c:pt>
                <c:pt idx="192">
                  <c:v>0.91412000000000004</c:v>
                </c:pt>
                <c:pt idx="193">
                  <c:v>0.91422000000000003</c:v>
                </c:pt>
                <c:pt idx="194">
                  <c:v>0.91417999999999999</c:v>
                </c:pt>
                <c:pt idx="195">
                  <c:v>0.91412000000000004</c:v>
                </c:pt>
                <c:pt idx="196">
                  <c:v>0.91403999999999996</c:v>
                </c:pt>
                <c:pt idx="197">
                  <c:v>0.91381999999999997</c:v>
                </c:pt>
                <c:pt idx="198">
                  <c:v>0.91393999999999997</c:v>
                </c:pt>
                <c:pt idx="199">
                  <c:v>0.91393999999999997</c:v>
                </c:pt>
                <c:pt idx="200">
                  <c:v>0.91378000000000004</c:v>
                </c:pt>
                <c:pt idx="201">
                  <c:v>0.91398000000000001</c:v>
                </c:pt>
                <c:pt idx="202">
                  <c:v>0.91427999999999998</c:v>
                </c:pt>
                <c:pt idx="203">
                  <c:v>0.91456000000000004</c:v>
                </c:pt>
                <c:pt idx="204">
                  <c:v>0.91488000000000003</c:v>
                </c:pt>
                <c:pt idx="205">
                  <c:v>0.91556000000000004</c:v>
                </c:pt>
                <c:pt idx="206">
                  <c:v>0.9163</c:v>
                </c:pt>
                <c:pt idx="207">
                  <c:v>0.91693999999999998</c:v>
                </c:pt>
                <c:pt idx="208">
                  <c:v>0.91801999999999995</c:v>
                </c:pt>
                <c:pt idx="209">
                  <c:v>0.91886000000000001</c:v>
                </c:pt>
                <c:pt idx="210">
                  <c:v>0.92008000000000001</c:v>
                </c:pt>
                <c:pt idx="211">
                  <c:v>0.92154000000000003</c:v>
                </c:pt>
                <c:pt idx="212">
                  <c:v>0.92310000000000003</c:v>
                </c:pt>
                <c:pt idx="213">
                  <c:v>0.92498000000000002</c:v>
                </c:pt>
                <c:pt idx="214">
                  <c:v>0.92712000000000006</c:v>
                </c:pt>
                <c:pt idx="215">
                  <c:v>0.92920000000000003</c:v>
                </c:pt>
                <c:pt idx="216">
                  <c:v>0.93128</c:v>
                </c:pt>
                <c:pt idx="217">
                  <c:v>0.93396000000000001</c:v>
                </c:pt>
                <c:pt idx="218">
                  <c:v>0.93644000000000005</c:v>
                </c:pt>
                <c:pt idx="219">
                  <c:v>0.93899999999999995</c:v>
                </c:pt>
                <c:pt idx="220">
                  <c:v>0.94145999999999996</c:v>
                </c:pt>
                <c:pt idx="221">
                  <c:v>0.94411999999999996</c:v>
                </c:pt>
                <c:pt idx="222">
                  <c:v>0.94667999999999997</c:v>
                </c:pt>
                <c:pt idx="223">
                  <c:v>0.94950000000000001</c:v>
                </c:pt>
                <c:pt idx="224">
                  <c:v>0.95228000000000002</c:v>
                </c:pt>
                <c:pt idx="225">
                  <c:v>0.95472000000000001</c:v>
                </c:pt>
                <c:pt idx="226">
                  <c:v>0.95740000000000003</c:v>
                </c:pt>
                <c:pt idx="227">
                  <c:v>0.95972000000000002</c:v>
                </c:pt>
                <c:pt idx="228">
                  <c:v>0.96182000000000001</c:v>
                </c:pt>
                <c:pt idx="229">
                  <c:v>0.96379999999999999</c:v>
                </c:pt>
                <c:pt idx="230">
                  <c:v>0.96545999999999998</c:v>
                </c:pt>
                <c:pt idx="231">
                  <c:v>0.96709999999999996</c:v>
                </c:pt>
                <c:pt idx="232">
                  <c:v>0.96838000000000002</c:v>
                </c:pt>
                <c:pt idx="233">
                  <c:v>0.96958</c:v>
                </c:pt>
                <c:pt idx="234">
                  <c:v>0.96997999999999995</c:v>
                </c:pt>
                <c:pt idx="235">
                  <c:v>0.97028000000000003</c:v>
                </c:pt>
                <c:pt idx="236">
                  <c:v>0.97033999999999998</c:v>
                </c:pt>
                <c:pt idx="237">
                  <c:v>0.96987999999999996</c:v>
                </c:pt>
                <c:pt idx="238">
                  <c:v>0.96914</c:v>
                </c:pt>
                <c:pt idx="239">
                  <c:v>0.96808000000000005</c:v>
                </c:pt>
                <c:pt idx="240">
                  <c:v>0.96655999999999997</c:v>
                </c:pt>
                <c:pt idx="241">
                  <c:v>0.96484000000000003</c:v>
                </c:pt>
                <c:pt idx="242">
                  <c:v>0.96304000000000001</c:v>
                </c:pt>
                <c:pt idx="243">
                  <c:v>0.96087999999999996</c:v>
                </c:pt>
                <c:pt idx="244">
                  <c:v>0.95864000000000005</c:v>
                </c:pt>
                <c:pt idx="245">
                  <c:v>0.95620000000000005</c:v>
                </c:pt>
                <c:pt idx="246">
                  <c:v>0.95398000000000005</c:v>
                </c:pt>
                <c:pt idx="247">
                  <c:v>0.95143999999999995</c:v>
                </c:pt>
                <c:pt idx="248">
                  <c:v>0.94898000000000005</c:v>
                </c:pt>
                <c:pt idx="249">
                  <c:v>0.9466</c:v>
                </c:pt>
                <c:pt idx="250">
                  <c:v>0.94396000000000002</c:v>
                </c:pt>
                <c:pt idx="251">
                  <c:v>0.94155999999999995</c:v>
                </c:pt>
                <c:pt idx="252">
                  <c:v>0.93918000000000001</c:v>
                </c:pt>
                <c:pt idx="253">
                  <c:v>0.93701999999999996</c:v>
                </c:pt>
                <c:pt idx="254">
                  <c:v>0.93469999999999998</c:v>
                </c:pt>
                <c:pt idx="255">
                  <c:v>0.93255999999999994</c:v>
                </c:pt>
                <c:pt idx="256">
                  <c:v>0.93076000000000003</c:v>
                </c:pt>
                <c:pt idx="257">
                  <c:v>0.92930000000000001</c:v>
                </c:pt>
                <c:pt idx="258">
                  <c:v>0.92803999999999998</c:v>
                </c:pt>
                <c:pt idx="259">
                  <c:v>0.92712000000000006</c:v>
                </c:pt>
                <c:pt idx="260">
                  <c:v>0.92652000000000001</c:v>
                </c:pt>
                <c:pt idx="261">
                  <c:v>0.92642000000000002</c:v>
                </c:pt>
                <c:pt idx="262">
                  <c:v>0.92693999999999999</c:v>
                </c:pt>
                <c:pt idx="263">
                  <c:v>0.92791999999999997</c:v>
                </c:pt>
                <c:pt idx="264">
                  <c:v>0.92944000000000004</c:v>
                </c:pt>
                <c:pt idx="265">
                  <c:v>0.93176000000000003</c:v>
                </c:pt>
                <c:pt idx="266">
                  <c:v>0.93442000000000003</c:v>
                </c:pt>
                <c:pt idx="267">
                  <c:v>0.93737999999999999</c:v>
                </c:pt>
                <c:pt idx="268">
                  <c:v>0.94057999999999997</c:v>
                </c:pt>
                <c:pt idx="269">
                  <c:v>0.94389999999999996</c:v>
                </c:pt>
                <c:pt idx="270">
                  <c:v>0.94754000000000005</c:v>
                </c:pt>
                <c:pt idx="271">
                  <c:v>0.95104</c:v>
                </c:pt>
                <c:pt idx="272">
                  <c:v>0.95467999999999997</c:v>
                </c:pt>
                <c:pt idx="273">
                  <c:v>0.95794000000000001</c:v>
                </c:pt>
                <c:pt idx="274">
                  <c:v>0.96121999999999996</c:v>
                </c:pt>
                <c:pt idx="275">
                  <c:v>0.96448</c:v>
                </c:pt>
                <c:pt idx="276">
                  <c:v>0.96772000000000002</c:v>
                </c:pt>
                <c:pt idx="277">
                  <c:v>0.97116000000000002</c:v>
                </c:pt>
                <c:pt idx="278">
                  <c:v>0.97460000000000002</c:v>
                </c:pt>
                <c:pt idx="279">
                  <c:v>0.97775999999999996</c:v>
                </c:pt>
                <c:pt idx="280">
                  <c:v>0.98016000000000003</c:v>
                </c:pt>
                <c:pt idx="281">
                  <c:v>0.98196000000000006</c:v>
                </c:pt>
                <c:pt idx="282">
                  <c:v>0.98251999999999995</c:v>
                </c:pt>
                <c:pt idx="283">
                  <c:v>0.98168</c:v>
                </c:pt>
                <c:pt idx="284">
                  <c:v>0.97968</c:v>
                </c:pt>
                <c:pt idx="285">
                  <c:v>0.97638000000000003</c:v>
                </c:pt>
                <c:pt idx="286">
                  <c:v>0.97216000000000002</c:v>
                </c:pt>
                <c:pt idx="287">
                  <c:v>0.96657999999999999</c:v>
                </c:pt>
                <c:pt idx="288">
                  <c:v>0.96043999999999996</c:v>
                </c:pt>
                <c:pt idx="289">
                  <c:v>0.95355999999999996</c:v>
                </c:pt>
                <c:pt idx="290">
                  <c:v>0.94621999999999995</c:v>
                </c:pt>
                <c:pt idx="291">
                  <c:v>0.93820000000000003</c:v>
                </c:pt>
                <c:pt idx="292">
                  <c:v>0.93069999999999997</c:v>
                </c:pt>
                <c:pt idx="293">
                  <c:v>0.92310000000000003</c:v>
                </c:pt>
                <c:pt idx="294">
                  <c:v>0.91522000000000003</c:v>
                </c:pt>
                <c:pt idx="295">
                  <c:v>0.90832000000000002</c:v>
                </c:pt>
                <c:pt idx="296">
                  <c:v>0.90139999999999998</c:v>
                </c:pt>
                <c:pt idx="297">
                  <c:v>0.89492000000000005</c:v>
                </c:pt>
                <c:pt idx="298">
                  <c:v>0.88882000000000005</c:v>
                </c:pt>
                <c:pt idx="299">
                  <c:v>0.88329999999999997</c:v>
                </c:pt>
                <c:pt idx="300">
                  <c:v>0.87792000000000003</c:v>
                </c:pt>
                <c:pt idx="301">
                  <c:v>0.87280000000000002</c:v>
                </c:pt>
                <c:pt idx="302">
                  <c:v>0.86831999999999998</c:v>
                </c:pt>
                <c:pt idx="303">
                  <c:v>0.86409999999999998</c:v>
                </c:pt>
                <c:pt idx="304">
                  <c:v>0.86019999999999996</c:v>
                </c:pt>
                <c:pt idx="305">
                  <c:v>0.85650000000000004</c:v>
                </c:pt>
                <c:pt idx="306">
                  <c:v>0.85287999999999997</c:v>
                </c:pt>
                <c:pt idx="307">
                  <c:v>0.84975999999999996</c:v>
                </c:pt>
                <c:pt idx="308">
                  <c:v>0.84658</c:v>
                </c:pt>
                <c:pt idx="309">
                  <c:v>0.84355999999999998</c:v>
                </c:pt>
                <c:pt idx="310">
                  <c:v>0.84065999999999996</c:v>
                </c:pt>
                <c:pt idx="311">
                  <c:v>0.83801999999999999</c:v>
                </c:pt>
                <c:pt idx="312">
                  <c:v>0.83548</c:v>
                </c:pt>
                <c:pt idx="313">
                  <c:v>0.83306000000000002</c:v>
                </c:pt>
                <c:pt idx="314">
                  <c:v>0.83087999999999995</c:v>
                </c:pt>
                <c:pt idx="315">
                  <c:v>0.82876000000000005</c:v>
                </c:pt>
                <c:pt idx="316">
                  <c:v>0.8266</c:v>
                </c:pt>
                <c:pt idx="317">
                  <c:v>0.82452000000000003</c:v>
                </c:pt>
                <c:pt idx="318">
                  <c:v>0.82247999999999999</c:v>
                </c:pt>
                <c:pt idx="319">
                  <c:v>0.82052000000000003</c:v>
                </c:pt>
                <c:pt idx="320">
                  <c:v>0.81864000000000003</c:v>
                </c:pt>
                <c:pt idx="321">
                  <c:v>0.81679999999999997</c:v>
                </c:pt>
                <c:pt idx="322">
                  <c:v>0.81503999999999999</c:v>
                </c:pt>
                <c:pt idx="323">
                  <c:v>0.8135</c:v>
                </c:pt>
                <c:pt idx="324">
                  <c:v>0.81198000000000004</c:v>
                </c:pt>
                <c:pt idx="325">
                  <c:v>0.81018000000000001</c:v>
                </c:pt>
                <c:pt idx="326">
                  <c:v>0.80859999999999999</c:v>
                </c:pt>
                <c:pt idx="327">
                  <c:v>0.80693999999999999</c:v>
                </c:pt>
                <c:pt idx="328">
                  <c:v>0.80535999999999996</c:v>
                </c:pt>
                <c:pt idx="329">
                  <c:v>0.80391999999999997</c:v>
                </c:pt>
                <c:pt idx="330">
                  <c:v>0.80257999999999996</c:v>
                </c:pt>
                <c:pt idx="331">
                  <c:v>0.80101999999999995</c:v>
                </c:pt>
                <c:pt idx="332">
                  <c:v>0.79971999999999999</c:v>
                </c:pt>
                <c:pt idx="333">
                  <c:v>0.79834000000000005</c:v>
                </c:pt>
                <c:pt idx="334">
                  <c:v>0.79690000000000005</c:v>
                </c:pt>
                <c:pt idx="335">
                  <c:v>0.79559999999999997</c:v>
                </c:pt>
                <c:pt idx="336">
                  <c:v>0.79403999999999997</c:v>
                </c:pt>
                <c:pt idx="337">
                  <c:v>0.79276000000000002</c:v>
                </c:pt>
                <c:pt idx="338">
                  <c:v>0.79137999999999997</c:v>
                </c:pt>
                <c:pt idx="339">
                  <c:v>0.79013999999999995</c:v>
                </c:pt>
                <c:pt idx="340">
                  <c:v>0.78888000000000003</c:v>
                </c:pt>
                <c:pt idx="341">
                  <c:v>0.78756000000000004</c:v>
                </c:pt>
                <c:pt idx="342">
                  <c:v>0.78625999999999996</c:v>
                </c:pt>
                <c:pt idx="343">
                  <c:v>0.78512000000000004</c:v>
                </c:pt>
                <c:pt idx="344">
                  <c:v>0.78390000000000004</c:v>
                </c:pt>
                <c:pt idx="345">
                  <c:v>0.78266000000000002</c:v>
                </c:pt>
                <c:pt idx="346">
                  <c:v>0.78134000000000003</c:v>
                </c:pt>
                <c:pt idx="347">
                  <c:v>0.78012000000000004</c:v>
                </c:pt>
                <c:pt idx="348">
                  <c:v>0.77907999999999999</c:v>
                </c:pt>
                <c:pt idx="349">
                  <c:v>0.77791999999999994</c:v>
                </c:pt>
                <c:pt idx="350">
                  <c:v>0.77676000000000001</c:v>
                </c:pt>
                <c:pt idx="351">
                  <c:v>0.77566000000000002</c:v>
                </c:pt>
                <c:pt idx="352">
                  <c:v>0.77466000000000002</c:v>
                </c:pt>
                <c:pt idx="353">
                  <c:v>0.77361999999999997</c:v>
                </c:pt>
                <c:pt idx="354">
                  <c:v>0.77244000000000002</c:v>
                </c:pt>
                <c:pt idx="355">
                  <c:v>0.77136000000000005</c:v>
                </c:pt>
                <c:pt idx="356">
                  <c:v>0.77029999999999998</c:v>
                </c:pt>
                <c:pt idx="357">
                  <c:v>0.76922000000000001</c:v>
                </c:pt>
                <c:pt idx="358">
                  <c:v>0.7681</c:v>
                </c:pt>
                <c:pt idx="359">
                  <c:v>0.76707999999999998</c:v>
                </c:pt>
                <c:pt idx="360">
                  <c:v>0.76607999999999998</c:v>
                </c:pt>
                <c:pt idx="361">
                  <c:v>0.76537999999999995</c:v>
                </c:pt>
                <c:pt idx="362">
                  <c:v>0.76449999999999996</c:v>
                </c:pt>
                <c:pt idx="363">
                  <c:v>0.76336000000000004</c:v>
                </c:pt>
                <c:pt idx="364">
                  <c:v>0.76232</c:v>
                </c:pt>
                <c:pt idx="365">
                  <c:v>0.76132</c:v>
                </c:pt>
                <c:pt idx="366">
                  <c:v>0.76037999999999994</c:v>
                </c:pt>
                <c:pt idx="367">
                  <c:v>0.75934000000000001</c:v>
                </c:pt>
                <c:pt idx="368">
                  <c:v>0.75836000000000003</c:v>
                </c:pt>
                <c:pt idx="369">
                  <c:v>0.75741999999999998</c:v>
                </c:pt>
                <c:pt idx="370">
                  <c:v>0.75634000000000001</c:v>
                </c:pt>
                <c:pt idx="371">
                  <c:v>0.75549999999999995</c:v>
                </c:pt>
                <c:pt idx="372">
                  <c:v>0.75446000000000002</c:v>
                </c:pt>
                <c:pt idx="373">
                  <c:v>0.75366</c:v>
                </c:pt>
                <c:pt idx="374">
                  <c:v>0.75273999999999996</c:v>
                </c:pt>
                <c:pt idx="375">
                  <c:v>0.75173999999999996</c:v>
                </c:pt>
                <c:pt idx="376">
                  <c:v>0.75073999999999996</c:v>
                </c:pt>
                <c:pt idx="377">
                  <c:v>0.74990000000000001</c:v>
                </c:pt>
                <c:pt idx="378">
                  <c:v>0.74902000000000002</c:v>
                </c:pt>
                <c:pt idx="379">
                  <c:v>0.74802000000000002</c:v>
                </c:pt>
                <c:pt idx="380">
                  <c:v>0.74731999999999998</c:v>
                </c:pt>
                <c:pt idx="381">
                  <c:v>0.74636000000000002</c:v>
                </c:pt>
                <c:pt idx="382">
                  <c:v>0.74548000000000003</c:v>
                </c:pt>
                <c:pt idx="383">
                  <c:v>0.74453999999999998</c:v>
                </c:pt>
                <c:pt idx="384">
                  <c:v>0.74385999999999997</c:v>
                </c:pt>
                <c:pt idx="385">
                  <c:v>0.74287999999999998</c:v>
                </c:pt>
                <c:pt idx="386">
                  <c:v>0.74194000000000004</c:v>
                </c:pt>
                <c:pt idx="387">
                  <c:v>0.74095999999999995</c:v>
                </c:pt>
                <c:pt idx="388">
                  <c:v>0.74024000000000001</c:v>
                </c:pt>
                <c:pt idx="389">
                  <c:v>0.73931999999999998</c:v>
                </c:pt>
                <c:pt idx="390">
                  <c:v>0.73839999999999995</c:v>
                </c:pt>
                <c:pt idx="391">
                  <c:v>0.73746</c:v>
                </c:pt>
                <c:pt idx="392">
                  <c:v>0.73658000000000001</c:v>
                </c:pt>
                <c:pt idx="393">
                  <c:v>0.73572000000000004</c:v>
                </c:pt>
                <c:pt idx="394">
                  <c:v>0.73485999999999996</c:v>
                </c:pt>
                <c:pt idx="395">
                  <c:v>0.73399999999999999</c:v>
                </c:pt>
                <c:pt idx="396">
                  <c:v>0.73304000000000002</c:v>
                </c:pt>
                <c:pt idx="397">
                  <c:v>0.73206000000000004</c:v>
                </c:pt>
                <c:pt idx="398">
                  <c:v>0.73138000000000003</c:v>
                </c:pt>
                <c:pt idx="399">
                  <c:v>0.73050000000000004</c:v>
                </c:pt>
                <c:pt idx="400">
                  <c:v>0.72968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4D8-4C85-A572-B620E03465A2}"/>
            </c:ext>
          </c:extLst>
        </c:ser>
        <c:ser>
          <c:idx val="8"/>
          <c:order val="2"/>
          <c:tx>
            <c:strRef>
              <c:f>'Pig graph '!$AC$1</c:f>
              <c:strCache>
                <c:ptCount val="1"/>
                <c:pt idx="0">
                  <c:v>s9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'!$AC$2:$AC$402</c:f>
              <c:numCache>
                <c:formatCode>General</c:formatCode>
                <c:ptCount val="401"/>
                <c:pt idx="0">
                  <c:v>1.14374</c:v>
                </c:pt>
                <c:pt idx="1">
                  <c:v>1.14506</c:v>
                </c:pt>
                <c:pt idx="2">
                  <c:v>1.14706</c:v>
                </c:pt>
                <c:pt idx="3">
                  <c:v>1.14768</c:v>
                </c:pt>
                <c:pt idx="4">
                  <c:v>1.1501999999999999</c:v>
                </c:pt>
                <c:pt idx="5">
                  <c:v>1.1512199999999999</c:v>
                </c:pt>
                <c:pt idx="6">
                  <c:v>1.1536599999999999</c:v>
                </c:pt>
                <c:pt idx="7">
                  <c:v>1.15662</c:v>
                </c:pt>
                <c:pt idx="8">
                  <c:v>1.1592800000000001</c:v>
                </c:pt>
                <c:pt idx="9">
                  <c:v>1.16204</c:v>
                </c:pt>
                <c:pt idx="10">
                  <c:v>1.16544</c:v>
                </c:pt>
                <c:pt idx="11">
                  <c:v>1.16818</c:v>
                </c:pt>
                <c:pt idx="12">
                  <c:v>1.1717</c:v>
                </c:pt>
                <c:pt idx="13">
                  <c:v>1.17428</c:v>
                </c:pt>
                <c:pt idx="14">
                  <c:v>1.17814</c:v>
                </c:pt>
                <c:pt idx="15">
                  <c:v>1.18</c:v>
                </c:pt>
                <c:pt idx="16">
                  <c:v>1.18258</c:v>
                </c:pt>
                <c:pt idx="17">
                  <c:v>1.1857</c:v>
                </c:pt>
                <c:pt idx="18">
                  <c:v>1.1878599999999999</c:v>
                </c:pt>
                <c:pt idx="19">
                  <c:v>1.1891400000000001</c:v>
                </c:pt>
                <c:pt idx="20">
                  <c:v>1.19062</c:v>
                </c:pt>
                <c:pt idx="21">
                  <c:v>1.1913400000000001</c:v>
                </c:pt>
                <c:pt idx="22">
                  <c:v>1.19238</c:v>
                </c:pt>
                <c:pt idx="23">
                  <c:v>1.19268</c:v>
                </c:pt>
                <c:pt idx="24">
                  <c:v>1.1938800000000001</c:v>
                </c:pt>
                <c:pt idx="25">
                  <c:v>1.1948799999999999</c:v>
                </c:pt>
                <c:pt idx="26">
                  <c:v>1.1955800000000001</c:v>
                </c:pt>
                <c:pt idx="27">
                  <c:v>1.19754</c:v>
                </c:pt>
                <c:pt idx="28">
                  <c:v>1.19946</c:v>
                </c:pt>
                <c:pt idx="29">
                  <c:v>1.2017199999999999</c:v>
                </c:pt>
                <c:pt idx="30">
                  <c:v>1.2044600000000001</c:v>
                </c:pt>
                <c:pt idx="31">
                  <c:v>1.2074</c:v>
                </c:pt>
                <c:pt idx="32">
                  <c:v>1.2109399999999999</c:v>
                </c:pt>
                <c:pt idx="33">
                  <c:v>1.2140200000000001</c:v>
                </c:pt>
                <c:pt idx="34">
                  <c:v>1.21746</c:v>
                </c:pt>
                <c:pt idx="35">
                  <c:v>1.2213799999999999</c:v>
                </c:pt>
                <c:pt idx="36">
                  <c:v>1.2253400000000001</c:v>
                </c:pt>
                <c:pt idx="37">
                  <c:v>1.2286999999999999</c:v>
                </c:pt>
                <c:pt idx="38">
                  <c:v>1.2313000000000001</c:v>
                </c:pt>
                <c:pt idx="39">
                  <c:v>1.23288</c:v>
                </c:pt>
                <c:pt idx="40">
                  <c:v>1.2341599999999999</c:v>
                </c:pt>
                <c:pt idx="41">
                  <c:v>1.2341599999999999</c:v>
                </c:pt>
                <c:pt idx="42">
                  <c:v>1.2334799999999999</c:v>
                </c:pt>
                <c:pt idx="43">
                  <c:v>1.2321200000000001</c:v>
                </c:pt>
                <c:pt idx="44">
                  <c:v>1.2294</c:v>
                </c:pt>
                <c:pt idx="45">
                  <c:v>1.2255799999999999</c:v>
                </c:pt>
                <c:pt idx="46">
                  <c:v>1.2207600000000001</c:v>
                </c:pt>
                <c:pt idx="47">
                  <c:v>1.2151400000000001</c:v>
                </c:pt>
                <c:pt idx="48">
                  <c:v>1.20878</c:v>
                </c:pt>
                <c:pt idx="49">
                  <c:v>1.20166</c:v>
                </c:pt>
                <c:pt idx="50">
                  <c:v>1.19442</c:v>
                </c:pt>
                <c:pt idx="51">
                  <c:v>1.1877200000000001</c:v>
                </c:pt>
                <c:pt idx="52">
                  <c:v>1.1807799999999999</c:v>
                </c:pt>
                <c:pt idx="53">
                  <c:v>1.1749799999999999</c:v>
                </c:pt>
                <c:pt idx="54">
                  <c:v>1.1695</c:v>
                </c:pt>
                <c:pt idx="55">
                  <c:v>1.16412</c:v>
                </c:pt>
                <c:pt idx="56">
                  <c:v>1.15906</c:v>
                </c:pt>
                <c:pt idx="57">
                  <c:v>1.155</c:v>
                </c:pt>
                <c:pt idx="58">
                  <c:v>1.15158</c:v>
                </c:pt>
                <c:pt idx="59">
                  <c:v>1.1482600000000001</c:v>
                </c:pt>
                <c:pt idx="60">
                  <c:v>1.1453599999999999</c:v>
                </c:pt>
                <c:pt idx="61">
                  <c:v>1.1429400000000001</c:v>
                </c:pt>
                <c:pt idx="62">
                  <c:v>1.14062</c:v>
                </c:pt>
                <c:pt idx="63">
                  <c:v>1.13828</c:v>
                </c:pt>
                <c:pt idx="64">
                  <c:v>1.1368199999999999</c:v>
                </c:pt>
                <c:pt idx="65">
                  <c:v>1.13446</c:v>
                </c:pt>
                <c:pt idx="66">
                  <c:v>1.13256</c:v>
                </c:pt>
                <c:pt idx="67">
                  <c:v>1.1305000000000001</c:v>
                </c:pt>
                <c:pt idx="68">
                  <c:v>1.1286400000000001</c:v>
                </c:pt>
                <c:pt idx="69">
                  <c:v>1.1265799999999999</c:v>
                </c:pt>
                <c:pt idx="70">
                  <c:v>1.1251599999999999</c:v>
                </c:pt>
                <c:pt idx="71">
                  <c:v>1.1230199999999999</c:v>
                </c:pt>
                <c:pt idx="72">
                  <c:v>1.1213599999999999</c:v>
                </c:pt>
                <c:pt idx="73">
                  <c:v>1.11944</c:v>
                </c:pt>
                <c:pt idx="74">
                  <c:v>1.1176999999999999</c:v>
                </c:pt>
                <c:pt idx="75">
                  <c:v>1.1158399999999999</c:v>
                </c:pt>
                <c:pt idx="76">
                  <c:v>1.1139600000000001</c:v>
                </c:pt>
                <c:pt idx="77">
                  <c:v>1.1128</c:v>
                </c:pt>
                <c:pt idx="78">
                  <c:v>1.1114200000000001</c:v>
                </c:pt>
                <c:pt idx="79">
                  <c:v>1.10944</c:v>
                </c:pt>
                <c:pt idx="80">
                  <c:v>1.10822</c:v>
                </c:pt>
                <c:pt idx="81">
                  <c:v>1.1068199999999999</c:v>
                </c:pt>
                <c:pt idx="82">
                  <c:v>1.10598</c:v>
                </c:pt>
                <c:pt idx="83">
                  <c:v>1.1047400000000001</c:v>
                </c:pt>
                <c:pt idx="84">
                  <c:v>1.10354</c:v>
                </c:pt>
                <c:pt idx="85">
                  <c:v>1.10266</c:v>
                </c:pt>
                <c:pt idx="86">
                  <c:v>1.1021799999999999</c:v>
                </c:pt>
                <c:pt idx="87">
                  <c:v>1.1013999999999999</c:v>
                </c:pt>
                <c:pt idx="88">
                  <c:v>1.1003400000000001</c:v>
                </c:pt>
                <c:pt idx="89">
                  <c:v>1.09988</c:v>
                </c:pt>
                <c:pt idx="90">
                  <c:v>1.0992200000000001</c:v>
                </c:pt>
                <c:pt idx="91">
                  <c:v>1.09866</c:v>
                </c:pt>
                <c:pt idx="92">
                  <c:v>1.09796</c:v>
                </c:pt>
                <c:pt idx="93">
                  <c:v>1.0972599999999999</c:v>
                </c:pt>
                <c:pt idx="94">
                  <c:v>1.09626</c:v>
                </c:pt>
                <c:pt idx="95">
                  <c:v>1.0955600000000001</c:v>
                </c:pt>
                <c:pt idx="96">
                  <c:v>1.09446</c:v>
                </c:pt>
                <c:pt idx="97">
                  <c:v>1.0927800000000001</c:v>
                </c:pt>
                <c:pt idx="98">
                  <c:v>1.0914600000000001</c:v>
                </c:pt>
                <c:pt idx="99">
                  <c:v>1.0899000000000001</c:v>
                </c:pt>
                <c:pt idx="100">
                  <c:v>1.0884400000000001</c:v>
                </c:pt>
                <c:pt idx="101">
                  <c:v>1.0866400000000001</c:v>
                </c:pt>
                <c:pt idx="102">
                  <c:v>1.085</c:v>
                </c:pt>
                <c:pt idx="103">
                  <c:v>1.0829800000000001</c:v>
                </c:pt>
                <c:pt idx="104">
                  <c:v>1.08074</c:v>
                </c:pt>
                <c:pt idx="105">
                  <c:v>1.0781799999999999</c:v>
                </c:pt>
                <c:pt idx="106">
                  <c:v>1.0759000000000001</c:v>
                </c:pt>
                <c:pt idx="107">
                  <c:v>1.0731599999999999</c:v>
                </c:pt>
                <c:pt idx="108">
                  <c:v>1.07064</c:v>
                </c:pt>
                <c:pt idx="109">
                  <c:v>1.0679000000000001</c:v>
                </c:pt>
                <c:pt idx="110">
                  <c:v>1.0657000000000001</c:v>
                </c:pt>
                <c:pt idx="111">
                  <c:v>1.0628599999999999</c:v>
                </c:pt>
                <c:pt idx="112">
                  <c:v>1.0603400000000001</c:v>
                </c:pt>
                <c:pt idx="113">
                  <c:v>1.0573999999999999</c:v>
                </c:pt>
                <c:pt idx="114">
                  <c:v>1.0545</c:v>
                </c:pt>
                <c:pt idx="115">
                  <c:v>1.05176</c:v>
                </c:pt>
                <c:pt idx="116">
                  <c:v>1.04898</c:v>
                </c:pt>
                <c:pt idx="117">
                  <c:v>1.0462</c:v>
                </c:pt>
                <c:pt idx="118">
                  <c:v>1.0432999999999999</c:v>
                </c:pt>
                <c:pt idx="119">
                  <c:v>1.0405</c:v>
                </c:pt>
                <c:pt idx="120">
                  <c:v>1.03806</c:v>
                </c:pt>
                <c:pt idx="121">
                  <c:v>1.0351600000000001</c:v>
                </c:pt>
                <c:pt idx="122">
                  <c:v>1.03274</c:v>
                </c:pt>
                <c:pt idx="123">
                  <c:v>1.03</c:v>
                </c:pt>
                <c:pt idx="124">
                  <c:v>1.02738</c:v>
                </c:pt>
                <c:pt idx="125">
                  <c:v>1.02546</c:v>
                </c:pt>
                <c:pt idx="126">
                  <c:v>1.0225200000000001</c:v>
                </c:pt>
                <c:pt idx="127">
                  <c:v>1.02044</c:v>
                </c:pt>
                <c:pt idx="128">
                  <c:v>1.0185</c:v>
                </c:pt>
                <c:pt idx="129">
                  <c:v>1.0158400000000001</c:v>
                </c:pt>
                <c:pt idx="130">
                  <c:v>1.0137400000000001</c:v>
                </c:pt>
                <c:pt idx="131">
                  <c:v>1.0115000000000001</c:v>
                </c:pt>
                <c:pt idx="132">
                  <c:v>1.0095000000000001</c:v>
                </c:pt>
                <c:pt idx="133">
                  <c:v>1.0075000000000001</c:v>
                </c:pt>
                <c:pt idx="134">
                  <c:v>1.0057400000000001</c:v>
                </c:pt>
                <c:pt idx="135">
                  <c:v>1.0038800000000001</c:v>
                </c:pt>
                <c:pt idx="136">
                  <c:v>1.0023200000000001</c:v>
                </c:pt>
                <c:pt idx="137">
                  <c:v>1.0001599999999999</c:v>
                </c:pt>
                <c:pt idx="138">
                  <c:v>0.99841999999999997</c:v>
                </c:pt>
                <c:pt idx="139">
                  <c:v>0.99704000000000004</c:v>
                </c:pt>
                <c:pt idx="140">
                  <c:v>0.99541999999999997</c:v>
                </c:pt>
                <c:pt idx="141">
                  <c:v>0.99383999999999995</c:v>
                </c:pt>
                <c:pt idx="142">
                  <c:v>0.99258000000000002</c:v>
                </c:pt>
                <c:pt idx="143">
                  <c:v>0.99129999999999996</c:v>
                </c:pt>
                <c:pt idx="144">
                  <c:v>0.98995999999999995</c:v>
                </c:pt>
                <c:pt idx="145">
                  <c:v>0.98875999999999997</c:v>
                </c:pt>
                <c:pt idx="146">
                  <c:v>0.98773999999999995</c:v>
                </c:pt>
                <c:pt idx="147">
                  <c:v>0.98658000000000001</c:v>
                </c:pt>
                <c:pt idx="148">
                  <c:v>0.98529999999999995</c:v>
                </c:pt>
                <c:pt idx="149">
                  <c:v>0.98472000000000004</c:v>
                </c:pt>
                <c:pt idx="150">
                  <c:v>0.98351999999999995</c:v>
                </c:pt>
                <c:pt idx="151">
                  <c:v>0.98233999999999999</c:v>
                </c:pt>
                <c:pt idx="152">
                  <c:v>0.98143999999999998</c:v>
                </c:pt>
                <c:pt idx="153">
                  <c:v>0.98062000000000005</c:v>
                </c:pt>
                <c:pt idx="154">
                  <c:v>0.98002</c:v>
                </c:pt>
                <c:pt idx="155">
                  <c:v>0.97921999999999998</c:v>
                </c:pt>
                <c:pt idx="156">
                  <c:v>0.97872000000000003</c:v>
                </c:pt>
                <c:pt idx="157">
                  <c:v>0.97789999999999999</c:v>
                </c:pt>
                <c:pt idx="158">
                  <c:v>0.97738000000000003</c:v>
                </c:pt>
                <c:pt idx="159">
                  <c:v>0.97677999999999998</c:v>
                </c:pt>
                <c:pt idx="160">
                  <c:v>0.97631999999999997</c:v>
                </c:pt>
                <c:pt idx="161">
                  <c:v>0.97616000000000003</c:v>
                </c:pt>
                <c:pt idx="162">
                  <c:v>0.97592000000000001</c:v>
                </c:pt>
                <c:pt idx="163">
                  <c:v>0.97562000000000004</c:v>
                </c:pt>
                <c:pt idx="164">
                  <c:v>0.97526000000000002</c:v>
                </c:pt>
                <c:pt idx="165">
                  <c:v>0.97533999999999998</c:v>
                </c:pt>
                <c:pt idx="166">
                  <c:v>0.97506000000000004</c:v>
                </c:pt>
                <c:pt idx="167">
                  <c:v>0.97494000000000003</c:v>
                </c:pt>
                <c:pt idx="168">
                  <c:v>0.97531999999999996</c:v>
                </c:pt>
                <c:pt idx="169">
                  <c:v>0.97562000000000004</c:v>
                </c:pt>
                <c:pt idx="170">
                  <c:v>0.97562000000000004</c:v>
                </c:pt>
                <c:pt idx="171">
                  <c:v>0.97626000000000002</c:v>
                </c:pt>
                <c:pt idx="172">
                  <c:v>0.97648000000000001</c:v>
                </c:pt>
                <c:pt idx="173">
                  <c:v>0.97662000000000004</c:v>
                </c:pt>
                <c:pt idx="174">
                  <c:v>0.97697999999999996</c:v>
                </c:pt>
                <c:pt idx="175">
                  <c:v>0.97763999999999995</c:v>
                </c:pt>
                <c:pt idx="176">
                  <c:v>0.97840000000000005</c:v>
                </c:pt>
                <c:pt idx="177">
                  <c:v>0.97887999999999997</c:v>
                </c:pt>
                <c:pt idx="178">
                  <c:v>0.97950000000000004</c:v>
                </c:pt>
                <c:pt idx="179">
                  <c:v>0.9798</c:v>
                </c:pt>
                <c:pt idx="180">
                  <c:v>0.98028000000000004</c:v>
                </c:pt>
                <c:pt idx="181">
                  <c:v>0.98077999999999999</c:v>
                </c:pt>
                <c:pt idx="182">
                  <c:v>0.98124</c:v>
                </c:pt>
                <c:pt idx="183">
                  <c:v>0.98155999999999999</c:v>
                </c:pt>
                <c:pt idx="184">
                  <c:v>0.98184000000000005</c:v>
                </c:pt>
                <c:pt idx="185">
                  <c:v>0.98214000000000001</c:v>
                </c:pt>
                <c:pt idx="186">
                  <c:v>0.98241999999999996</c:v>
                </c:pt>
                <c:pt idx="187">
                  <c:v>0.98265999999999998</c:v>
                </c:pt>
                <c:pt idx="188">
                  <c:v>0.98304000000000002</c:v>
                </c:pt>
                <c:pt idx="189">
                  <c:v>0.98329999999999995</c:v>
                </c:pt>
                <c:pt idx="190">
                  <c:v>0.98341999999999996</c:v>
                </c:pt>
                <c:pt idx="191">
                  <c:v>0.98355999999999999</c:v>
                </c:pt>
                <c:pt idx="192">
                  <c:v>0.98385999999999996</c:v>
                </c:pt>
                <c:pt idx="193">
                  <c:v>0.98421999999999998</c:v>
                </c:pt>
                <c:pt idx="194">
                  <c:v>0.98431999999999997</c:v>
                </c:pt>
                <c:pt idx="195">
                  <c:v>0.98431999999999997</c:v>
                </c:pt>
                <c:pt idx="196">
                  <c:v>0.98455999999999999</c:v>
                </c:pt>
                <c:pt idx="197">
                  <c:v>0.98451999999999995</c:v>
                </c:pt>
                <c:pt idx="198">
                  <c:v>0.98462000000000005</c:v>
                </c:pt>
                <c:pt idx="199">
                  <c:v>0.98480000000000001</c:v>
                </c:pt>
                <c:pt idx="200">
                  <c:v>0.98504000000000003</c:v>
                </c:pt>
                <c:pt idx="201">
                  <c:v>0.98509999999999998</c:v>
                </c:pt>
                <c:pt idx="202">
                  <c:v>0.98531999999999997</c:v>
                </c:pt>
                <c:pt idx="203">
                  <c:v>0.98580000000000001</c:v>
                </c:pt>
                <c:pt idx="204">
                  <c:v>0.98636000000000001</c:v>
                </c:pt>
                <c:pt idx="205">
                  <c:v>0.98716000000000004</c:v>
                </c:pt>
                <c:pt idx="206">
                  <c:v>0.98809999999999998</c:v>
                </c:pt>
                <c:pt idx="207">
                  <c:v>0.98904000000000003</c:v>
                </c:pt>
                <c:pt idx="208">
                  <c:v>0.99017999999999995</c:v>
                </c:pt>
                <c:pt idx="209">
                  <c:v>0.99153999999999998</c:v>
                </c:pt>
                <c:pt idx="210">
                  <c:v>0.99302000000000001</c:v>
                </c:pt>
                <c:pt idx="211">
                  <c:v>0.99482000000000004</c:v>
                </c:pt>
                <c:pt idx="212">
                  <c:v>0.99668000000000001</c:v>
                </c:pt>
                <c:pt idx="213">
                  <c:v>0.99880000000000002</c:v>
                </c:pt>
                <c:pt idx="214">
                  <c:v>1.00132</c:v>
                </c:pt>
                <c:pt idx="215">
                  <c:v>1.0037</c:v>
                </c:pt>
                <c:pt idx="216">
                  <c:v>1.00614</c:v>
                </c:pt>
                <c:pt idx="217">
                  <c:v>1.00936</c:v>
                </c:pt>
                <c:pt idx="218">
                  <c:v>1.0120199999999999</c:v>
                </c:pt>
                <c:pt idx="219">
                  <c:v>1.0150399999999999</c:v>
                </c:pt>
                <c:pt idx="220">
                  <c:v>1.0179199999999999</c:v>
                </c:pt>
                <c:pt idx="221">
                  <c:v>1.0208200000000001</c:v>
                </c:pt>
                <c:pt idx="222">
                  <c:v>1.0238</c:v>
                </c:pt>
                <c:pt idx="223">
                  <c:v>1.02704</c:v>
                </c:pt>
                <c:pt idx="224">
                  <c:v>1.0301199999999999</c:v>
                </c:pt>
                <c:pt idx="225">
                  <c:v>1.03312</c:v>
                </c:pt>
                <c:pt idx="226">
                  <c:v>1.0362</c:v>
                </c:pt>
                <c:pt idx="227">
                  <c:v>1.03898</c:v>
                </c:pt>
                <c:pt idx="228">
                  <c:v>1.0411600000000001</c:v>
                </c:pt>
                <c:pt idx="229">
                  <c:v>1.04348</c:v>
                </c:pt>
                <c:pt idx="230">
                  <c:v>1.0456000000000001</c:v>
                </c:pt>
                <c:pt idx="231">
                  <c:v>1.0473600000000001</c:v>
                </c:pt>
                <c:pt idx="232">
                  <c:v>1.0488</c:v>
                </c:pt>
                <c:pt idx="233">
                  <c:v>1.0501</c:v>
                </c:pt>
                <c:pt idx="234">
                  <c:v>1.0507599999999999</c:v>
                </c:pt>
                <c:pt idx="235">
                  <c:v>1.0513999999999999</c:v>
                </c:pt>
                <c:pt idx="236">
                  <c:v>1.0511999999999999</c:v>
                </c:pt>
                <c:pt idx="237">
                  <c:v>1.05084</c:v>
                </c:pt>
                <c:pt idx="238">
                  <c:v>1.0500799999999999</c:v>
                </c:pt>
                <c:pt idx="239">
                  <c:v>1.0490200000000001</c:v>
                </c:pt>
                <c:pt idx="240">
                  <c:v>1.04748</c:v>
                </c:pt>
                <c:pt idx="241">
                  <c:v>1.04562</c:v>
                </c:pt>
                <c:pt idx="242">
                  <c:v>1.04376</c:v>
                </c:pt>
                <c:pt idx="243">
                  <c:v>1.0415000000000001</c:v>
                </c:pt>
                <c:pt idx="244">
                  <c:v>1.03904</c:v>
                </c:pt>
                <c:pt idx="245">
                  <c:v>1.0366</c:v>
                </c:pt>
                <c:pt idx="246">
                  <c:v>1.0341400000000001</c:v>
                </c:pt>
                <c:pt idx="247">
                  <c:v>1.0314000000000001</c:v>
                </c:pt>
                <c:pt idx="248">
                  <c:v>1.0289600000000001</c:v>
                </c:pt>
                <c:pt idx="249">
                  <c:v>1.0264599999999999</c:v>
                </c:pt>
                <c:pt idx="250">
                  <c:v>1.0238</c:v>
                </c:pt>
                <c:pt idx="251">
                  <c:v>1.0214000000000001</c:v>
                </c:pt>
                <c:pt idx="252">
                  <c:v>1.0187999999999999</c:v>
                </c:pt>
                <c:pt idx="253">
                  <c:v>1.01658</c:v>
                </c:pt>
                <c:pt idx="254">
                  <c:v>1.0143200000000001</c:v>
                </c:pt>
                <c:pt idx="255">
                  <c:v>1.0121199999999999</c:v>
                </c:pt>
                <c:pt idx="256">
                  <c:v>1.0103200000000001</c:v>
                </c:pt>
                <c:pt idx="257">
                  <c:v>1.0087200000000001</c:v>
                </c:pt>
                <c:pt idx="258">
                  <c:v>1.00742</c:v>
                </c:pt>
                <c:pt idx="259">
                  <c:v>1.0066600000000001</c:v>
                </c:pt>
                <c:pt idx="260">
                  <c:v>1.0062199999999999</c:v>
                </c:pt>
                <c:pt idx="261">
                  <c:v>1.0064599999999999</c:v>
                </c:pt>
                <c:pt idx="262">
                  <c:v>1.00708</c:v>
                </c:pt>
                <c:pt idx="263">
                  <c:v>1.0084</c:v>
                </c:pt>
                <c:pt idx="264">
                  <c:v>1.0103800000000001</c:v>
                </c:pt>
                <c:pt idx="265">
                  <c:v>1.01284</c:v>
                </c:pt>
                <c:pt idx="266">
                  <c:v>1.01586</c:v>
                </c:pt>
                <c:pt idx="267">
                  <c:v>1.0194399999999999</c:v>
                </c:pt>
                <c:pt idx="268">
                  <c:v>1.02302</c:v>
                </c:pt>
                <c:pt idx="269">
                  <c:v>1.0267599999999999</c:v>
                </c:pt>
                <c:pt idx="270">
                  <c:v>1.0305800000000001</c:v>
                </c:pt>
                <c:pt idx="271">
                  <c:v>1.0346</c:v>
                </c:pt>
                <c:pt idx="272">
                  <c:v>1.0385200000000001</c:v>
                </c:pt>
                <c:pt idx="273">
                  <c:v>1.0422400000000001</c:v>
                </c:pt>
                <c:pt idx="274">
                  <c:v>1.0457399999999999</c:v>
                </c:pt>
                <c:pt idx="275">
                  <c:v>1.0491999999999999</c:v>
                </c:pt>
                <c:pt idx="276">
                  <c:v>1.05308</c:v>
                </c:pt>
                <c:pt idx="277">
                  <c:v>1.0568200000000001</c:v>
                </c:pt>
                <c:pt idx="278">
                  <c:v>1.06054</c:v>
                </c:pt>
                <c:pt idx="279">
                  <c:v>1.06382</c:v>
                </c:pt>
                <c:pt idx="280">
                  <c:v>1.06646</c:v>
                </c:pt>
                <c:pt idx="281">
                  <c:v>1.0683</c:v>
                </c:pt>
                <c:pt idx="282">
                  <c:v>1.0687199999999999</c:v>
                </c:pt>
                <c:pt idx="283">
                  <c:v>1.06782</c:v>
                </c:pt>
                <c:pt idx="284">
                  <c:v>1.06552</c:v>
                </c:pt>
                <c:pt idx="285">
                  <c:v>1.06192</c:v>
                </c:pt>
                <c:pt idx="286">
                  <c:v>1.05722</c:v>
                </c:pt>
                <c:pt idx="287">
                  <c:v>1.05118</c:v>
                </c:pt>
                <c:pt idx="288">
                  <c:v>1.0442800000000001</c:v>
                </c:pt>
                <c:pt idx="289">
                  <c:v>1.0368599999999999</c:v>
                </c:pt>
                <c:pt idx="290">
                  <c:v>1.02912</c:v>
                </c:pt>
                <c:pt idx="291">
                  <c:v>1.02054</c:v>
                </c:pt>
                <c:pt idx="292">
                  <c:v>1.01258</c:v>
                </c:pt>
                <c:pt idx="293">
                  <c:v>1.00474</c:v>
                </c:pt>
                <c:pt idx="294">
                  <c:v>0.99650000000000005</c:v>
                </c:pt>
                <c:pt idx="295">
                  <c:v>0.98948000000000003</c:v>
                </c:pt>
                <c:pt idx="296">
                  <c:v>0.98226000000000002</c:v>
                </c:pt>
                <c:pt idx="297">
                  <c:v>0.97555999999999998</c:v>
                </c:pt>
                <c:pt idx="298">
                  <c:v>0.96911999999999998</c:v>
                </c:pt>
                <c:pt idx="299">
                  <c:v>0.96333999999999997</c:v>
                </c:pt>
                <c:pt idx="300">
                  <c:v>0.95787999999999995</c:v>
                </c:pt>
                <c:pt idx="301">
                  <c:v>0.95277999999999996</c:v>
                </c:pt>
                <c:pt idx="302">
                  <c:v>0.94835999999999998</c:v>
                </c:pt>
                <c:pt idx="303">
                  <c:v>0.94416</c:v>
                </c:pt>
                <c:pt idx="304">
                  <c:v>0.94030000000000002</c:v>
                </c:pt>
                <c:pt idx="305">
                  <c:v>0.93657999999999997</c:v>
                </c:pt>
                <c:pt idx="306">
                  <c:v>0.93313999999999997</c:v>
                </c:pt>
                <c:pt idx="307">
                  <c:v>0.92979999999999996</c:v>
                </c:pt>
                <c:pt idx="308">
                  <c:v>0.92688000000000004</c:v>
                </c:pt>
                <c:pt idx="309">
                  <c:v>0.92379999999999995</c:v>
                </c:pt>
                <c:pt idx="310">
                  <c:v>0.92113999999999996</c:v>
                </c:pt>
                <c:pt idx="311">
                  <c:v>0.91842000000000001</c:v>
                </c:pt>
                <c:pt idx="312">
                  <c:v>0.9163</c:v>
                </c:pt>
                <c:pt idx="313">
                  <c:v>0.91393999999999997</c:v>
                </c:pt>
                <c:pt idx="314">
                  <c:v>0.91171999999999997</c:v>
                </c:pt>
                <c:pt idx="315">
                  <c:v>0.90976000000000001</c:v>
                </c:pt>
                <c:pt idx="316">
                  <c:v>0.90780000000000005</c:v>
                </c:pt>
                <c:pt idx="317">
                  <c:v>0.90581999999999996</c:v>
                </c:pt>
                <c:pt idx="318">
                  <c:v>0.90390000000000004</c:v>
                </c:pt>
                <c:pt idx="319">
                  <c:v>0.90210000000000001</c:v>
                </c:pt>
                <c:pt idx="320">
                  <c:v>0.90036000000000005</c:v>
                </c:pt>
                <c:pt idx="321">
                  <c:v>0.89868000000000003</c:v>
                </c:pt>
                <c:pt idx="322">
                  <c:v>0.89734000000000003</c:v>
                </c:pt>
                <c:pt idx="323">
                  <c:v>0.89570000000000005</c:v>
                </c:pt>
                <c:pt idx="324">
                  <c:v>0.89426000000000005</c:v>
                </c:pt>
                <c:pt idx="325">
                  <c:v>0.89263999999999999</c:v>
                </c:pt>
                <c:pt idx="326">
                  <c:v>0.89102000000000003</c:v>
                </c:pt>
                <c:pt idx="327">
                  <c:v>0.88968000000000003</c:v>
                </c:pt>
                <c:pt idx="328">
                  <c:v>0.88827999999999996</c:v>
                </c:pt>
                <c:pt idx="329">
                  <c:v>0.88683999999999996</c:v>
                </c:pt>
                <c:pt idx="330">
                  <c:v>0.88568000000000002</c:v>
                </c:pt>
                <c:pt idx="331">
                  <c:v>0.88439999999999996</c:v>
                </c:pt>
                <c:pt idx="332">
                  <c:v>0.88319999999999999</c:v>
                </c:pt>
                <c:pt idx="333">
                  <c:v>0.88195999999999997</c:v>
                </c:pt>
                <c:pt idx="334">
                  <c:v>0.88063999999999998</c:v>
                </c:pt>
                <c:pt idx="335">
                  <c:v>0.87939999999999996</c:v>
                </c:pt>
                <c:pt idx="336">
                  <c:v>0.87790000000000001</c:v>
                </c:pt>
                <c:pt idx="337">
                  <c:v>0.87668000000000001</c:v>
                </c:pt>
                <c:pt idx="338">
                  <c:v>0.87529999999999997</c:v>
                </c:pt>
                <c:pt idx="339">
                  <c:v>0.87417999999999996</c:v>
                </c:pt>
                <c:pt idx="340">
                  <c:v>0.87297999999999998</c:v>
                </c:pt>
                <c:pt idx="341">
                  <c:v>0.87180000000000002</c:v>
                </c:pt>
                <c:pt idx="342">
                  <c:v>0.87048000000000003</c:v>
                </c:pt>
                <c:pt idx="343">
                  <c:v>0.86950000000000005</c:v>
                </c:pt>
                <c:pt idx="344">
                  <c:v>0.86839999999999995</c:v>
                </c:pt>
                <c:pt idx="345">
                  <c:v>0.86716000000000004</c:v>
                </c:pt>
                <c:pt idx="346">
                  <c:v>0.86599999999999999</c:v>
                </c:pt>
                <c:pt idx="347">
                  <c:v>0.86477999999999999</c:v>
                </c:pt>
                <c:pt idx="348">
                  <c:v>0.86384000000000005</c:v>
                </c:pt>
                <c:pt idx="349">
                  <c:v>0.86251999999999995</c:v>
                </c:pt>
                <c:pt idx="350">
                  <c:v>0.86136000000000001</c:v>
                </c:pt>
                <c:pt idx="351">
                  <c:v>0.86009999999999998</c:v>
                </c:pt>
                <c:pt idx="352">
                  <c:v>0.85926000000000002</c:v>
                </c:pt>
                <c:pt idx="353">
                  <c:v>0.85829999999999995</c:v>
                </c:pt>
                <c:pt idx="354">
                  <c:v>0.85729999999999995</c:v>
                </c:pt>
                <c:pt idx="355">
                  <c:v>0.85626000000000002</c:v>
                </c:pt>
                <c:pt idx="356">
                  <c:v>0.85504000000000002</c:v>
                </c:pt>
                <c:pt idx="357">
                  <c:v>0.85404000000000002</c:v>
                </c:pt>
                <c:pt idx="358">
                  <c:v>0.85287999999999997</c:v>
                </c:pt>
                <c:pt idx="359">
                  <c:v>0.85177999999999998</c:v>
                </c:pt>
                <c:pt idx="360">
                  <c:v>0.85074000000000005</c:v>
                </c:pt>
                <c:pt idx="361">
                  <c:v>0.85004000000000002</c:v>
                </c:pt>
                <c:pt idx="362">
                  <c:v>0.84928000000000003</c:v>
                </c:pt>
                <c:pt idx="363">
                  <c:v>0.84811999999999999</c:v>
                </c:pt>
                <c:pt idx="364">
                  <c:v>0.84709999999999996</c:v>
                </c:pt>
                <c:pt idx="365">
                  <c:v>0.84597999999999995</c:v>
                </c:pt>
                <c:pt idx="366">
                  <c:v>0.84504000000000001</c:v>
                </c:pt>
                <c:pt idx="367">
                  <c:v>0.84399999999999997</c:v>
                </c:pt>
                <c:pt idx="368">
                  <c:v>0.84284000000000003</c:v>
                </c:pt>
                <c:pt idx="369">
                  <c:v>0.84187999999999996</c:v>
                </c:pt>
                <c:pt idx="370">
                  <c:v>0.84086000000000005</c:v>
                </c:pt>
                <c:pt idx="371">
                  <c:v>0.83977999999999997</c:v>
                </c:pt>
                <c:pt idx="372">
                  <c:v>0.83877999999999997</c:v>
                </c:pt>
                <c:pt idx="373">
                  <c:v>0.83786000000000005</c:v>
                </c:pt>
                <c:pt idx="374">
                  <c:v>0.83686000000000005</c:v>
                </c:pt>
                <c:pt idx="375">
                  <c:v>0.83582000000000001</c:v>
                </c:pt>
                <c:pt idx="376">
                  <c:v>0.83467999999999998</c:v>
                </c:pt>
                <c:pt idx="377">
                  <c:v>0.83374000000000004</c:v>
                </c:pt>
                <c:pt idx="378">
                  <c:v>0.83286000000000004</c:v>
                </c:pt>
                <c:pt idx="379">
                  <c:v>0.83172000000000001</c:v>
                </c:pt>
                <c:pt idx="380">
                  <c:v>0.83082</c:v>
                </c:pt>
                <c:pt idx="381">
                  <c:v>0.82984000000000002</c:v>
                </c:pt>
                <c:pt idx="382">
                  <c:v>0.82908000000000004</c:v>
                </c:pt>
                <c:pt idx="383">
                  <c:v>0.82794000000000001</c:v>
                </c:pt>
                <c:pt idx="384">
                  <c:v>0.82718000000000003</c:v>
                </c:pt>
                <c:pt idx="385">
                  <c:v>0.82611999999999997</c:v>
                </c:pt>
                <c:pt idx="386">
                  <c:v>0.82491999999999999</c:v>
                </c:pt>
                <c:pt idx="387">
                  <c:v>0.82399999999999995</c:v>
                </c:pt>
                <c:pt idx="388">
                  <c:v>0.82306000000000001</c:v>
                </c:pt>
                <c:pt idx="389">
                  <c:v>0.82218000000000002</c:v>
                </c:pt>
                <c:pt idx="390">
                  <c:v>0.82121999999999995</c:v>
                </c:pt>
                <c:pt idx="391">
                  <c:v>0.82020000000000004</c:v>
                </c:pt>
                <c:pt idx="392">
                  <c:v>0.81921999999999995</c:v>
                </c:pt>
                <c:pt idx="393">
                  <c:v>0.81813999999999998</c:v>
                </c:pt>
                <c:pt idx="394">
                  <c:v>0.81713999999999998</c:v>
                </c:pt>
                <c:pt idx="395">
                  <c:v>0.81621999999999995</c:v>
                </c:pt>
                <c:pt idx="396">
                  <c:v>0.81506000000000001</c:v>
                </c:pt>
                <c:pt idx="397">
                  <c:v>0.81413999999999997</c:v>
                </c:pt>
                <c:pt idx="398">
                  <c:v>0.81323999999999996</c:v>
                </c:pt>
                <c:pt idx="399">
                  <c:v>0.81201999999999996</c:v>
                </c:pt>
                <c:pt idx="400">
                  <c:v>0.81140000000000001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4D8-4C85-A572-B620E03465A2}"/>
            </c:ext>
          </c:extLst>
        </c:ser>
        <c:ser>
          <c:idx val="12"/>
          <c:order val="3"/>
          <c:tx>
            <c:strRef>
              <c:f>'Pig graph '!$AG$1</c:f>
              <c:strCache>
                <c:ptCount val="1"/>
                <c:pt idx="0">
                  <c:v>s13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'Pig graph '!$T$2:$T$402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 graph '!$AG$2:$AG$402</c:f>
              <c:numCache>
                <c:formatCode>General</c:formatCode>
                <c:ptCount val="401"/>
                <c:pt idx="0">
                  <c:v>1.03132</c:v>
                </c:pt>
                <c:pt idx="1">
                  <c:v>1.03152</c:v>
                </c:pt>
                <c:pt idx="2">
                  <c:v>1.0316799999999999</c:v>
                </c:pt>
                <c:pt idx="3">
                  <c:v>1.0325599999999999</c:v>
                </c:pt>
                <c:pt idx="4">
                  <c:v>1.0332600000000001</c:v>
                </c:pt>
                <c:pt idx="5">
                  <c:v>1.0340199999999999</c:v>
                </c:pt>
                <c:pt idx="6">
                  <c:v>1.0345200000000001</c:v>
                </c:pt>
                <c:pt idx="7">
                  <c:v>1.0360400000000001</c:v>
                </c:pt>
                <c:pt idx="8">
                  <c:v>1.0369600000000001</c:v>
                </c:pt>
                <c:pt idx="9">
                  <c:v>1.03762</c:v>
                </c:pt>
                <c:pt idx="10">
                  <c:v>1.03864</c:v>
                </c:pt>
                <c:pt idx="11">
                  <c:v>1.0403199999999999</c:v>
                </c:pt>
                <c:pt idx="12">
                  <c:v>1.0412999999999999</c:v>
                </c:pt>
                <c:pt idx="13">
                  <c:v>1.0428200000000001</c:v>
                </c:pt>
                <c:pt idx="14">
                  <c:v>1.0435399999999999</c:v>
                </c:pt>
                <c:pt idx="15">
                  <c:v>1.04464</c:v>
                </c:pt>
                <c:pt idx="16">
                  <c:v>1.04636</c:v>
                </c:pt>
                <c:pt idx="17">
                  <c:v>1.0483800000000001</c:v>
                </c:pt>
                <c:pt idx="18">
                  <c:v>1.04972</c:v>
                </c:pt>
                <c:pt idx="19">
                  <c:v>1.0503199999999999</c:v>
                </c:pt>
                <c:pt idx="20">
                  <c:v>1.0506800000000001</c:v>
                </c:pt>
                <c:pt idx="21">
                  <c:v>1.0522400000000001</c:v>
                </c:pt>
                <c:pt idx="22">
                  <c:v>1.0529200000000001</c:v>
                </c:pt>
                <c:pt idx="23">
                  <c:v>1.0533999999999999</c:v>
                </c:pt>
                <c:pt idx="24">
                  <c:v>1.05362</c:v>
                </c:pt>
                <c:pt idx="25">
                  <c:v>1.05416</c:v>
                </c:pt>
                <c:pt idx="26">
                  <c:v>1.0551999999999999</c:v>
                </c:pt>
                <c:pt idx="27">
                  <c:v>1.0558799999999999</c:v>
                </c:pt>
                <c:pt idx="28">
                  <c:v>1.0571200000000001</c:v>
                </c:pt>
                <c:pt idx="29">
                  <c:v>1.0580799999999999</c:v>
                </c:pt>
                <c:pt idx="30">
                  <c:v>1.0592999999999999</c:v>
                </c:pt>
                <c:pt idx="31">
                  <c:v>1.0607200000000001</c:v>
                </c:pt>
                <c:pt idx="32">
                  <c:v>1.06192</c:v>
                </c:pt>
                <c:pt idx="33">
                  <c:v>1.0639000000000001</c:v>
                </c:pt>
                <c:pt idx="34">
                  <c:v>1.0647599999999999</c:v>
                </c:pt>
                <c:pt idx="35">
                  <c:v>1.0663800000000001</c:v>
                </c:pt>
                <c:pt idx="36">
                  <c:v>1.0670999999999999</c:v>
                </c:pt>
                <c:pt idx="37">
                  <c:v>1.0685800000000001</c:v>
                </c:pt>
                <c:pt idx="38">
                  <c:v>1.0687599999999999</c:v>
                </c:pt>
                <c:pt idx="39">
                  <c:v>1.0694600000000001</c:v>
                </c:pt>
                <c:pt idx="40">
                  <c:v>1.06962</c:v>
                </c:pt>
                <c:pt idx="41">
                  <c:v>1.0698000000000001</c:v>
                </c:pt>
                <c:pt idx="42">
                  <c:v>1.06948</c:v>
                </c:pt>
                <c:pt idx="43">
                  <c:v>1.0687</c:v>
                </c:pt>
                <c:pt idx="44">
                  <c:v>1.06714</c:v>
                </c:pt>
                <c:pt idx="45">
                  <c:v>1.06494</c:v>
                </c:pt>
                <c:pt idx="46">
                  <c:v>1.06342</c:v>
                </c:pt>
                <c:pt idx="47">
                  <c:v>1.0617000000000001</c:v>
                </c:pt>
                <c:pt idx="48">
                  <c:v>1.0591200000000001</c:v>
                </c:pt>
                <c:pt idx="49">
                  <c:v>1.05646</c:v>
                </c:pt>
                <c:pt idx="50">
                  <c:v>1.0542</c:v>
                </c:pt>
                <c:pt idx="51">
                  <c:v>1.05182</c:v>
                </c:pt>
                <c:pt idx="52">
                  <c:v>1.04966</c:v>
                </c:pt>
                <c:pt idx="53">
                  <c:v>1.04742</c:v>
                </c:pt>
                <c:pt idx="54">
                  <c:v>1.0458400000000001</c:v>
                </c:pt>
                <c:pt idx="55">
                  <c:v>1.0439400000000001</c:v>
                </c:pt>
                <c:pt idx="56">
                  <c:v>1.04226</c:v>
                </c:pt>
                <c:pt idx="57">
                  <c:v>1.04098</c:v>
                </c:pt>
                <c:pt idx="58">
                  <c:v>1.0397400000000001</c:v>
                </c:pt>
                <c:pt idx="59">
                  <c:v>1.0383599999999999</c:v>
                </c:pt>
                <c:pt idx="60">
                  <c:v>1.0371999999999999</c:v>
                </c:pt>
                <c:pt idx="61">
                  <c:v>1.0360400000000001</c:v>
                </c:pt>
                <c:pt idx="62">
                  <c:v>1.0347999999999999</c:v>
                </c:pt>
                <c:pt idx="63">
                  <c:v>1.0336399999999999</c:v>
                </c:pt>
                <c:pt idx="64">
                  <c:v>1.03254</c:v>
                </c:pt>
                <c:pt idx="65">
                  <c:v>1.03094</c:v>
                </c:pt>
                <c:pt idx="66">
                  <c:v>1.0298799999999999</c:v>
                </c:pt>
                <c:pt idx="67">
                  <c:v>1.0283800000000001</c:v>
                </c:pt>
                <c:pt idx="68">
                  <c:v>1.0268200000000001</c:v>
                </c:pt>
                <c:pt idx="69">
                  <c:v>1.02484</c:v>
                </c:pt>
                <c:pt idx="70">
                  <c:v>1.0236799999999999</c:v>
                </c:pt>
                <c:pt idx="71">
                  <c:v>1.02216</c:v>
                </c:pt>
                <c:pt idx="72">
                  <c:v>1.0206200000000001</c:v>
                </c:pt>
                <c:pt idx="73">
                  <c:v>1.0188999999999999</c:v>
                </c:pt>
                <c:pt idx="74">
                  <c:v>1.0175799999999999</c:v>
                </c:pt>
                <c:pt idx="75">
                  <c:v>1.0161199999999999</c:v>
                </c:pt>
                <c:pt idx="76">
                  <c:v>1.01492</c:v>
                </c:pt>
                <c:pt idx="77">
                  <c:v>1.0137</c:v>
                </c:pt>
                <c:pt idx="78">
                  <c:v>1.0121800000000001</c:v>
                </c:pt>
                <c:pt idx="79">
                  <c:v>1.0111600000000001</c:v>
                </c:pt>
                <c:pt idx="80">
                  <c:v>1.0099199999999999</c:v>
                </c:pt>
                <c:pt idx="81">
                  <c:v>1.00936</c:v>
                </c:pt>
                <c:pt idx="82">
                  <c:v>1.0082</c:v>
                </c:pt>
                <c:pt idx="83">
                  <c:v>1.00762</c:v>
                </c:pt>
                <c:pt idx="84">
                  <c:v>1.0067999999999999</c:v>
                </c:pt>
                <c:pt idx="85">
                  <c:v>1.00644</c:v>
                </c:pt>
                <c:pt idx="86">
                  <c:v>1.0057400000000001</c:v>
                </c:pt>
                <c:pt idx="87">
                  <c:v>1.00498</c:v>
                </c:pt>
                <c:pt idx="88">
                  <c:v>1.00498</c:v>
                </c:pt>
                <c:pt idx="89">
                  <c:v>1.0044200000000001</c:v>
                </c:pt>
                <c:pt idx="90">
                  <c:v>1.0038199999999999</c:v>
                </c:pt>
                <c:pt idx="91">
                  <c:v>1.0032000000000001</c:v>
                </c:pt>
                <c:pt idx="92">
                  <c:v>1.00284</c:v>
                </c:pt>
                <c:pt idx="93">
                  <c:v>1.0019800000000001</c:v>
                </c:pt>
                <c:pt idx="94">
                  <c:v>1.0014400000000001</c:v>
                </c:pt>
                <c:pt idx="95">
                  <c:v>1.00024</c:v>
                </c:pt>
                <c:pt idx="96">
                  <c:v>0.99895999999999996</c:v>
                </c:pt>
                <c:pt idx="97">
                  <c:v>0.99778</c:v>
                </c:pt>
                <c:pt idx="98">
                  <c:v>0.99646000000000001</c:v>
                </c:pt>
                <c:pt idx="99">
                  <c:v>0.99507999999999996</c:v>
                </c:pt>
                <c:pt idx="100">
                  <c:v>0.99356</c:v>
                </c:pt>
                <c:pt idx="101">
                  <c:v>0.99187999999999998</c:v>
                </c:pt>
                <c:pt idx="102">
                  <c:v>0.99007999999999996</c:v>
                </c:pt>
                <c:pt idx="103">
                  <c:v>0.98812</c:v>
                </c:pt>
                <c:pt idx="104">
                  <c:v>0.98612</c:v>
                </c:pt>
                <c:pt idx="105">
                  <c:v>0.98421999999999998</c:v>
                </c:pt>
                <c:pt idx="106">
                  <c:v>0.98202</c:v>
                </c:pt>
                <c:pt idx="107">
                  <c:v>0.97955999999999999</c:v>
                </c:pt>
                <c:pt idx="108">
                  <c:v>0.97750000000000004</c:v>
                </c:pt>
                <c:pt idx="109">
                  <c:v>0.97494000000000003</c:v>
                </c:pt>
                <c:pt idx="110">
                  <c:v>0.97285999999999995</c:v>
                </c:pt>
                <c:pt idx="111">
                  <c:v>0.97033999999999998</c:v>
                </c:pt>
                <c:pt idx="112">
                  <c:v>0.96848000000000001</c:v>
                </c:pt>
                <c:pt idx="113">
                  <c:v>0.96582000000000001</c:v>
                </c:pt>
                <c:pt idx="114">
                  <c:v>0.96338000000000001</c:v>
                </c:pt>
                <c:pt idx="115">
                  <c:v>0.96130000000000004</c:v>
                </c:pt>
                <c:pt idx="116">
                  <c:v>0.95884000000000003</c:v>
                </c:pt>
                <c:pt idx="117">
                  <c:v>0.95657999999999999</c:v>
                </c:pt>
                <c:pt idx="118">
                  <c:v>0.95421999999999996</c:v>
                </c:pt>
                <c:pt idx="119">
                  <c:v>0.95199999999999996</c:v>
                </c:pt>
                <c:pt idx="120">
                  <c:v>0.95001999999999998</c:v>
                </c:pt>
                <c:pt idx="121">
                  <c:v>0.94782</c:v>
                </c:pt>
                <c:pt idx="122">
                  <c:v>0.94557999999999998</c:v>
                </c:pt>
                <c:pt idx="123">
                  <c:v>0.94313999999999998</c:v>
                </c:pt>
                <c:pt idx="124">
                  <c:v>0.94125999999999999</c:v>
                </c:pt>
                <c:pt idx="125">
                  <c:v>0.93957999999999997</c:v>
                </c:pt>
                <c:pt idx="126">
                  <c:v>0.93755999999999995</c:v>
                </c:pt>
                <c:pt idx="127">
                  <c:v>0.93528</c:v>
                </c:pt>
                <c:pt idx="128">
                  <c:v>0.93332000000000004</c:v>
                </c:pt>
                <c:pt idx="129">
                  <c:v>0.93133999999999995</c:v>
                </c:pt>
                <c:pt idx="130">
                  <c:v>0.92937999999999998</c:v>
                </c:pt>
                <c:pt idx="131">
                  <c:v>0.92769999999999997</c:v>
                </c:pt>
                <c:pt idx="132">
                  <c:v>0.92596000000000001</c:v>
                </c:pt>
                <c:pt idx="133">
                  <c:v>0.92413999999999996</c:v>
                </c:pt>
                <c:pt idx="134">
                  <c:v>0.92222000000000004</c:v>
                </c:pt>
                <c:pt idx="135">
                  <c:v>0.92047999999999996</c:v>
                </c:pt>
                <c:pt idx="136">
                  <c:v>0.91888000000000003</c:v>
                </c:pt>
                <c:pt idx="137">
                  <c:v>0.91674</c:v>
                </c:pt>
                <c:pt idx="138">
                  <c:v>0.91491999999999996</c:v>
                </c:pt>
                <c:pt idx="139">
                  <c:v>0.91354000000000002</c:v>
                </c:pt>
                <c:pt idx="140">
                  <c:v>0.91168000000000005</c:v>
                </c:pt>
                <c:pt idx="141">
                  <c:v>0.9103</c:v>
                </c:pt>
                <c:pt idx="142">
                  <c:v>0.90876000000000001</c:v>
                </c:pt>
                <c:pt idx="143">
                  <c:v>0.90761999999999998</c:v>
                </c:pt>
                <c:pt idx="144">
                  <c:v>0.90632000000000001</c:v>
                </c:pt>
                <c:pt idx="145">
                  <c:v>0.90488000000000002</c:v>
                </c:pt>
                <c:pt idx="146">
                  <c:v>0.90378000000000003</c:v>
                </c:pt>
                <c:pt idx="147">
                  <c:v>0.90264</c:v>
                </c:pt>
                <c:pt idx="148">
                  <c:v>0.90127999999999997</c:v>
                </c:pt>
                <c:pt idx="149">
                  <c:v>0.90002000000000004</c:v>
                </c:pt>
                <c:pt idx="150">
                  <c:v>0.89883999999999997</c:v>
                </c:pt>
                <c:pt idx="151">
                  <c:v>0.89781999999999995</c:v>
                </c:pt>
                <c:pt idx="152">
                  <c:v>0.89681999999999995</c:v>
                </c:pt>
                <c:pt idx="153">
                  <c:v>0.89583999999999997</c:v>
                </c:pt>
                <c:pt idx="154">
                  <c:v>0.89490000000000003</c:v>
                </c:pt>
                <c:pt idx="155">
                  <c:v>0.89410000000000001</c:v>
                </c:pt>
                <c:pt idx="156">
                  <c:v>0.89322000000000001</c:v>
                </c:pt>
                <c:pt idx="157">
                  <c:v>0.89251999999999998</c:v>
                </c:pt>
                <c:pt idx="158">
                  <c:v>0.89132</c:v>
                </c:pt>
                <c:pt idx="159">
                  <c:v>0.89068000000000003</c:v>
                </c:pt>
                <c:pt idx="160">
                  <c:v>0.89002000000000003</c:v>
                </c:pt>
                <c:pt idx="161">
                  <c:v>0.88946000000000003</c:v>
                </c:pt>
                <c:pt idx="162">
                  <c:v>0.88854</c:v>
                </c:pt>
                <c:pt idx="163">
                  <c:v>0.88795999999999997</c:v>
                </c:pt>
                <c:pt idx="164">
                  <c:v>0.88748000000000005</c:v>
                </c:pt>
                <c:pt idx="165">
                  <c:v>0.88688</c:v>
                </c:pt>
                <c:pt idx="166">
                  <c:v>0.88641999999999999</c:v>
                </c:pt>
                <c:pt idx="167">
                  <c:v>0.88592000000000004</c:v>
                </c:pt>
                <c:pt idx="168">
                  <c:v>0.88571999999999995</c:v>
                </c:pt>
                <c:pt idx="169">
                  <c:v>0.88500000000000001</c:v>
                </c:pt>
                <c:pt idx="170">
                  <c:v>0.88475999999999999</c:v>
                </c:pt>
                <c:pt idx="171">
                  <c:v>0.88461999999999996</c:v>
                </c:pt>
                <c:pt idx="172">
                  <c:v>0.88405999999999996</c:v>
                </c:pt>
                <c:pt idx="173">
                  <c:v>0.88397999999999999</c:v>
                </c:pt>
                <c:pt idx="174">
                  <c:v>0.88375999999999999</c:v>
                </c:pt>
                <c:pt idx="175">
                  <c:v>0.88382000000000005</c:v>
                </c:pt>
                <c:pt idx="176">
                  <c:v>0.88339999999999996</c:v>
                </c:pt>
                <c:pt idx="177">
                  <c:v>0.88329999999999997</c:v>
                </c:pt>
                <c:pt idx="178">
                  <c:v>0.88312000000000002</c:v>
                </c:pt>
                <c:pt idx="179">
                  <c:v>0.88314000000000004</c:v>
                </c:pt>
                <c:pt idx="180">
                  <c:v>0.88288</c:v>
                </c:pt>
                <c:pt idx="181">
                  <c:v>0.88288</c:v>
                </c:pt>
                <c:pt idx="182">
                  <c:v>0.88249999999999995</c:v>
                </c:pt>
                <c:pt idx="183">
                  <c:v>0.88244</c:v>
                </c:pt>
                <c:pt idx="184">
                  <c:v>0.88224000000000002</c:v>
                </c:pt>
                <c:pt idx="185">
                  <c:v>0.88183999999999996</c:v>
                </c:pt>
                <c:pt idx="186">
                  <c:v>0.88185999999999998</c:v>
                </c:pt>
                <c:pt idx="187">
                  <c:v>0.88146000000000002</c:v>
                </c:pt>
                <c:pt idx="188">
                  <c:v>0.88138000000000005</c:v>
                </c:pt>
                <c:pt idx="189">
                  <c:v>0.88139999999999996</c:v>
                </c:pt>
                <c:pt idx="190">
                  <c:v>0.88102000000000003</c:v>
                </c:pt>
                <c:pt idx="191">
                  <c:v>0.88092000000000004</c:v>
                </c:pt>
                <c:pt idx="192">
                  <c:v>0.88068000000000002</c:v>
                </c:pt>
                <c:pt idx="193">
                  <c:v>0.88056000000000001</c:v>
                </c:pt>
                <c:pt idx="194">
                  <c:v>0.88034000000000001</c:v>
                </c:pt>
                <c:pt idx="195">
                  <c:v>0.87992000000000004</c:v>
                </c:pt>
                <c:pt idx="196">
                  <c:v>0.87963999999999998</c:v>
                </c:pt>
                <c:pt idx="197">
                  <c:v>0.87917999999999996</c:v>
                </c:pt>
                <c:pt idx="198">
                  <c:v>0.87917999999999996</c:v>
                </c:pt>
                <c:pt idx="199">
                  <c:v>0.87924000000000002</c:v>
                </c:pt>
                <c:pt idx="200">
                  <c:v>0.87887999999999999</c:v>
                </c:pt>
                <c:pt idx="201">
                  <c:v>0.87871999999999995</c:v>
                </c:pt>
                <c:pt idx="202">
                  <c:v>0.87849999999999995</c:v>
                </c:pt>
                <c:pt idx="203">
                  <c:v>0.87848000000000004</c:v>
                </c:pt>
                <c:pt idx="204">
                  <c:v>0.87826000000000004</c:v>
                </c:pt>
                <c:pt idx="205">
                  <c:v>0.87826000000000004</c:v>
                </c:pt>
                <c:pt idx="206">
                  <c:v>0.87849999999999995</c:v>
                </c:pt>
                <c:pt idx="207">
                  <c:v>0.87860000000000005</c:v>
                </c:pt>
                <c:pt idx="208">
                  <c:v>0.87917999999999996</c:v>
                </c:pt>
                <c:pt idx="209">
                  <c:v>0.87948000000000004</c:v>
                </c:pt>
                <c:pt idx="210">
                  <c:v>0.88004000000000004</c:v>
                </c:pt>
                <c:pt idx="211">
                  <c:v>0.88061999999999996</c:v>
                </c:pt>
                <c:pt idx="212">
                  <c:v>0.88139999999999996</c:v>
                </c:pt>
                <c:pt idx="213">
                  <c:v>0.88224000000000002</c:v>
                </c:pt>
                <c:pt idx="214">
                  <c:v>0.88317999999999997</c:v>
                </c:pt>
                <c:pt idx="215">
                  <c:v>0.88446000000000002</c:v>
                </c:pt>
                <c:pt idx="216">
                  <c:v>0.88534000000000002</c:v>
                </c:pt>
                <c:pt idx="217">
                  <c:v>0.88673999999999997</c:v>
                </c:pt>
                <c:pt idx="218">
                  <c:v>0.88817999999999997</c:v>
                </c:pt>
                <c:pt idx="219">
                  <c:v>0.88963999999999999</c:v>
                </c:pt>
                <c:pt idx="220">
                  <c:v>0.89114000000000004</c:v>
                </c:pt>
                <c:pt idx="221">
                  <c:v>0.89258000000000004</c:v>
                </c:pt>
                <c:pt idx="222">
                  <c:v>0.89415999999999995</c:v>
                </c:pt>
                <c:pt idx="223">
                  <c:v>0.89612000000000003</c:v>
                </c:pt>
                <c:pt idx="224">
                  <c:v>0.89781999999999995</c:v>
                </c:pt>
                <c:pt idx="225">
                  <c:v>0.89942</c:v>
                </c:pt>
                <c:pt idx="226">
                  <c:v>0.90112000000000003</c:v>
                </c:pt>
                <c:pt idx="227">
                  <c:v>0.90268000000000004</c:v>
                </c:pt>
                <c:pt idx="228">
                  <c:v>0.90402000000000005</c:v>
                </c:pt>
                <c:pt idx="229">
                  <c:v>0.90547999999999995</c:v>
                </c:pt>
                <c:pt idx="230">
                  <c:v>0.90673999999999999</c:v>
                </c:pt>
                <c:pt idx="231">
                  <c:v>0.90780000000000005</c:v>
                </c:pt>
                <c:pt idx="232">
                  <c:v>0.90876000000000001</c:v>
                </c:pt>
                <c:pt idx="233">
                  <c:v>0.90958000000000006</c:v>
                </c:pt>
                <c:pt idx="234">
                  <c:v>0.91</c:v>
                </c:pt>
                <c:pt idx="235">
                  <c:v>0.91024000000000005</c:v>
                </c:pt>
                <c:pt idx="236">
                  <c:v>0.91057999999999995</c:v>
                </c:pt>
                <c:pt idx="237">
                  <c:v>0.91039999999999999</c:v>
                </c:pt>
                <c:pt idx="238">
                  <c:v>0.90998000000000001</c:v>
                </c:pt>
                <c:pt idx="239">
                  <c:v>0.90971999999999997</c:v>
                </c:pt>
                <c:pt idx="240">
                  <c:v>0.90893999999999997</c:v>
                </c:pt>
                <c:pt idx="241">
                  <c:v>0.90813999999999995</c:v>
                </c:pt>
                <c:pt idx="242">
                  <c:v>0.90732000000000002</c:v>
                </c:pt>
                <c:pt idx="243">
                  <c:v>0.90622000000000003</c:v>
                </c:pt>
                <c:pt idx="244">
                  <c:v>0.90510000000000002</c:v>
                </c:pt>
                <c:pt idx="245">
                  <c:v>0.90386</c:v>
                </c:pt>
                <c:pt idx="246">
                  <c:v>0.90258000000000005</c:v>
                </c:pt>
                <c:pt idx="247">
                  <c:v>0.90122000000000002</c:v>
                </c:pt>
                <c:pt idx="248">
                  <c:v>0.89978000000000002</c:v>
                </c:pt>
                <c:pt idx="249">
                  <c:v>0.89859999999999995</c:v>
                </c:pt>
                <c:pt idx="250">
                  <c:v>0.89712000000000003</c:v>
                </c:pt>
                <c:pt idx="251">
                  <c:v>0.89556000000000002</c:v>
                </c:pt>
                <c:pt idx="252">
                  <c:v>0.89395999999999998</c:v>
                </c:pt>
                <c:pt idx="253">
                  <c:v>0.89239999999999997</c:v>
                </c:pt>
                <c:pt idx="254">
                  <c:v>0.89059999999999995</c:v>
                </c:pt>
                <c:pt idx="255">
                  <c:v>0.88892000000000004</c:v>
                </c:pt>
                <c:pt idx="256">
                  <c:v>0.88724000000000003</c:v>
                </c:pt>
                <c:pt idx="257">
                  <c:v>0.88546000000000002</c:v>
                </c:pt>
                <c:pt idx="258">
                  <c:v>0.88378000000000001</c:v>
                </c:pt>
                <c:pt idx="259">
                  <c:v>0.88207999999999998</c:v>
                </c:pt>
                <c:pt idx="260">
                  <c:v>0.88051999999999997</c:v>
                </c:pt>
                <c:pt idx="261">
                  <c:v>0.87912000000000001</c:v>
                </c:pt>
                <c:pt idx="262">
                  <c:v>0.87795999999999996</c:v>
                </c:pt>
                <c:pt idx="263">
                  <c:v>0.87692000000000003</c:v>
                </c:pt>
                <c:pt idx="264">
                  <c:v>0.876</c:v>
                </c:pt>
                <c:pt idx="265">
                  <c:v>0.87539999999999996</c:v>
                </c:pt>
                <c:pt idx="266">
                  <c:v>0.875</c:v>
                </c:pt>
                <c:pt idx="267">
                  <c:v>0.87478</c:v>
                </c:pt>
                <c:pt idx="268">
                  <c:v>0.87472000000000005</c:v>
                </c:pt>
                <c:pt idx="269">
                  <c:v>0.87487999999999999</c:v>
                </c:pt>
                <c:pt idx="270">
                  <c:v>0.87509999999999999</c:v>
                </c:pt>
                <c:pt idx="271">
                  <c:v>0.87529999999999997</c:v>
                </c:pt>
                <c:pt idx="272">
                  <c:v>0.87548000000000004</c:v>
                </c:pt>
                <c:pt idx="273">
                  <c:v>0.87580000000000002</c:v>
                </c:pt>
                <c:pt idx="274">
                  <c:v>0.87594000000000005</c:v>
                </c:pt>
                <c:pt idx="275">
                  <c:v>0.87612000000000001</c:v>
                </c:pt>
                <c:pt idx="276">
                  <c:v>0.87638000000000005</c:v>
                </c:pt>
                <c:pt idx="277">
                  <c:v>0.87670000000000003</c:v>
                </c:pt>
                <c:pt idx="278">
                  <c:v>0.87702000000000002</c:v>
                </c:pt>
                <c:pt idx="279">
                  <c:v>0.87722</c:v>
                </c:pt>
                <c:pt idx="280">
                  <c:v>0.87719999999999998</c:v>
                </c:pt>
                <c:pt idx="281">
                  <c:v>0.87673999999999996</c:v>
                </c:pt>
                <c:pt idx="282">
                  <c:v>0.87582000000000004</c:v>
                </c:pt>
                <c:pt idx="283">
                  <c:v>0.87448000000000004</c:v>
                </c:pt>
                <c:pt idx="284">
                  <c:v>0.87216000000000005</c:v>
                </c:pt>
                <c:pt idx="285">
                  <c:v>0.86983999999999995</c:v>
                </c:pt>
                <c:pt idx="286">
                  <c:v>0.86692000000000002</c:v>
                </c:pt>
                <c:pt idx="287">
                  <c:v>0.86338000000000004</c:v>
                </c:pt>
                <c:pt idx="288">
                  <c:v>0.85973999999999995</c:v>
                </c:pt>
                <c:pt idx="289">
                  <c:v>0.85562000000000005</c:v>
                </c:pt>
                <c:pt idx="290">
                  <c:v>0.85184000000000004</c:v>
                </c:pt>
                <c:pt idx="291">
                  <c:v>0.84741999999999995</c:v>
                </c:pt>
                <c:pt idx="292">
                  <c:v>0.84355999999999998</c:v>
                </c:pt>
                <c:pt idx="293">
                  <c:v>0.83943999999999996</c:v>
                </c:pt>
                <c:pt idx="294">
                  <c:v>0.83543999999999996</c:v>
                </c:pt>
                <c:pt idx="295">
                  <c:v>0.83189999999999997</c:v>
                </c:pt>
                <c:pt idx="296">
                  <c:v>0.82840000000000003</c:v>
                </c:pt>
                <c:pt idx="297">
                  <c:v>0.82491999999999999</c:v>
                </c:pt>
                <c:pt idx="298">
                  <c:v>0.82196000000000002</c:v>
                </c:pt>
                <c:pt idx="299">
                  <c:v>0.81889999999999996</c:v>
                </c:pt>
                <c:pt idx="300">
                  <c:v>0.81599999999999995</c:v>
                </c:pt>
                <c:pt idx="301">
                  <c:v>0.81335999999999997</c:v>
                </c:pt>
                <c:pt idx="302">
                  <c:v>0.81088000000000005</c:v>
                </c:pt>
                <c:pt idx="303">
                  <c:v>0.80866000000000005</c:v>
                </c:pt>
                <c:pt idx="304">
                  <c:v>0.80635999999999997</c:v>
                </c:pt>
                <c:pt idx="305">
                  <c:v>0.80415999999999999</c:v>
                </c:pt>
                <c:pt idx="306">
                  <c:v>0.80210000000000004</c:v>
                </c:pt>
                <c:pt idx="307">
                  <c:v>0.80008000000000001</c:v>
                </c:pt>
                <c:pt idx="308">
                  <c:v>0.79810000000000003</c:v>
                </c:pt>
                <c:pt idx="309">
                  <c:v>0.79637999999999998</c:v>
                </c:pt>
                <c:pt idx="310">
                  <c:v>0.79464000000000001</c:v>
                </c:pt>
                <c:pt idx="311">
                  <c:v>0.79310000000000003</c:v>
                </c:pt>
                <c:pt idx="312">
                  <c:v>0.79156000000000004</c:v>
                </c:pt>
                <c:pt idx="313">
                  <c:v>0.78981999999999997</c:v>
                </c:pt>
                <c:pt idx="314">
                  <c:v>0.78835999999999995</c:v>
                </c:pt>
                <c:pt idx="315">
                  <c:v>0.78710000000000002</c:v>
                </c:pt>
                <c:pt idx="316">
                  <c:v>0.78573999999999999</c:v>
                </c:pt>
                <c:pt idx="317">
                  <c:v>0.78422000000000003</c:v>
                </c:pt>
                <c:pt idx="318">
                  <c:v>0.78280000000000005</c:v>
                </c:pt>
                <c:pt idx="319">
                  <c:v>0.78137999999999996</c:v>
                </c:pt>
                <c:pt idx="320">
                  <c:v>0.78010000000000002</c:v>
                </c:pt>
                <c:pt idx="321">
                  <c:v>0.77878000000000003</c:v>
                </c:pt>
                <c:pt idx="322">
                  <c:v>0.77739999999999998</c:v>
                </c:pt>
                <c:pt idx="323">
                  <c:v>0.77622000000000002</c:v>
                </c:pt>
                <c:pt idx="324">
                  <c:v>0.77517999999999998</c:v>
                </c:pt>
                <c:pt idx="325">
                  <c:v>0.77395999999999998</c:v>
                </c:pt>
                <c:pt idx="326">
                  <c:v>0.77273999999999998</c:v>
                </c:pt>
                <c:pt idx="327">
                  <c:v>0.77146000000000003</c:v>
                </c:pt>
                <c:pt idx="328">
                  <c:v>0.77025999999999994</c:v>
                </c:pt>
                <c:pt idx="329">
                  <c:v>0.76919999999999999</c:v>
                </c:pt>
                <c:pt idx="330">
                  <c:v>0.76792000000000005</c:v>
                </c:pt>
                <c:pt idx="331">
                  <c:v>0.76681999999999995</c:v>
                </c:pt>
                <c:pt idx="332">
                  <c:v>0.76578000000000002</c:v>
                </c:pt>
                <c:pt idx="333">
                  <c:v>0.76458000000000004</c:v>
                </c:pt>
                <c:pt idx="334">
                  <c:v>0.76336000000000004</c:v>
                </c:pt>
                <c:pt idx="335">
                  <c:v>0.76217999999999997</c:v>
                </c:pt>
                <c:pt idx="336">
                  <c:v>0.76104000000000005</c:v>
                </c:pt>
                <c:pt idx="337">
                  <c:v>0.75992000000000004</c:v>
                </c:pt>
                <c:pt idx="338">
                  <c:v>0.75871999999999995</c:v>
                </c:pt>
                <c:pt idx="339">
                  <c:v>0.75771999999999995</c:v>
                </c:pt>
                <c:pt idx="340">
                  <c:v>0.75661999999999996</c:v>
                </c:pt>
                <c:pt idx="341">
                  <c:v>0.75546000000000002</c:v>
                </c:pt>
                <c:pt idx="342">
                  <c:v>0.75436000000000003</c:v>
                </c:pt>
                <c:pt idx="343">
                  <c:v>0.75349999999999995</c:v>
                </c:pt>
                <c:pt idx="344">
                  <c:v>0.75244</c:v>
                </c:pt>
                <c:pt idx="345">
                  <c:v>0.75126000000000004</c:v>
                </c:pt>
                <c:pt idx="346">
                  <c:v>0.75027999999999995</c:v>
                </c:pt>
                <c:pt idx="347">
                  <c:v>0.749</c:v>
                </c:pt>
                <c:pt idx="348">
                  <c:v>0.74809999999999999</c:v>
                </c:pt>
                <c:pt idx="349">
                  <c:v>0.74714000000000003</c:v>
                </c:pt>
                <c:pt idx="350">
                  <c:v>0.74604000000000004</c:v>
                </c:pt>
                <c:pt idx="351">
                  <c:v>0.74490000000000001</c:v>
                </c:pt>
                <c:pt idx="352">
                  <c:v>0.74392000000000003</c:v>
                </c:pt>
                <c:pt idx="353">
                  <c:v>0.74292000000000002</c:v>
                </c:pt>
                <c:pt idx="354">
                  <c:v>0.74180000000000001</c:v>
                </c:pt>
                <c:pt idx="355">
                  <c:v>0.74072000000000005</c:v>
                </c:pt>
                <c:pt idx="356">
                  <c:v>0.74</c:v>
                </c:pt>
                <c:pt idx="357">
                  <c:v>0.73902000000000001</c:v>
                </c:pt>
                <c:pt idx="358">
                  <c:v>0.73775999999999997</c:v>
                </c:pt>
                <c:pt idx="359">
                  <c:v>0.73670000000000002</c:v>
                </c:pt>
                <c:pt idx="360">
                  <c:v>0.73573999999999995</c:v>
                </c:pt>
                <c:pt idx="361">
                  <c:v>0.73514000000000002</c:v>
                </c:pt>
                <c:pt idx="362">
                  <c:v>0.73406000000000005</c:v>
                </c:pt>
                <c:pt idx="363">
                  <c:v>0.73306000000000004</c:v>
                </c:pt>
                <c:pt idx="364">
                  <c:v>0.73207999999999995</c:v>
                </c:pt>
                <c:pt idx="365">
                  <c:v>0.73102</c:v>
                </c:pt>
                <c:pt idx="366">
                  <c:v>0.73002</c:v>
                </c:pt>
                <c:pt idx="367">
                  <c:v>0.72911999999999999</c:v>
                </c:pt>
                <c:pt idx="368">
                  <c:v>0.72818000000000005</c:v>
                </c:pt>
                <c:pt idx="369">
                  <c:v>0.72724</c:v>
                </c:pt>
                <c:pt idx="370">
                  <c:v>0.72621999999999998</c:v>
                </c:pt>
                <c:pt idx="371">
                  <c:v>0.72538000000000002</c:v>
                </c:pt>
                <c:pt idx="372">
                  <c:v>0.72445999999999999</c:v>
                </c:pt>
                <c:pt idx="373">
                  <c:v>0.72331999999999996</c:v>
                </c:pt>
                <c:pt idx="374">
                  <c:v>0.72230000000000005</c:v>
                </c:pt>
                <c:pt idx="375">
                  <c:v>0.72143999999999997</c:v>
                </c:pt>
                <c:pt idx="376">
                  <c:v>0.72052000000000005</c:v>
                </c:pt>
                <c:pt idx="377">
                  <c:v>0.71960000000000002</c:v>
                </c:pt>
                <c:pt idx="378">
                  <c:v>0.71850000000000003</c:v>
                </c:pt>
                <c:pt idx="379">
                  <c:v>0.71752000000000005</c:v>
                </c:pt>
                <c:pt idx="380">
                  <c:v>0.71675999999999995</c:v>
                </c:pt>
                <c:pt idx="381">
                  <c:v>0.71557999999999999</c:v>
                </c:pt>
                <c:pt idx="382">
                  <c:v>0.71499999999999997</c:v>
                </c:pt>
                <c:pt idx="383">
                  <c:v>0.71374000000000004</c:v>
                </c:pt>
                <c:pt idx="384">
                  <c:v>0.71289999999999998</c:v>
                </c:pt>
                <c:pt idx="385">
                  <c:v>0.71197999999999995</c:v>
                </c:pt>
                <c:pt idx="386">
                  <c:v>0.71096000000000004</c:v>
                </c:pt>
                <c:pt idx="387">
                  <c:v>0.70989999999999998</c:v>
                </c:pt>
                <c:pt idx="388">
                  <c:v>0.70909999999999995</c:v>
                </c:pt>
                <c:pt idx="389">
                  <c:v>0.70831999999999995</c:v>
                </c:pt>
                <c:pt idx="390">
                  <c:v>0.70723999999999998</c:v>
                </c:pt>
                <c:pt idx="391">
                  <c:v>0.70623999999999998</c:v>
                </c:pt>
                <c:pt idx="392">
                  <c:v>0.70531999999999995</c:v>
                </c:pt>
                <c:pt idx="393">
                  <c:v>0.70443999999999996</c:v>
                </c:pt>
                <c:pt idx="394">
                  <c:v>0.70343999999999995</c:v>
                </c:pt>
                <c:pt idx="395">
                  <c:v>0.70247999999999999</c:v>
                </c:pt>
                <c:pt idx="396">
                  <c:v>0.7016</c:v>
                </c:pt>
                <c:pt idx="397">
                  <c:v>0.70065999999999995</c:v>
                </c:pt>
                <c:pt idx="398">
                  <c:v>0.69991999999999999</c:v>
                </c:pt>
                <c:pt idx="399">
                  <c:v>0.69891999999999999</c:v>
                </c:pt>
                <c:pt idx="400">
                  <c:v>0.69796000000000002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4D8-4C85-A572-B620E0346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10984"/>
        <c:axId val="421812624"/>
      </c:scatterChart>
      <c:valAx>
        <c:axId val="421810984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2624"/>
        <c:crosses val="autoZero"/>
        <c:crossBetween val="midCat"/>
      </c:valAx>
      <c:valAx>
        <c:axId val="4218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810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Pigments content final OD</a:t>
            </a:r>
            <a:r>
              <a:rPr lang="en-US" baseline="0"/>
              <a:t> Jan-23</a:t>
            </a:r>
          </a:p>
        </c:rich>
      </c:tx>
      <c:layout>
        <c:manualLayout>
          <c:xMode val="edge"/>
          <c:yMode val="edge"/>
          <c:x val="0.33630672484581009"/>
          <c:y val="8.487614711503530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91133436837818E-2"/>
          <c:y val="0.12884644118525976"/>
          <c:w val="0.8105898095966344"/>
          <c:h val="0.775382968082208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'Pig Cal '!$E$38</c:f>
              <c:strCache>
                <c:ptCount val="1"/>
                <c:pt idx="0">
                  <c:v>Chl a/biomass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('Pig Cal '!$L$45,'Pig Cal '!$L$49,'Pig Cal '!$L$53,'Pig Cal '!$L$57)</c:f>
                <c:numCache>
                  <c:formatCode>General</c:formatCode>
                  <c:ptCount val="4"/>
                  <c:pt idx="0">
                    <c:v>7.6924936629801044E-2</c:v>
                  </c:pt>
                  <c:pt idx="1">
                    <c:v>1.3182246717806767E-2</c:v>
                  </c:pt>
                  <c:pt idx="2">
                    <c:v>6.1320696388469931E-3</c:v>
                  </c:pt>
                  <c:pt idx="3">
                    <c:v>2.763851864503869E-3</c:v>
                  </c:pt>
                </c:numCache>
              </c:numRef>
            </c:plus>
            <c:minus>
              <c:numRef>
                <c:f>('Pig Cal '!$M$45,'Pig Cal '!$M$49,'Pig Cal '!$M$53,'Pig Cal '!$M$57)</c:f>
                <c:numCache>
                  <c:formatCode>General</c:formatCode>
                  <c:ptCount val="4"/>
                  <c:pt idx="0">
                    <c:v>8.9893503374695496E-2</c:v>
                  </c:pt>
                  <c:pt idx="1">
                    <c:v>3.1865044089472501E-2</c:v>
                  </c:pt>
                  <c:pt idx="2">
                    <c:v>5.6653470801027702E-3</c:v>
                  </c:pt>
                  <c:pt idx="3">
                    <c:v>5.1094283516805398E-3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'Pig Cal '!$A$39:$A$42</c:f>
              <c:strCache>
                <c:ptCount val="4"/>
                <c:pt idx="0">
                  <c:v>Air (s1-s4)</c:v>
                </c:pt>
                <c:pt idx="1">
                  <c:v>4%CO2 (s5-s8)</c:v>
                </c:pt>
                <c:pt idx="2">
                  <c:v>8%CO2 (s9-s12)</c:v>
                </c:pt>
                <c:pt idx="3">
                  <c:v>30%CO2 (s13-s16)</c:v>
                </c:pt>
              </c:strCache>
            </c:strRef>
          </c:cat>
          <c:val>
            <c:numRef>
              <c:f>'Pig Cal '!$E$39:$E$42</c:f>
              <c:numCache>
                <c:formatCode>0.00</c:formatCode>
                <c:ptCount val="4"/>
                <c:pt idx="0">
                  <c:v>0.45917252221425087</c:v>
                </c:pt>
                <c:pt idx="1">
                  <c:v>0.19876623544805877</c:v>
                </c:pt>
                <c:pt idx="2">
                  <c:v>0.19417528544361129</c:v>
                </c:pt>
                <c:pt idx="3">
                  <c:v>0.11761714746786327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D3-4420-BDE2-B228A4A3A23E}"/>
            </c:ext>
          </c:extLst>
        </c:ser>
        <c:ser>
          <c:idx val="1"/>
          <c:order val="1"/>
          <c:tx>
            <c:strRef>
              <c:f>'Pig Cal '!$F$38</c:f>
              <c:strCache>
                <c:ptCount val="1"/>
                <c:pt idx="0">
                  <c:v>PC/biomass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('Pig Cal '!$N$45,'Pig Cal '!$N$49,'Pig Cal '!$N$53,'Pig Cal '!$N$57)</c:f>
                <c:numCache>
                  <c:formatCode>General</c:formatCode>
                  <c:ptCount val="4"/>
                  <c:pt idx="0">
                    <c:v>5.9859639518669239E-2</c:v>
                  </c:pt>
                  <c:pt idx="1">
                    <c:v>1.6904266352679262E-2</c:v>
                  </c:pt>
                  <c:pt idx="2">
                    <c:v>6.7468800481931546E-3</c:v>
                  </c:pt>
                  <c:pt idx="3">
                    <c:v>3.4617420777346003E-3</c:v>
                  </c:pt>
                </c:numCache>
              </c:numRef>
            </c:plus>
            <c:minus>
              <c:numRef>
                <c:f>('Pig Cal '!$O$45,'Pig Cal '!$O$49,'Pig Cal '!$O$53,'Pig Cal '!$O$57)</c:f>
                <c:numCache>
                  <c:formatCode>General</c:formatCode>
                  <c:ptCount val="4"/>
                  <c:pt idx="0">
                    <c:v>6.7112963322391098E-2</c:v>
                  </c:pt>
                  <c:pt idx="1">
                    <c:v>2.8181794319825201E-2</c:v>
                  </c:pt>
                  <c:pt idx="2">
                    <c:v>6.6602941093801497E-3</c:v>
                  </c:pt>
                  <c:pt idx="3">
                    <c:v>5.6888406667887602E-3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'Pig Cal '!$A$39:$A$42</c:f>
              <c:strCache>
                <c:ptCount val="4"/>
                <c:pt idx="0">
                  <c:v>Air (s1-s4)</c:v>
                </c:pt>
                <c:pt idx="1">
                  <c:v>4%CO2 (s5-s8)</c:v>
                </c:pt>
                <c:pt idx="2">
                  <c:v>8%CO2 (s9-s12)</c:v>
                </c:pt>
                <c:pt idx="3">
                  <c:v>30%CO2 (s13-s16)</c:v>
                </c:pt>
              </c:strCache>
            </c:strRef>
          </c:cat>
          <c:val>
            <c:numRef>
              <c:f>'Pig Cal '!$F$39:$F$42</c:f>
              <c:numCache>
                <c:formatCode>0.00</c:formatCode>
                <c:ptCount val="4"/>
                <c:pt idx="0">
                  <c:v>0.34954832064311636</c:v>
                </c:pt>
                <c:pt idx="1">
                  <c:v>0.13840759647576062</c:v>
                </c:pt>
                <c:pt idx="2">
                  <c:v>0.14033578944623085</c:v>
                </c:pt>
                <c:pt idx="3">
                  <c:v>0.12204535658639107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D3-4420-BDE2-B228A4A3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184096"/>
        <c:axId val="453182784"/>
      </c:barChart>
      <c:valAx>
        <c:axId val="45318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Pigment content</a:t>
                </a:r>
                <a:r>
                  <a:rPr lang="en-US" baseline="0"/>
                  <a:t> per biomass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4096"/>
        <c:crosses val="autoZero"/>
        <c:crossBetween val="between"/>
        <c:majorUnit val="2.0000000000000004E-2"/>
      </c:valAx>
      <c:catAx>
        <c:axId val="4531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2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22663181647761"/>
          <c:y val="1.141989609786293E-2"/>
          <c:w val="0.13181069736994111"/>
          <c:h val="0.10639021909343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169417</xdr:colOff>
      <xdr:row>23</xdr:row>
      <xdr:rowOff>176295</xdr:rowOff>
    </xdr:from>
    <xdr:to>
      <xdr:col>11</xdr:col>
      <xdr:colOff>414130</xdr:colOff>
      <xdr:row>36</xdr:row>
      <xdr:rowOff>62120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310597</xdr:colOff>
      <xdr:row>29</xdr:row>
      <xdr:rowOff>41413</xdr:rowOff>
    </xdr:from>
    <xdr:to>
      <xdr:col>19</xdr:col>
      <xdr:colOff>504755</xdr:colOff>
      <xdr:row>42</xdr:row>
      <xdr:rowOff>181788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173181</xdr:colOff>
      <xdr:row>39</xdr:row>
      <xdr:rowOff>185551</xdr:rowOff>
    </xdr:from>
    <xdr:to>
      <xdr:col>11</xdr:col>
      <xdr:colOff>538369</xdr:colOff>
      <xdr:row>51</xdr:row>
      <xdr:rowOff>82826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271873</xdr:colOff>
      <xdr:row>47</xdr:row>
      <xdr:rowOff>164845</xdr:rowOff>
    </xdr:from>
    <xdr:to>
      <xdr:col>19</xdr:col>
      <xdr:colOff>355989</xdr:colOff>
      <xdr:row>60</xdr:row>
      <xdr:rowOff>27288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12057</xdr:rowOff>
    </xdr:from>
    <xdr:to>
      <xdr:col>7</xdr:col>
      <xdr:colOff>548672</xdr:colOff>
      <xdr:row>15</xdr:row>
      <xdr:rowOff>151757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554619</xdr:colOff>
      <xdr:row>0</xdr:row>
      <xdr:rowOff>12056</xdr:rowOff>
    </xdr:from>
    <xdr:to>
      <xdr:col>16</xdr:col>
      <xdr:colOff>144683</xdr:colOff>
      <xdr:row>15</xdr:row>
      <xdr:rowOff>144683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294409</xdr:colOff>
      <xdr:row>16</xdr:row>
      <xdr:rowOff>17317</xdr:rowOff>
    </xdr:from>
    <xdr:to>
      <xdr:col>11</xdr:col>
      <xdr:colOff>415636</xdr:colOff>
      <xdr:row>31</xdr:row>
      <xdr:rowOff>138544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424484</xdr:colOff>
      <xdr:row>16</xdr:row>
      <xdr:rowOff>20707</xdr:rowOff>
    </xdr:from>
    <xdr:to>
      <xdr:col>19</xdr:col>
      <xdr:colOff>186359</xdr:colOff>
      <xdr:row>31</xdr:row>
      <xdr:rowOff>82826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371476</xdr:colOff>
      <xdr:row>2</xdr:row>
      <xdr:rowOff>162414</xdr:rowOff>
    </xdr:from>
    <xdr:to>
      <xdr:col>44</xdr:col>
      <xdr:colOff>65699</xdr:colOff>
      <xdr:row>17</xdr:row>
      <xdr:rowOff>149714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344206</xdr:colOff>
      <xdr:row>18</xdr:row>
      <xdr:rowOff>77150</xdr:rowOff>
    </xdr:from>
    <xdr:to>
      <xdr:col>46</xdr:col>
      <xdr:colOff>29673</xdr:colOff>
      <xdr:row>36</xdr:row>
      <xdr:rowOff>53411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170778</xdr:colOff>
      <xdr:row>18</xdr:row>
      <xdr:rowOff>49480</xdr:rowOff>
    </xdr:from>
    <xdr:to>
      <xdr:col>17</xdr:col>
      <xdr:colOff>420352</xdr:colOff>
      <xdr:row>39</xdr:row>
      <xdr:rowOff>134154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80" workbookViewId="0">
      <selection activeCell="J27" sqref="J27"/>
    </sheetView>
  </sheetViews>
  <sheetFormatPr defaultColWidth="8.7265625" defaultRowHeight="14.5" x14ac:dyDescent="0.35"/>
  <cols>
    <col min="1" max="1" width="9.26953125" style="48" bestFit="1" customWidth="1"/>
    <col min="2" max="2" width="5.453125" style="9" bestFit="1" customWidth="1"/>
    <col min="3" max="3" width="11.36328125" style="9" customWidth="1"/>
    <col min="4" max="4" width="6.54296875" style="9" customWidth="1"/>
    <col min="5" max="5" width="12.81640625" style="9" bestFit="1" customWidth="1"/>
    <col min="6" max="6" width="10.7265625" style="9" bestFit="1" customWidth="1"/>
    <col min="7" max="7" width="10.81640625" style="9" bestFit="1" customWidth="1"/>
    <col min="8" max="8" width="16.7265625" style="9" bestFit="1" customWidth="1"/>
    <col min="9" max="9" width="11.7265625" style="9" bestFit="1" customWidth="1"/>
    <col min="10" max="10" width="9.453125" style="9" bestFit="1" customWidth="1"/>
    <col min="11" max="11" width="11.7265625" style="9" bestFit="1" customWidth="1"/>
    <col min="12" max="12" width="5.54296875" style="9" customWidth="1"/>
    <col min="13" max="13" width="12.81640625" style="9" bestFit="1" customWidth="1"/>
    <col min="14" max="14" width="10.7265625" style="9" bestFit="1" customWidth="1"/>
    <col min="15" max="15" width="11.1796875" style="9" bestFit="1" customWidth="1"/>
    <col min="16" max="16" width="15.453125" style="9" bestFit="1" customWidth="1"/>
    <col min="17" max="17" width="14.1796875" style="9" bestFit="1" customWidth="1"/>
    <col min="18" max="18" width="15.26953125" style="9" bestFit="1" customWidth="1"/>
    <col min="19" max="19" width="16.26953125" style="9" bestFit="1" customWidth="1"/>
    <col min="20" max="16384" width="8.7265625" style="9"/>
  </cols>
  <sheetData>
    <row r="1" spans="1:20" s="29" customFormat="1" ht="17" thickBot="1" x14ac:dyDescent="0.4">
      <c r="A1" s="26" t="s">
        <v>12</v>
      </c>
      <c r="B1" s="27" t="s">
        <v>29</v>
      </c>
      <c r="C1" s="28" t="s">
        <v>62</v>
      </c>
      <c r="D1" s="28" t="s">
        <v>31</v>
      </c>
      <c r="E1" s="27" t="s">
        <v>19</v>
      </c>
      <c r="F1" s="27" t="s">
        <v>20</v>
      </c>
      <c r="G1" s="27" t="s">
        <v>32</v>
      </c>
      <c r="H1" s="27" t="s">
        <v>33</v>
      </c>
      <c r="I1" s="203" t="s">
        <v>34</v>
      </c>
      <c r="T1" s="30"/>
    </row>
    <row r="2" spans="1:20" x14ac:dyDescent="0.35">
      <c r="A2" s="31" t="s">
        <v>35</v>
      </c>
      <c r="B2" s="32">
        <v>0.04</v>
      </c>
      <c r="C2" s="33">
        <v>0.76049999999999995</v>
      </c>
      <c r="D2" s="34">
        <v>7.6180000000000003</v>
      </c>
      <c r="E2" s="35">
        <v>0.39393163689932009</v>
      </c>
      <c r="F2" s="35">
        <v>0.30368442506206117</v>
      </c>
      <c r="G2" s="32">
        <v>6.08E-2</v>
      </c>
      <c r="H2" s="35">
        <v>11.400447048683311</v>
      </c>
      <c r="I2" s="89">
        <v>1032</v>
      </c>
      <c r="J2" s="36"/>
      <c r="T2" s="37"/>
    </row>
    <row r="3" spans="1:20" x14ac:dyDescent="0.35">
      <c r="A3" s="38" t="s">
        <v>36</v>
      </c>
      <c r="B3" s="39">
        <v>0.04</v>
      </c>
      <c r="C3" s="40">
        <v>0.53708</v>
      </c>
      <c r="D3" s="41">
        <v>7.5709999999999997</v>
      </c>
      <c r="E3" s="21">
        <v>0.54906602558894635</v>
      </c>
      <c r="F3" s="21">
        <v>0.4166612839655075</v>
      </c>
      <c r="G3" s="39">
        <v>5.5800000000000002E-2</v>
      </c>
      <c r="H3" s="21">
        <v>12.42199248315314</v>
      </c>
      <c r="I3" s="90">
        <v>1120</v>
      </c>
      <c r="J3" s="36"/>
      <c r="T3" s="37"/>
    </row>
    <row r="4" spans="1:20" x14ac:dyDescent="0.35">
      <c r="A4" s="38" t="s">
        <v>37</v>
      </c>
      <c r="B4" s="39">
        <v>0.04</v>
      </c>
      <c r="C4" s="40">
        <v>0.82323999999999997</v>
      </c>
      <c r="D4" s="41">
        <v>7.64</v>
      </c>
      <c r="E4" s="21">
        <v>0.38224758558444982</v>
      </c>
      <c r="F4" s="21">
        <v>0.28968868112444712</v>
      </c>
      <c r="G4" s="39">
        <v>6.5500000000000003E-2</v>
      </c>
      <c r="H4" s="21">
        <v>10.582399703205271</v>
      </c>
      <c r="I4" s="90">
        <v>1544</v>
      </c>
      <c r="J4" s="36"/>
      <c r="T4" s="37"/>
    </row>
    <row r="5" spans="1:20" ht="15" thickBot="1" x14ac:dyDescent="0.4">
      <c r="A5" s="42" t="s">
        <v>38</v>
      </c>
      <c r="B5" s="43">
        <v>0.04</v>
      </c>
      <c r="C5" s="44">
        <v>0.62128000000000005</v>
      </c>
      <c r="D5" s="45">
        <v>7.5880000000000001</v>
      </c>
      <c r="E5" s="23">
        <v>0.51144484078428709</v>
      </c>
      <c r="F5" s="23">
        <v>0.38815889242044987</v>
      </c>
      <c r="G5" s="43">
        <v>5.91E-2</v>
      </c>
      <c r="H5" s="23">
        <v>11.728378689677585</v>
      </c>
      <c r="I5" s="91">
        <v>1248</v>
      </c>
      <c r="J5" s="36"/>
      <c r="K5" s="86"/>
      <c r="L5" s="86"/>
      <c r="M5" s="17"/>
      <c r="T5" s="37"/>
    </row>
    <row r="6" spans="1:20" x14ac:dyDescent="0.35">
      <c r="A6" s="107" t="s">
        <v>39</v>
      </c>
      <c r="B6" s="108">
        <v>4</v>
      </c>
      <c r="C6" s="109">
        <v>0.84708000000000006</v>
      </c>
      <c r="D6" s="199">
        <v>7.44</v>
      </c>
      <c r="E6" s="110">
        <v>0.19198920057429891</v>
      </c>
      <c r="F6" s="110">
        <v>0.13487386000356791</v>
      </c>
      <c r="G6" s="108">
        <v>0.1133</v>
      </c>
      <c r="H6" s="110">
        <v>6.1178038884372929</v>
      </c>
      <c r="I6" s="111">
        <v>9240</v>
      </c>
      <c r="J6" s="36"/>
      <c r="K6"/>
      <c r="L6" s="86"/>
      <c r="M6" s="17"/>
      <c r="T6" s="37"/>
    </row>
    <row r="7" spans="1:20" x14ac:dyDescent="0.35">
      <c r="A7" s="46" t="s">
        <v>40</v>
      </c>
      <c r="B7" s="39">
        <v>4</v>
      </c>
      <c r="C7" s="47">
        <v>0.80257999999999996</v>
      </c>
      <c r="D7" s="200">
        <v>7.43</v>
      </c>
      <c r="E7" s="21">
        <v>0.23063127953753124</v>
      </c>
      <c r="F7" s="21">
        <v>0.1665893907955858</v>
      </c>
      <c r="G7" s="39">
        <v>0.11169999999999999</v>
      </c>
      <c r="H7" s="21">
        <v>6.2054358152188485</v>
      </c>
      <c r="I7" s="90">
        <v>5400</v>
      </c>
      <c r="J7" s="36"/>
      <c r="K7"/>
      <c r="L7" s="86"/>
      <c r="M7" s="17"/>
      <c r="T7" s="37"/>
    </row>
    <row r="8" spans="1:20" x14ac:dyDescent="0.35">
      <c r="A8" s="46" t="s">
        <v>41</v>
      </c>
      <c r="B8" s="39">
        <v>4</v>
      </c>
      <c r="C8" s="47">
        <v>0.87326000000000004</v>
      </c>
      <c r="D8" s="200">
        <v>7.423</v>
      </c>
      <c r="E8" s="21">
        <v>0.185583988730252</v>
      </c>
      <c r="F8" s="21">
        <v>0.1306638049808074</v>
      </c>
      <c r="G8" s="39">
        <v>0.1145</v>
      </c>
      <c r="H8" s="21">
        <v>6.0536871664624039</v>
      </c>
      <c r="I8" s="90">
        <v>8560</v>
      </c>
      <c r="J8" s="36"/>
      <c r="K8"/>
      <c r="L8" s="86"/>
      <c r="M8" s="17"/>
      <c r="T8" s="37"/>
    </row>
    <row r="9" spans="1:20" ht="15" thickBot="1" x14ac:dyDescent="0.4">
      <c r="A9" s="92" t="s">
        <v>42</v>
      </c>
      <c r="B9" s="87">
        <v>4</v>
      </c>
      <c r="C9" s="93">
        <v>0.77673999999999999</v>
      </c>
      <c r="D9" s="201">
        <v>7.444</v>
      </c>
      <c r="E9" s="88">
        <v>0.1868604729501529</v>
      </c>
      <c r="F9" s="88">
        <v>0.12150333012308136</v>
      </c>
      <c r="G9" s="87">
        <v>0.10970000000000001</v>
      </c>
      <c r="H9" s="88">
        <v>6.3185704700086163</v>
      </c>
      <c r="I9" s="94">
        <v>4440</v>
      </c>
      <c r="J9" s="36"/>
      <c r="K9"/>
      <c r="L9" s="86"/>
      <c r="M9" s="17"/>
      <c r="T9" s="37"/>
    </row>
    <row r="10" spans="1:20" x14ac:dyDescent="0.35">
      <c r="A10" s="96" t="s">
        <v>53</v>
      </c>
      <c r="B10" s="97">
        <v>8</v>
      </c>
      <c r="C10" s="97">
        <v>0.88568000000000002</v>
      </c>
      <c r="D10" s="202">
        <v>7.6970000000000001</v>
      </c>
      <c r="E10" s="170">
        <v>0.19984063252371406</v>
      </c>
      <c r="F10" s="170">
        <v>0.146996083555611</v>
      </c>
      <c r="G10" s="97">
        <v>0.1108</v>
      </c>
      <c r="H10" s="170">
        <v>6.2558409797829002</v>
      </c>
      <c r="I10" s="98">
        <v>5160</v>
      </c>
      <c r="J10" s="17"/>
      <c r="K10" s="86"/>
      <c r="L10" s="86"/>
      <c r="M10" s="17"/>
    </row>
    <row r="11" spans="1:20" x14ac:dyDescent="0.35">
      <c r="A11" s="99" t="s">
        <v>54</v>
      </c>
      <c r="B11" s="95">
        <v>8</v>
      </c>
      <c r="C11" s="95">
        <v>0.87882000000000005</v>
      </c>
      <c r="D11" s="200">
        <v>7.7210000000000001</v>
      </c>
      <c r="E11" s="171">
        <v>0.1880432158047643</v>
      </c>
      <c r="F11" s="171">
        <v>0.13358890939803769</v>
      </c>
      <c r="G11" s="95">
        <v>0.10970000000000001</v>
      </c>
      <c r="H11" s="171">
        <v>6.3185704700086163</v>
      </c>
      <c r="I11" s="100">
        <v>10320</v>
      </c>
      <c r="J11" s="17"/>
      <c r="K11" s="86"/>
      <c r="L11" s="86"/>
      <c r="M11" s="17"/>
    </row>
    <row r="12" spans="1:20" x14ac:dyDescent="0.35">
      <c r="A12" s="99" t="s">
        <v>55</v>
      </c>
      <c r="B12" s="95">
        <v>8</v>
      </c>
      <c r="C12" s="95">
        <v>0.89370000000000005</v>
      </c>
      <c r="D12" s="200">
        <v>7.7560000000000002</v>
      </c>
      <c r="E12" s="171">
        <v>0.19495988536066669</v>
      </c>
      <c r="F12" s="171">
        <v>0.13871797045520301</v>
      </c>
      <c r="G12" s="95">
        <v>0.1103</v>
      </c>
      <c r="H12" s="171">
        <v>6.2841992797819159</v>
      </c>
      <c r="I12" s="100">
        <v>8040</v>
      </c>
      <c r="J12" s="17"/>
      <c r="K12" s="86"/>
      <c r="L12"/>
      <c r="M12" s="17"/>
    </row>
    <row r="13" spans="1:20" ht="15" thickBot="1" x14ac:dyDescent="0.4">
      <c r="A13" s="102" t="s">
        <v>56</v>
      </c>
      <c r="B13" s="103">
        <v>8</v>
      </c>
      <c r="C13" s="103">
        <v>0.91544000000000003</v>
      </c>
      <c r="D13" s="201">
        <v>7.7160000000000002</v>
      </c>
      <c r="E13" s="172">
        <v>0.19385740808530011</v>
      </c>
      <c r="F13" s="172">
        <v>0.14204019437607171</v>
      </c>
      <c r="G13" s="103">
        <v>0.11119999999999999</v>
      </c>
      <c r="H13" s="172">
        <v>6.2333379546757675</v>
      </c>
      <c r="I13" s="104">
        <v>6520</v>
      </c>
      <c r="K13" s="86"/>
      <c r="L13"/>
      <c r="M13" s="17"/>
    </row>
    <row r="14" spans="1:20" x14ac:dyDescent="0.35">
      <c r="A14" s="105" t="s">
        <v>57</v>
      </c>
      <c r="B14" s="97">
        <v>30</v>
      </c>
      <c r="C14" s="97">
        <v>0.76792000000000005</v>
      </c>
      <c r="D14" s="170">
        <v>7.681</v>
      </c>
      <c r="E14" s="170">
        <v>0.12272657581954381</v>
      </c>
      <c r="F14" s="170">
        <v>0.12773419725317983</v>
      </c>
      <c r="G14" s="97">
        <v>3.5799999999999998E-2</v>
      </c>
      <c r="H14" s="170">
        <v>19.361653088266628</v>
      </c>
      <c r="I14" s="98">
        <v>2680</v>
      </c>
      <c r="L14"/>
    </row>
    <row r="15" spans="1:20" x14ac:dyDescent="0.35">
      <c r="A15" s="106" t="s">
        <v>58</v>
      </c>
      <c r="B15" s="95">
        <v>30</v>
      </c>
      <c r="C15" s="95">
        <v>0.73675999999999997</v>
      </c>
      <c r="D15" s="171">
        <v>7.6989999999999998</v>
      </c>
      <c r="E15" s="171">
        <v>0.11468062944289439</v>
      </c>
      <c r="F15" s="171">
        <v>0.11858361450865647</v>
      </c>
      <c r="G15" s="95">
        <v>3.6600000000000001E-2</v>
      </c>
      <c r="H15" s="171">
        <v>18.938447556282657</v>
      </c>
      <c r="I15" s="100">
        <v>3180</v>
      </c>
      <c r="L15"/>
    </row>
    <row r="16" spans="1:20" x14ac:dyDescent="0.35">
      <c r="A16" s="106" t="s">
        <v>59</v>
      </c>
      <c r="B16" s="95">
        <v>30</v>
      </c>
      <c r="C16" s="95">
        <v>0.71767999999999998</v>
      </c>
      <c r="D16" s="171">
        <v>7.7220000000000004</v>
      </c>
      <c r="E16" s="171">
        <v>0.11820808900565549</v>
      </c>
      <c r="F16" s="171">
        <v>0.12269917629653744</v>
      </c>
      <c r="G16" s="95">
        <v>3.6299999999999999E-2</v>
      </c>
      <c r="H16" s="171">
        <v>19.094963651789126</v>
      </c>
      <c r="I16" s="100">
        <v>4360</v>
      </c>
    </row>
    <row r="17" spans="1:11" ht="15" thickBot="1" x14ac:dyDescent="0.4">
      <c r="A17" s="85" t="s">
        <v>60</v>
      </c>
      <c r="B17" s="60">
        <v>30</v>
      </c>
      <c r="C17" s="60">
        <v>0.79056000000000004</v>
      </c>
      <c r="D17" s="173">
        <v>7.7679999999999998</v>
      </c>
      <c r="E17" s="173">
        <v>0.1148532956033594</v>
      </c>
      <c r="F17" s="173">
        <v>0.11916443828719056</v>
      </c>
      <c r="G17" s="60">
        <v>3.7499999999999999E-2</v>
      </c>
      <c r="H17" s="173">
        <v>18.483924814931875</v>
      </c>
      <c r="I17" s="101">
        <v>4280</v>
      </c>
    </row>
    <row r="18" spans="1:11" ht="15" thickBot="1" x14ac:dyDescent="0.4">
      <c r="A18" s="61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17" thickBot="1" x14ac:dyDescent="0.4">
      <c r="A19" s="218" t="s">
        <v>43</v>
      </c>
      <c r="B19" s="217" t="s">
        <v>29</v>
      </c>
      <c r="C19" s="217" t="s">
        <v>30</v>
      </c>
      <c r="D19" s="217" t="s">
        <v>31</v>
      </c>
      <c r="E19" s="217" t="s">
        <v>19</v>
      </c>
      <c r="F19" s="217" t="s">
        <v>20</v>
      </c>
      <c r="G19" s="217" t="s">
        <v>32</v>
      </c>
      <c r="H19" s="217" t="s">
        <v>33</v>
      </c>
      <c r="I19" s="219" t="s">
        <v>34</v>
      </c>
      <c r="J19" s="17"/>
      <c r="K19" s="17"/>
    </row>
    <row r="20" spans="1:11" x14ac:dyDescent="0.35">
      <c r="A20" s="49" t="s">
        <v>44</v>
      </c>
      <c r="B20" s="50">
        <v>0.04</v>
      </c>
      <c r="C20" s="52">
        <f>SUM(C2:C5)/4</f>
        <v>0.68552500000000005</v>
      </c>
      <c r="D20" s="52">
        <f t="shared" ref="D20:I20" si="0">SUM(D2:D5)/4</f>
        <v>7.6042500000000004</v>
      </c>
      <c r="E20" s="52">
        <f t="shared" si="0"/>
        <v>0.45917252221425087</v>
      </c>
      <c r="F20" s="52">
        <f t="shared" si="0"/>
        <v>0.34954832064311636</v>
      </c>
      <c r="G20" s="51">
        <f t="shared" si="0"/>
        <v>6.0300000000000006E-2</v>
      </c>
      <c r="H20" s="211">
        <f t="shared" si="0"/>
        <v>11.533304481179826</v>
      </c>
      <c r="I20" s="214">
        <f t="shared" si="0"/>
        <v>1236</v>
      </c>
      <c r="J20" s="17"/>
      <c r="K20" s="17"/>
    </row>
    <row r="21" spans="1:11" ht="15" thickBot="1" x14ac:dyDescent="0.4">
      <c r="A21" s="53" t="s">
        <v>45</v>
      </c>
      <c r="B21" s="54">
        <v>0.04</v>
      </c>
      <c r="C21" s="210">
        <f>_xlfn.STDEV.S(C2:C5)</f>
        <v>0.13006409945356401</v>
      </c>
      <c r="D21" s="210">
        <f t="shared" ref="D21:I21" si="1">_xlfn.STDEV.S(D2:D5)</f>
        <v>3.0750338751521646E-2</v>
      </c>
      <c r="E21" s="210">
        <f t="shared" si="1"/>
        <v>8.3640214071618341E-2</v>
      </c>
      <c r="F21" s="210">
        <f t="shared" si="1"/>
        <v>6.2400853252874436E-2</v>
      </c>
      <c r="G21" s="55">
        <f t="shared" si="1"/>
        <v>4.0406270140495113E-3</v>
      </c>
      <c r="H21" s="212">
        <f t="shared" si="1"/>
        <v>0.76369525026168061</v>
      </c>
      <c r="I21" s="215">
        <f t="shared" si="1"/>
        <v>223.66641828103445</v>
      </c>
      <c r="J21" s="17"/>
      <c r="K21" s="17"/>
    </row>
    <row r="22" spans="1:11" x14ac:dyDescent="0.35">
      <c r="A22" s="56" t="s">
        <v>44</v>
      </c>
      <c r="B22" s="57">
        <v>4</v>
      </c>
      <c r="C22" s="59">
        <f>SUM(C6:C9)/4</f>
        <v>0.82491500000000006</v>
      </c>
      <c r="D22" s="59">
        <f t="shared" ref="D22:I22" si="2">SUM(D6:D9)/4</f>
        <v>7.4342499999999996</v>
      </c>
      <c r="E22" s="59">
        <f t="shared" si="2"/>
        <v>0.19876623544805877</v>
      </c>
      <c r="F22" s="59">
        <f t="shared" si="2"/>
        <v>0.13840759647576062</v>
      </c>
      <c r="G22" s="58">
        <f t="shared" si="2"/>
        <v>0.1123</v>
      </c>
      <c r="H22" s="213">
        <f t="shared" si="2"/>
        <v>6.1738743350317904</v>
      </c>
      <c r="I22" s="216">
        <f t="shared" si="2"/>
        <v>6910</v>
      </c>
      <c r="J22" s="17"/>
      <c r="K22" s="17"/>
    </row>
    <row r="23" spans="1:11" ht="15" thickBot="1" x14ac:dyDescent="0.4">
      <c r="A23" s="53" t="s">
        <v>45</v>
      </c>
      <c r="B23" s="60">
        <v>4</v>
      </c>
      <c r="C23" s="210">
        <f>_xlfn.STDEV.S(C6:C9)</f>
        <v>4.3390510099175716E-2</v>
      </c>
      <c r="D23" s="210">
        <f t="shared" ref="D23:I23" si="3">_xlfn.STDEV.S(D6:D9)</f>
        <v>9.5350231602586225E-3</v>
      </c>
      <c r="E23" s="210">
        <f t="shared" si="3"/>
        <v>2.1422947553887559E-2</v>
      </c>
      <c r="F23" s="210">
        <f t="shared" si="3"/>
        <v>1.9599501287698343E-2</v>
      </c>
      <c r="G23" s="55">
        <f t="shared" si="3"/>
        <v>2.0784609690826521E-3</v>
      </c>
      <c r="H23" s="212">
        <f t="shared" si="3"/>
        <v>0.11477797259471927</v>
      </c>
      <c r="I23" s="215">
        <f t="shared" si="3"/>
        <v>2347.5093184053603</v>
      </c>
      <c r="J23" s="17"/>
      <c r="K23" s="17"/>
    </row>
    <row r="24" spans="1:11" x14ac:dyDescent="0.35">
      <c r="A24" s="49" t="s">
        <v>44</v>
      </c>
      <c r="B24" s="50">
        <v>8</v>
      </c>
      <c r="C24" s="52">
        <f>SUM(C10:C13)/4</f>
        <v>0.89341000000000004</v>
      </c>
      <c r="D24" s="52">
        <f t="shared" ref="D24:I24" si="4">SUM(D10:D13)/4</f>
        <v>7.7225000000000001</v>
      </c>
      <c r="E24" s="52">
        <f t="shared" si="4"/>
        <v>0.19417528544361129</v>
      </c>
      <c r="F24" s="52">
        <f t="shared" si="4"/>
        <v>0.14033578944623085</v>
      </c>
      <c r="G24" s="51">
        <f t="shared" si="4"/>
        <v>0.11049999999999999</v>
      </c>
      <c r="H24" s="211">
        <f t="shared" si="4"/>
        <v>6.2729871710623</v>
      </c>
      <c r="I24" s="214">
        <f t="shared" si="4"/>
        <v>7510</v>
      </c>
      <c r="J24" s="17"/>
      <c r="K24" s="17"/>
    </row>
    <row r="25" spans="1:11" ht="15" thickBot="1" x14ac:dyDescent="0.4">
      <c r="A25" s="53" t="s">
        <v>45</v>
      </c>
      <c r="B25" s="54">
        <v>8</v>
      </c>
      <c r="C25" s="210">
        <f>_xlfn.STDEV.S(C10:C13)</f>
        <v>1.5895764635063432E-2</v>
      </c>
      <c r="D25" s="210">
        <f t="shared" ref="D25:I25" si="5">_xlfn.STDEV.S(D10:D13)</f>
        <v>2.4610295948376357E-2</v>
      </c>
      <c r="E25" s="210">
        <f t="shared" si="5"/>
        <v>4.8447593211107453E-3</v>
      </c>
      <c r="F25" s="210">
        <f t="shared" si="5"/>
        <v>5.639215148131491E-3</v>
      </c>
      <c r="G25" s="55">
        <f t="shared" si="5"/>
        <v>6.4807406984078106E-4</v>
      </c>
      <c r="H25" s="212">
        <f t="shared" si="5"/>
        <v>3.6831149679881804E-2</v>
      </c>
      <c r="I25" s="215">
        <f t="shared" si="5"/>
        <v>2212.0578654275751</v>
      </c>
    </row>
    <row r="26" spans="1:11" x14ac:dyDescent="0.35">
      <c r="A26" s="56" t="s">
        <v>44</v>
      </c>
      <c r="B26" s="57">
        <v>30</v>
      </c>
      <c r="C26" s="59">
        <f>SUM(C14:C17)/4</f>
        <v>0.75323000000000007</v>
      </c>
      <c r="D26" s="59">
        <f t="shared" ref="D26:I26" si="6">SUM(D14:D17)/4</f>
        <v>7.7175000000000002</v>
      </c>
      <c r="E26" s="59">
        <f t="shared" si="6"/>
        <v>0.11761714746786327</v>
      </c>
      <c r="F26" s="59">
        <f t="shared" si="6"/>
        <v>0.12204535658639107</v>
      </c>
      <c r="G26" s="58">
        <f t="shared" si="6"/>
        <v>3.6549999999999999E-2</v>
      </c>
      <c r="H26" s="213">
        <f t="shared" si="6"/>
        <v>18.969747277817575</v>
      </c>
      <c r="I26" s="216">
        <f t="shared" si="6"/>
        <v>3625</v>
      </c>
    </row>
    <row r="27" spans="1:11" ht="15" thickBot="1" x14ac:dyDescent="0.4">
      <c r="A27" s="53" t="s">
        <v>45</v>
      </c>
      <c r="B27" s="60">
        <v>30</v>
      </c>
      <c r="C27" s="210">
        <f>_xlfn.STDEV.S(C14:C17)</f>
        <v>3.2374827670069058E-2</v>
      </c>
      <c r="D27" s="210">
        <f t="shared" ref="D27:I27" si="7">_xlfn.STDEV.S(D14:D17)</f>
        <v>3.7616485747607988E-2</v>
      </c>
      <c r="E27" s="210">
        <f t="shared" si="7"/>
        <v>3.7734813820455779E-3</v>
      </c>
      <c r="F27" s="210">
        <f t="shared" si="7"/>
        <v>4.2060962425552479E-3</v>
      </c>
      <c r="G27" s="55">
        <f t="shared" si="7"/>
        <v>7.1414284285428503E-4</v>
      </c>
      <c r="H27" s="212">
        <f t="shared" si="7"/>
        <v>0.36800020044686715</v>
      </c>
      <c r="I27" s="215">
        <f t="shared" si="7"/>
        <v>828.71386296276387</v>
      </c>
    </row>
    <row r="33" spans="1:10" x14ac:dyDescent="0.35">
      <c r="A33" s="62"/>
      <c r="B33" s="204"/>
      <c r="C33" s="205"/>
      <c r="D33" s="206"/>
      <c r="E33" s="206"/>
      <c r="F33" s="206"/>
      <c r="G33" s="206"/>
      <c r="H33" s="206"/>
      <c r="I33" s="207"/>
      <c r="J33" s="17"/>
    </row>
    <row r="34" spans="1:10" x14ac:dyDescent="0.35">
      <c r="A34" s="62"/>
      <c r="B34" s="208"/>
      <c r="C34" s="209"/>
      <c r="D34" s="209"/>
      <c r="E34" s="209"/>
      <c r="F34" s="209"/>
      <c r="G34" s="209"/>
      <c r="H34" s="209"/>
      <c r="I34" s="207"/>
      <c r="J34" s="17"/>
    </row>
    <row r="35" spans="1:10" x14ac:dyDescent="0.35">
      <c r="A35" s="62"/>
      <c r="B35" s="204"/>
      <c r="C35" s="205"/>
      <c r="D35" s="206"/>
      <c r="E35" s="206"/>
      <c r="F35" s="206"/>
      <c r="G35" s="206"/>
      <c r="H35" s="206"/>
      <c r="I35" s="207"/>
      <c r="J35" s="17"/>
    </row>
    <row r="36" spans="1:10" x14ac:dyDescent="0.35">
      <c r="A36" s="62"/>
      <c r="B36" s="17"/>
      <c r="C36" s="209"/>
      <c r="D36" s="209"/>
      <c r="E36" s="209"/>
      <c r="F36" s="209"/>
      <c r="G36" s="209"/>
      <c r="H36" s="209"/>
      <c r="I36" s="207"/>
      <c r="J36" s="17"/>
    </row>
    <row r="37" spans="1:10" x14ac:dyDescent="0.35">
      <c r="A37" s="61"/>
      <c r="B37" s="17"/>
      <c r="C37" s="17"/>
      <c r="D37" s="17"/>
      <c r="E37" s="17"/>
      <c r="F37" s="17"/>
      <c r="G37" s="17"/>
      <c r="H37" s="17"/>
      <c r="I37" s="17"/>
      <c r="J37" s="17"/>
    </row>
    <row r="38" spans="1:10" x14ac:dyDescent="0.35">
      <c r="A38" s="61"/>
      <c r="B38" s="17"/>
      <c r="C38" s="17"/>
      <c r="D38" s="17"/>
      <c r="E38" s="17"/>
      <c r="F38" s="17"/>
      <c r="G38" s="17"/>
      <c r="H38" s="17"/>
      <c r="I38" s="17"/>
      <c r="J38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0"/>
  <sheetViews>
    <sheetView zoomScale="70" zoomScaleNormal="70" workbookViewId="0">
      <selection activeCell="H17" sqref="H17"/>
    </sheetView>
  </sheetViews>
  <sheetFormatPr defaultRowHeight="14.5" x14ac:dyDescent="0.35"/>
  <cols>
    <col min="1" max="1" width="8" bestFit="1" customWidth="1"/>
    <col min="2" max="2" width="8.453125" bestFit="1" customWidth="1"/>
    <col min="4" max="4" width="9.453125" bestFit="1" customWidth="1"/>
    <col min="5" max="5" width="11.1796875" bestFit="1" customWidth="1"/>
  </cols>
  <sheetData>
    <row r="1" spans="1:47" x14ac:dyDescent="0.35">
      <c r="A1" s="123" t="s">
        <v>61</v>
      </c>
      <c r="B1" s="153" t="s">
        <v>22</v>
      </c>
      <c r="C1" s="121" t="s">
        <v>6</v>
      </c>
      <c r="D1" s="83" t="s">
        <v>7</v>
      </c>
      <c r="E1" s="84" t="s">
        <v>8</v>
      </c>
      <c r="F1" s="121" t="s">
        <v>1</v>
      </c>
      <c r="G1" s="112" t="s">
        <v>0</v>
      </c>
      <c r="H1" s="83" t="s">
        <v>23</v>
      </c>
      <c r="I1" s="84" t="s">
        <v>2</v>
      </c>
      <c r="J1" s="82" t="s">
        <v>50</v>
      </c>
      <c r="K1" s="83" t="s">
        <v>3</v>
      </c>
      <c r="L1" s="83" t="s">
        <v>4</v>
      </c>
      <c r="M1" s="137" t="s">
        <v>5</v>
      </c>
      <c r="N1" s="82" t="s">
        <v>51</v>
      </c>
      <c r="O1" s="83" t="s">
        <v>9</v>
      </c>
      <c r="P1" s="83" t="s">
        <v>10</v>
      </c>
      <c r="Q1" s="84" t="s">
        <v>11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s="117" customFormat="1" x14ac:dyDescent="0.35">
      <c r="A2" s="124">
        <v>0</v>
      </c>
      <c r="B2" s="154">
        <v>4.6190000000000002E-2</v>
      </c>
      <c r="C2" s="122">
        <v>4.6190000000000002E-2</v>
      </c>
      <c r="D2" s="119">
        <v>4.6190000000000002E-2</v>
      </c>
      <c r="E2" s="120">
        <v>4.6190000000000002E-2</v>
      </c>
      <c r="F2" s="122">
        <v>5.2810000000000003E-2</v>
      </c>
      <c r="G2" s="119">
        <v>5.2810000000000003E-2</v>
      </c>
      <c r="H2" s="119">
        <v>5.2810000000000003E-2</v>
      </c>
      <c r="I2" s="120">
        <v>5.2810000000000003E-2</v>
      </c>
      <c r="J2" s="118">
        <v>5.0770000000000003E-2</v>
      </c>
      <c r="K2" s="119">
        <v>5.0770000000000003E-2</v>
      </c>
      <c r="L2" s="119">
        <v>5.0770000000000003E-2</v>
      </c>
      <c r="M2" s="138">
        <v>5.0770000000000003E-2</v>
      </c>
      <c r="N2" s="118">
        <v>4.82E-2</v>
      </c>
      <c r="O2" s="119">
        <v>4.82E-2</v>
      </c>
      <c r="P2" s="119">
        <v>4.82E-2</v>
      </c>
      <c r="Q2" s="120">
        <v>4.82E-2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s="117" customFormat="1" x14ac:dyDescent="0.35">
      <c r="A3" s="124">
        <v>8.5</v>
      </c>
      <c r="B3" s="155"/>
      <c r="C3" s="125"/>
      <c r="D3" s="114"/>
      <c r="E3" s="115"/>
      <c r="F3" s="125"/>
      <c r="G3" s="114">
        <v>0.14660999999999999</v>
      </c>
      <c r="H3" s="114"/>
      <c r="I3" s="115"/>
      <c r="J3" s="113"/>
      <c r="K3" s="114"/>
      <c r="L3" s="114"/>
      <c r="M3" s="133"/>
      <c r="N3" s="116"/>
      <c r="O3" s="114"/>
      <c r="P3" s="114"/>
      <c r="Q3" s="115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s="117" customFormat="1" x14ac:dyDescent="0.35">
      <c r="A4" s="124">
        <v>19</v>
      </c>
      <c r="B4" s="156">
        <f>0.14867*2</f>
        <v>0.29733999999999999</v>
      </c>
      <c r="C4" s="125"/>
      <c r="D4" s="114"/>
      <c r="E4" s="115"/>
      <c r="F4" s="125"/>
      <c r="G4" s="119">
        <v>0.47226000000000001</v>
      </c>
      <c r="H4" s="114"/>
      <c r="I4" s="115"/>
      <c r="J4" s="118">
        <v>0.47464000000000001</v>
      </c>
      <c r="K4" s="114"/>
      <c r="L4" s="114"/>
      <c r="M4" s="133"/>
      <c r="N4" s="116"/>
      <c r="O4" s="114"/>
      <c r="P4" s="114"/>
      <c r="Q4" s="115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s="117" customFormat="1" x14ac:dyDescent="0.35">
      <c r="A5" s="124">
        <v>22.25</v>
      </c>
      <c r="B5" s="154"/>
      <c r="C5" s="125"/>
      <c r="D5" s="114"/>
      <c r="E5" s="115"/>
      <c r="F5" s="125"/>
      <c r="G5" s="119">
        <v>0.66847999999999996</v>
      </c>
      <c r="H5" s="114"/>
      <c r="I5" s="115"/>
      <c r="J5" s="116"/>
      <c r="K5" s="114"/>
      <c r="L5" s="114"/>
      <c r="M5" s="133"/>
      <c r="N5" s="116"/>
      <c r="O5" s="114"/>
      <c r="P5" s="114"/>
      <c r="Q5" s="11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7" s="117" customFormat="1" x14ac:dyDescent="0.35">
      <c r="A6" s="124">
        <v>24</v>
      </c>
      <c r="B6" s="156"/>
      <c r="C6" s="145"/>
      <c r="D6" s="114"/>
      <c r="E6" s="115"/>
      <c r="F6" s="125"/>
      <c r="G6" s="119">
        <v>0.78998000000000002</v>
      </c>
      <c r="H6" s="114"/>
      <c r="I6" s="115"/>
      <c r="J6" s="118">
        <v>0.73594000000000004</v>
      </c>
      <c r="K6" s="114"/>
      <c r="L6" s="114"/>
      <c r="M6" s="133"/>
      <c r="N6" s="126"/>
      <c r="O6" s="114"/>
      <c r="P6" s="114"/>
      <c r="Q6" s="1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s="117" customFormat="1" ht="15" thickBot="1" x14ac:dyDescent="0.4">
      <c r="A7" s="161">
        <v>24.5</v>
      </c>
      <c r="B7" s="156"/>
      <c r="C7" s="122"/>
      <c r="D7" s="114"/>
      <c r="E7" s="115"/>
      <c r="F7" s="132">
        <v>0.84708000000000006</v>
      </c>
      <c r="G7" s="128">
        <v>0.80257999999999996</v>
      </c>
      <c r="H7" s="128">
        <v>0.87326000000000004</v>
      </c>
      <c r="I7" s="129">
        <v>0.77673999999999999</v>
      </c>
      <c r="J7" s="118"/>
      <c r="K7" s="114"/>
      <c r="L7" s="114"/>
      <c r="M7" s="133"/>
      <c r="N7" s="118"/>
      <c r="O7" s="114"/>
      <c r="P7" s="114"/>
      <c r="Q7" s="115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s="117" customFormat="1" x14ac:dyDescent="0.35">
      <c r="A8" s="163">
        <v>25.5</v>
      </c>
      <c r="B8" s="154">
        <v>0.37387999999999999</v>
      </c>
      <c r="C8" s="122"/>
      <c r="D8" s="114"/>
      <c r="E8" s="115"/>
      <c r="F8" s="78"/>
      <c r="G8" s="79"/>
      <c r="H8" s="78"/>
      <c r="I8" s="78"/>
      <c r="J8" s="118">
        <v>0.86602000000000001</v>
      </c>
      <c r="K8" s="119"/>
      <c r="L8" s="119"/>
      <c r="M8" s="138"/>
      <c r="N8" s="118"/>
      <c r="O8" s="114"/>
      <c r="P8" s="114"/>
      <c r="Q8" s="115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s="117" customFormat="1" ht="15" thickBot="1" x14ac:dyDescent="0.4">
      <c r="A9" s="165">
        <v>26</v>
      </c>
      <c r="B9" s="156"/>
      <c r="C9" s="122"/>
      <c r="D9" s="114"/>
      <c r="E9" s="115"/>
      <c r="F9" s="78"/>
      <c r="G9" s="79"/>
      <c r="H9" s="78"/>
      <c r="I9" s="78"/>
      <c r="J9" s="127">
        <v>0.88568000000000002</v>
      </c>
      <c r="K9" s="130">
        <v>0.87882000000000005</v>
      </c>
      <c r="L9" s="130">
        <v>0.89370000000000005</v>
      </c>
      <c r="M9" s="151">
        <v>0.91544000000000003</v>
      </c>
      <c r="N9" s="118"/>
      <c r="O9" s="114"/>
      <c r="P9" s="114"/>
      <c r="Q9" s="115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x14ac:dyDescent="0.35">
      <c r="A10" s="162">
        <v>27</v>
      </c>
      <c r="B10" s="154">
        <v>0.42242000000000002</v>
      </c>
      <c r="C10" s="146"/>
      <c r="D10" s="114"/>
      <c r="E10" s="115"/>
      <c r="F10" s="78"/>
      <c r="G10" s="78"/>
      <c r="H10" s="78"/>
      <c r="I10" s="78"/>
      <c r="J10" s="79"/>
      <c r="K10" s="78"/>
      <c r="L10" s="78"/>
      <c r="M10" s="78"/>
      <c r="N10" s="118">
        <v>0.17734</v>
      </c>
      <c r="O10" s="114"/>
      <c r="P10" s="114"/>
      <c r="Q10" s="115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7" x14ac:dyDescent="0.35">
      <c r="A11" s="124">
        <v>32</v>
      </c>
      <c r="B11" s="156">
        <v>0.48609999999999998</v>
      </c>
      <c r="C11" s="147"/>
      <c r="D11" s="114"/>
      <c r="E11" s="115"/>
      <c r="F11" s="78"/>
      <c r="H11" s="78"/>
      <c r="I11" s="78"/>
      <c r="J11" s="79"/>
      <c r="K11" s="78"/>
      <c r="L11" s="78"/>
      <c r="M11" s="78"/>
      <c r="N11" s="116">
        <v>0.20802000000000001</v>
      </c>
      <c r="O11" s="114"/>
      <c r="P11" s="114"/>
      <c r="Q11" s="115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 x14ac:dyDescent="0.35">
      <c r="A12" s="124">
        <v>39.25</v>
      </c>
      <c r="B12" s="156">
        <v>0.66120000000000001</v>
      </c>
      <c r="C12" s="148"/>
      <c r="D12" s="134"/>
      <c r="E12" s="135"/>
      <c r="F12" s="78"/>
      <c r="H12" s="78"/>
      <c r="I12" s="78"/>
      <c r="J12" s="78"/>
      <c r="K12" s="78"/>
      <c r="L12" s="78"/>
      <c r="M12" s="78"/>
      <c r="N12" s="116"/>
      <c r="O12" s="114"/>
      <c r="P12" s="114"/>
      <c r="Q12" s="115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x14ac:dyDescent="0.35">
      <c r="A13" s="158">
        <v>41.75</v>
      </c>
      <c r="B13" s="156">
        <f>0.36903*2</f>
        <v>0.73806000000000005</v>
      </c>
      <c r="C13" s="125"/>
      <c r="D13" s="114"/>
      <c r="E13" s="115"/>
      <c r="F13" s="78"/>
      <c r="H13" s="78"/>
      <c r="I13" s="78"/>
      <c r="J13" s="78"/>
      <c r="K13" s="78"/>
      <c r="L13" s="136"/>
      <c r="M13" s="136"/>
      <c r="N13" s="116"/>
      <c r="O13" s="114"/>
      <c r="P13" s="114"/>
      <c r="Q13" s="115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x14ac:dyDescent="0.35">
      <c r="A14" s="124">
        <v>43.25</v>
      </c>
      <c r="B14" s="156"/>
      <c r="C14" s="125"/>
      <c r="D14" s="119"/>
      <c r="E14" s="120"/>
      <c r="F14" s="79"/>
      <c r="H14" s="78"/>
      <c r="I14" s="78"/>
      <c r="J14" s="78"/>
      <c r="K14" s="78"/>
      <c r="L14" s="136"/>
      <c r="M14" s="136"/>
      <c r="N14" s="116">
        <v>0.31868000000000002</v>
      </c>
      <c r="O14" s="114"/>
      <c r="P14" s="114"/>
      <c r="Q14" s="115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x14ac:dyDescent="0.35">
      <c r="A15" s="159">
        <v>43.75</v>
      </c>
      <c r="B15" s="154">
        <f>0.38025*2</f>
        <v>0.76049999999999995</v>
      </c>
      <c r="C15" s="149"/>
      <c r="D15" s="141"/>
      <c r="E15" s="142"/>
      <c r="F15" s="79"/>
      <c r="H15" s="78"/>
      <c r="I15" s="78"/>
      <c r="J15" s="78"/>
      <c r="K15" s="78"/>
      <c r="L15" s="78"/>
      <c r="M15" s="78"/>
      <c r="N15" s="116"/>
      <c r="O15" s="114"/>
      <c r="P15" s="114"/>
      <c r="Q15" s="115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15" thickBot="1" x14ac:dyDescent="0.4">
      <c r="A16" s="164">
        <v>44</v>
      </c>
      <c r="B16" s="157">
        <f>0.38025*2</f>
        <v>0.76049999999999995</v>
      </c>
      <c r="C16" s="150">
        <f>0.26854*2</f>
        <v>0.53708</v>
      </c>
      <c r="D16" s="143">
        <f>0.41162*2</f>
        <v>0.82323999999999997</v>
      </c>
      <c r="E16" s="144">
        <f>0.31064*2</f>
        <v>0.62128000000000005</v>
      </c>
      <c r="F16" s="79"/>
      <c r="H16" s="78"/>
      <c r="I16" s="78"/>
      <c r="J16" s="78"/>
      <c r="K16" s="78"/>
      <c r="L16" s="78"/>
      <c r="M16" s="78"/>
      <c r="N16" s="116"/>
      <c r="O16" s="114"/>
      <c r="P16" s="114"/>
      <c r="Q16" s="115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x14ac:dyDescent="0.35">
      <c r="A17" s="162">
        <v>46</v>
      </c>
      <c r="B17" s="79"/>
      <c r="C17" s="78"/>
      <c r="D17" s="79"/>
      <c r="E17" s="79"/>
      <c r="F17" s="79"/>
      <c r="H17" s="78"/>
      <c r="I17" s="78"/>
      <c r="J17" s="78"/>
      <c r="K17" s="78"/>
      <c r="L17" s="78"/>
      <c r="M17" s="78"/>
      <c r="N17" s="116">
        <v>0.34789999999999999</v>
      </c>
      <c r="O17" s="114"/>
      <c r="P17" s="114"/>
      <c r="Q17" s="115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x14ac:dyDescent="0.35">
      <c r="A18" s="158">
        <v>52.75</v>
      </c>
      <c r="B18" s="78"/>
      <c r="C18" s="79"/>
      <c r="D18" s="78"/>
      <c r="E18" s="79"/>
      <c r="F18" s="79"/>
      <c r="H18" s="78"/>
      <c r="I18" s="78"/>
      <c r="J18" s="78"/>
      <c r="K18" s="78"/>
      <c r="L18" s="78"/>
      <c r="M18" s="78"/>
      <c r="N18" s="116">
        <v>0.41588000000000003</v>
      </c>
      <c r="O18" s="114"/>
      <c r="P18" s="114"/>
      <c r="Q18" s="115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x14ac:dyDescent="0.35">
      <c r="A19" s="158">
        <v>67</v>
      </c>
      <c r="B19" s="78"/>
      <c r="C19" s="78"/>
      <c r="D19" s="78"/>
      <c r="E19" s="79"/>
      <c r="F19" s="79"/>
      <c r="H19" s="78"/>
      <c r="I19" s="78"/>
      <c r="J19" s="78"/>
      <c r="K19" s="78"/>
      <c r="L19" s="78"/>
      <c r="M19" s="78"/>
      <c r="N19" s="116">
        <f>0.32634*2</f>
        <v>0.65268000000000004</v>
      </c>
      <c r="O19" s="114"/>
      <c r="P19" s="114"/>
      <c r="Q19" s="115"/>
      <c r="R19" s="1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x14ac:dyDescent="0.35">
      <c r="A20" s="158">
        <v>70</v>
      </c>
      <c r="B20" s="78"/>
      <c r="C20" s="78"/>
      <c r="D20" s="78"/>
      <c r="E20" s="79"/>
      <c r="F20" s="79"/>
      <c r="H20" s="78"/>
      <c r="I20" s="78"/>
      <c r="J20" s="78"/>
      <c r="K20" s="78"/>
      <c r="L20" s="78"/>
      <c r="M20" s="78"/>
      <c r="N20" s="116">
        <f>0.35445*2</f>
        <v>0.70889999999999997</v>
      </c>
      <c r="O20" s="114"/>
      <c r="P20" s="114"/>
      <c r="Q20" s="115"/>
      <c r="R20" s="1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47" x14ac:dyDescent="0.35">
      <c r="A21" s="158">
        <v>73.25</v>
      </c>
      <c r="B21" s="78"/>
      <c r="C21" s="78"/>
      <c r="D21" s="78"/>
      <c r="E21" s="79"/>
      <c r="F21" s="79"/>
      <c r="H21" s="78"/>
      <c r="I21" s="78"/>
      <c r="J21" s="78"/>
      <c r="K21" s="78"/>
      <c r="L21" s="78"/>
      <c r="M21" s="78"/>
      <c r="N21" s="116">
        <f>0.38608*2</f>
        <v>0.77215999999999996</v>
      </c>
      <c r="O21" s="114"/>
      <c r="P21" s="114"/>
      <c r="Q21" s="115"/>
      <c r="R21" s="1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47" ht="15" thickBot="1" x14ac:dyDescent="0.4">
      <c r="A22" s="160">
        <v>74.5</v>
      </c>
      <c r="B22" s="78"/>
      <c r="C22" s="79"/>
      <c r="D22" s="78"/>
      <c r="E22" s="79"/>
      <c r="F22" s="79"/>
      <c r="H22" s="78"/>
      <c r="I22" s="78"/>
      <c r="J22" s="78"/>
      <c r="K22" s="78"/>
      <c r="L22" s="78"/>
      <c r="M22" s="78"/>
      <c r="N22" s="152">
        <f>0.38396*2</f>
        <v>0.76792000000000005</v>
      </c>
      <c r="O22" s="130">
        <f>0.36838*2</f>
        <v>0.73675999999999997</v>
      </c>
      <c r="P22" s="130">
        <f>0.35884*2</f>
        <v>0.71767999999999998</v>
      </c>
      <c r="Q22" s="131">
        <f>0.39528*2</f>
        <v>0.79056000000000004</v>
      </c>
      <c r="R22" s="1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47" x14ac:dyDescent="0.35">
      <c r="A23" s="78"/>
      <c r="B23" s="79"/>
      <c r="C23" s="78"/>
      <c r="D23" s="79"/>
      <c r="E23" s="79"/>
      <c r="F23" s="79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1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47" ht="15" thickBot="1" x14ac:dyDescent="0.4">
      <c r="A24" s="78"/>
      <c r="B24" s="79"/>
      <c r="C24" s="78"/>
      <c r="D24" s="79"/>
      <c r="E24" s="79"/>
      <c r="F24" s="79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1"/>
      <c r="S24" s="1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47" x14ac:dyDescent="0.35">
      <c r="A25" s="123" t="s">
        <v>61</v>
      </c>
      <c r="B25" s="153" t="s">
        <v>22</v>
      </c>
      <c r="C25" s="121" t="s">
        <v>6</v>
      </c>
      <c r="D25" s="83" t="s">
        <v>7</v>
      </c>
      <c r="E25" s="137" t="s">
        <v>8</v>
      </c>
      <c r="F25" s="80"/>
      <c r="G25">
        <v>0.71767999999999998</v>
      </c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1"/>
      <c r="S25" s="1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47" ht="14.25" customHeight="1" x14ac:dyDescent="0.35">
      <c r="A26" s="124">
        <v>0</v>
      </c>
      <c r="B26" s="154">
        <v>4.6190000000000002E-2</v>
      </c>
      <c r="C26" s="122">
        <v>4.6190000000000002E-2</v>
      </c>
      <c r="D26" s="119">
        <v>4.6190000000000002E-2</v>
      </c>
      <c r="E26" s="138">
        <v>4.6190000000000002E-2</v>
      </c>
      <c r="F26" s="79"/>
      <c r="G26">
        <v>0.79056000000000004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1"/>
      <c r="S26" s="1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ht="15" thickBot="1" x14ac:dyDescent="0.4">
      <c r="A27" s="124">
        <v>19</v>
      </c>
      <c r="B27" s="156">
        <f>0.14867*2</f>
        <v>0.29733999999999999</v>
      </c>
      <c r="C27" s="125"/>
      <c r="D27" s="114"/>
      <c r="E27" s="133"/>
      <c r="F27" s="78"/>
      <c r="G27" s="79"/>
      <c r="H27" s="78"/>
      <c r="I27" s="78"/>
      <c r="J27" s="79"/>
      <c r="K27" s="78"/>
      <c r="L27" s="78"/>
      <c r="M27" s="78"/>
      <c r="N27" s="78"/>
      <c r="O27" s="78"/>
      <c r="P27" s="78"/>
      <c r="Q27" s="78"/>
      <c r="R27" s="1"/>
      <c r="S27" s="1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x14ac:dyDescent="0.35">
      <c r="A28" s="163">
        <v>25.5</v>
      </c>
      <c r="B28" s="154">
        <v>0.37387999999999999</v>
      </c>
      <c r="C28" s="122"/>
      <c r="D28" s="114"/>
      <c r="E28" s="133"/>
      <c r="F28" s="78"/>
      <c r="G28" s="79"/>
      <c r="H28" s="78"/>
      <c r="I28" s="78"/>
      <c r="J28" s="79"/>
      <c r="K28" s="79"/>
      <c r="L28" s="79"/>
      <c r="M28" s="79"/>
      <c r="N28" s="79"/>
      <c r="O28" s="78"/>
      <c r="P28" s="78"/>
      <c r="Q28" s="78"/>
      <c r="R28" s="1"/>
      <c r="S28" s="1"/>
    </row>
    <row r="29" spans="1:47" x14ac:dyDescent="0.35">
      <c r="A29" s="162">
        <v>27</v>
      </c>
      <c r="B29" s="154">
        <v>0.42242000000000002</v>
      </c>
      <c r="C29" s="146"/>
      <c r="D29" s="114"/>
      <c r="E29" s="133"/>
      <c r="F29" s="78"/>
      <c r="G29" s="78"/>
      <c r="H29" s="78"/>
      <c r="I29" s="78"/>
      <c r="J29" s="79"/>
      <c r="K29" s="78"/>
      <c r="L29" s="78"/>
      <c r="M29" s="78"/>
      <c r="N29" s="79"/>
      <c r="O29" s="78"/>
      <c r="P29" s="78"/>
      <c r="Q29" s="78"/>
      <c r="R29" s="1"/>
      <c r="S29" s="1"/>
    </row>
    <row r="30" spans="1:47" x14ac:dyDescent="0.35">
      <c r="A30" s="124">
        <v>32</v>
      </c>
      <c r="B30" s="156">
        <v>0.48609999999999998</v>
      </c>
      <c r="C30" s="147"/>
      <c r="D30" s="114"/>
      <c r="E30" s="133"/>
      <c r="F30" s="78"/>
      <c r="G30" s="78"/>
      <c r="H30" s="78"/>
      <c r="I30" s="78"/>
      <c r="J30" s="79"/>
      <c r="K30" s="78"/>
      <c r="L30" s="78"/>
      <c r="M30" s="78"/>
      <c r="N30" s="78"/>
      <c r="O30" s="78"/>
      <c r="P30" s="78"/>
      <c r="Q30" s="78"/>
      <c r="R30" s="1"/>
      <c r="S30" s="1"/>
    </row>
    <row r="31" spans="1:47" x14ac:dyDescent="0.35">
      <c r="A31" s="124">
        <v>39.25</v>
      </c>
      <c r="B31" s="156">
        <v>0.66120000000000001</v>
      </c>
      <c r="C31" s="148"/>
      <c r="D31" s="134"/>
      <c r="E31" s="139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1"/>
      <c r="S31" s="1"/>
    </row>
    <row r="32" spans="1:47" x14ac:dyDescent="0.35">
      <c r="A32" s="158">
        <v>41.75</v>
      </c>
      <c r="B32" s="156">
        <f>0.36903*2</f>
        <v>0.73806000000000005</v>
      </c>
      <c r="C32" s="125"/>
      <c r="D32" s="114"/>
      <c r="E32" s="133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1"/>
      <c r="S32" s="1"/>
    </row>
    <row r="33" spans="1:22" ht="15" thickBot="1" x14ac:dyDescent="0.4">
      <c r="A33" s="164">
        <v>44</v>
      </c>
      <c r="B33" s="157">
        <f>0.38025*2</f>
        <v>0.76049999999999995</v>
      </c>
      <c r="C33" s="150">
        <f>0.26854*2</f>
        <v>0.53708</v>
      </c>
      <c r="D33" s="143">
        <f>0.41162*2</f>
        <v>0.82323999999999997</v>
      </c>
      <c r="E33" s="166">
        <f>0.31064*2</f>
        <v>0.62128000000000005</v>
      </c>
      <c r="F33" s="79"/>
      <c r="G33" s="79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1"/>
      <c r="S33" s="1"/>
      <c r="T33" s="1"/>
      <c r="U33" s="1"/>
      <c r="V33" s="1"/>
    </row>
    <row r="34" spans="1:22" ht="15" thickBot="1" x14ac:dyDescent="0.4">
      <c r="A34" s="162"/>
      <c r="B34" s="79"/>
      <c r="C34" s="78"/>
      <c r="D34" s="79"/>
      <c r="E34" s="79"/>
      <c r="F34" s="79"/>
      <c r="G34" s="79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1"/>
      <c r="S34" s="1"/>
      <c r="T34" s="1"/>
      <c r="U34" s="1"/>
      <c r="V34" s="1"/>
    </row>
    <row r="35" spans="1:22" x14ac:dyDescent="0.35">
      <c r="A35" s="123" t="s">
        <v>61</v>
      </c>
      <c r="B35" s="121" t="s">
        <v>1</v>
      </c>
      <c r="C35" s="112" t="s">
        <v>0</v>
      </c>
      <c r="D35" s="83" t="s">
        <v>23</v>
      </c>
      <c r="E35" s="137" t="s">
        <v>2</v>
      </c>
      <c r="F35" s="1"/>
      <c r="G35" s="1"/>
      <c r="H35" s="1"/>
      <c r="I35" s="1"/>
      <c r="J35" s="80"/>
      <c r="K35" s="80"/>
      <c r="L35" s="80"/>
      <c r="M35" s="80"/>
      <c r="N35" s="80"/>
      <c r="O35" s="80"/>
      <c r="P35" s="80"/>
      <c r="Q35" s="80"/>
      <c r="R35" s="1"/>
      <c r="S35" s="1"/>
      <c r="T35" s="1"/>
      <c r="U35" s="1"/>
      <c r="V35" s="1"/>
    </row>
    <row r="36" spans="1:22" x14ac:dyDescent="0.35">
      <c r="A36" s="124">
        <v>0</v>
      </c>
      <c r="B36" s="122">
        <v>5.2810000000000003E-2</v>
      </c>
      <c r="C36" s="119">
        <v>5.2810000000000003E-2</v>
      </c>
      <c r="D36" s="119">
        <v>5.2810000000000003E-2</v>
      </c>
      <c r="E36" s="138">
        <v>5.2810000000000003E-2</v>
      </c>
      <c r="F36" s="1"/>
      <c r="G36" s="1"/>
      <c r="H36" s="1"/>
      <c r="I36" s="1"/>
      <c r="J36" s="79"/>
      <c r="K36" s="79"/>
      <c r="L36" s="79"/>
      <c r="M36" s="79"/>
      <c r="N36" s="79"/>
      <c r="O36" s="79"/>
      <c r="P36" s="79"/>
      <c r="Q36" s="79"/>
      <c r="R36" s="1"/>
      <c r="S36" s="1"/>
      <c r="T36" s="1"/>
      <c r="U36" s="1"/>
      <c r="V36" s="1"/>
    </row>
    <row r="37" spans="1:22" x14ac:dyDescent="0.35">
      <c r="A37" s="124">
        <v>8.5</v>
      </c>
      <c r="B37" s="125"/>
      <c r="C37" s="114">
        <v>0.14660999999999999</v>
      </c>
      <c r="D37" s="114"/>
      <c r="E37" s="133"/>
      <c r="F37" s="1"/>
      <c r="G37" s="1"/>
      <c r="H37" s="1"/>
      <c r="I37" s="1"/>
      <c r="J37" s="81"/>
      <c r="K37" s="78"/>
      <c r="L37" s="78"/>
      <c r="M37" s="78"/>
      <c r="N37" s="78"/>
      <c r="O37" s="78"/>
      <c r="P37" s="78"/>
      <c r="Q37" s="78"/>
      <c r="R37" s="1"/>
      <c r="S37" s="1"/>
      <c r="T37" s="1"/>
      <c r="U37" s="1"/>
      <c r="V37" s="1"/>
    </row>
    <row r="38" spans="1:22" x14ac:dyDescent="0.35">
      <c r="A38" s="124">
        <v>19</v>
      </c>
      <c r="B38" s="125"/>
      <c r="C38" s="119">
        <v>0.47226000000000001</v>
      </c>
      <c r="D38" s="114"/>
      <c r="E38" s="133"/>
      <c r="F38" s="1"/>
      <c r="G38" s="1"/>
      <c r="H38" s="1"/>
      <c r="I38" s="1"/>
      <c r="J38" s="79"/>
      <c r="K38" s="78"/>
      <c r="L38" s="78"/>
      <c r="M38" s="78"/>
      <c r="N38" s="78"/>
      <c r="O38" s="78"/>
      <c r="P38" s="78"/>
      <c r="Q38" s="78"/>
      <c r="R38" s="1"/>
      <c r="S38" s="1"/>
      <c r="T38" s="1"/>
      <c r="U38" s="1"/>
      <c r="V38" s="1"/>
    </row>
    <row r="39" spans="1:22" x14ac:dyDescent="0.35">
      <c r="A39" s="124">
        <v>22.25</v>
      </c>
      <c r="B39" s="125"/>
      <c r="C39" s="119">
        <v>0.66847999999999996</v>
      </c>
      <c r="D39" s="114"/>
      <c r="E39" s="133"/>
      <c r="F39" s="1"/>
      <c r="G39" s="1"/>
      <c r="H39" s="1"/>
      <c r="I39" s="1"/>
      <c r="J39" s="78"/>
      <c r="K39" s="78"/>
      <c r="L39" s="78"/>
      <c r="M39" s="78"/>
      <c r="N39" s="78"/>
      <c r="O39" s="78"/>
      <c r="P39" s="78"/>
      <c r="Q39" s="78"/>
      <c r="R39" s="1"/>
      <c r="S39" s="1"/>
      <c r="T39" s="1"/>
      <c r="U39" s="1"/>
      <c r="V39" s="1"/>
    </row>
    <row r="40" spans="1:22" x14ac:dyDescent="0.35">
      <c r="A40" s="124">
        <v>24</v>
      </c>
      <c r="B40" s="125"/>
      <c r="C40" s="119">
        <v>0.78998000000000002</v>
      </c>
      <c r="D40" s="114"/>
      <c r="E40" s="133"/>
      <c r="F40" s="1"/>
      <c r="G40" s="1"/>
      <c r="H40" s="1"/>
      <c r="I40" s="1"/>
      <c r="J40" s="79"/>
      <c r="K40" s="78"/>
      <c r="L40" s="78"/>
      <c r="M40" s="78"/>
      <c r="N40" s="80"/>
      <c r="O40" s="78"/>
      <c r="P40" s="78"/>
      <c r="Q40" s="78"/>
      <c r="R40" s="1"/>
      <c r="S40" s="1"/>
      <c r="T40" s="1"/>
      <c r="U40" s="1"/>
      <c r="V40" s="1"/>
    </row>
    <row r="41" spans="1:22" ht="15" thickBot="1" x14ac:dyDescent="0.4">
      <c r="A41" s="161">
        <v>24.5</v>
      </c>
      <c r="B41" s="132">
        <v>0.84708000000000006</v>
      </c>
      <c r="C41" s="128">
        <v>0.80257999999999996</v>
      </c>
      <c r="D41" s="128">
        <v>0.87326000000000004</v>
      </c>
      <c r="E41" s="140">
        <v>0.77673999999999999</v>
      </c>
      <c r="F41" s="1"/>
      <c r="G41" s="1"/>
      <c r="H41" s="1"/>
      <c r="I41" s="1"/>
      <c r="J41" s="79"/>
      <c r="K41" s="78"/>
      <c r="L41" s="78"/>
      <c r="M41" s="78"/>
      <c r="N41" s="79"/>
      <c r="O41" s="78"/>
      <c r="P41" s="78"/>
      <c r="Q41" s="78"/>
      <c r="R41" s="1"/>
      <c r="S41" s="1"/>
      <c r="T41" s="1"/>
      <c r="U41" s="1"/>
      <c r="V41" s="1"/>
    </row>
    <row r="42" spans="1:22" ht="15" thickBot="1" x14ac:dyDescent="0.4">
      <c r="A42" s="163"/>
      <c r="B42" s="154"/>
      <c r="C42" s="122"/>
      <c r="D42" s="114"/>
      <c r="E42" s="133"/>
      <c r="F42" s="78"/>
      <c r="G42" s="79"/>
      <c r="H42" s="78"/>
      <c r="I42" s="78"/>
      <c r="J42" s="79"/>
      <c r="K42" s="79"/>
      <c r="L42" s="79"/>
      <c r="M42" s="79"/>
      <c r="N42" s="79"/>
      <c r="O42" s="78"/>
      <c r="P42" s="78"/>
      <c r="Q42" s="78"/>
      <c r="R42" s="1"/>
      <c r="S42" s="1"/>
      <c r="T42" s="1"/>
      <c r="U42" s="1"/>
      <c r="V42" s="1"/>
    </row>
    <row r="43" spans="1:22" x14ac:dyDescent="0.35">
      <c r="A43" s="123" t="s">
        <v>61</v>
      </c>
      <c r="B43" s="82" t="s">
        <v>50</v>
      </c>
      <c r="C43" s="83" t="s">
        <v>3</v>
      </c>
      <c r="D43" s="83" t="s">
        <v>4</v>
      </c>
      <c r="E43" s="137" t="s">
        <v>5</v>
      </c>
      <c r="F43" s="80"/>
      <c r="G43" s="167"/>
      <c r="H43" s="80"/>
      <c r="I43" s="80"/>
      <c r="J43" s="1"/>
      <c r="K43" s="1"/>
      <c r="L43" s="1"/>
      <c r="M43" s="1"/>
      <c r="N43" s="80"/>
      <c r="O43" s="80"/>
      <c r="P43" s="80"/>
      <c r="Q43" s="80"/>
      <c r="R43" s="1"/>
      <c r="S43" s="1"/>
      <c r="T43" s="1"/>
      <c r="U43" s="1"/>
      <c r="V43" s="1"/>
    </row>
    <row r="44" spans="1:22" x14ac:dyDescent="0.35">
      <c r="A44" s="124">
        <v>0</v>
      </c>
      <c r="B44" s="118">
        <v>5.0770000000000003E-2</v>
      </c>
      <c r="C44" s="119">
        <v>5.0770000000000003E-2</v>
      </c>
      <c r="D44" s="119">
        <v>5.0770000000000003E-2</v>
      </c>
      <c r="E44" s="138">
        <v>5.0770000000000003E-2</v>
      </c>
      <c r="F44" s="79"/>
      <c r="G44" s="79"/>
      <c r="H44" s="79"/>
      <c r="I44" s="79"/>
      <c r="J44" s="1"/>
      <c r="K44" s="1"/>
      <c r="L44" s="1"/>
      <c r="M44" s="1"/>
      <c r="N44" s="79"/>
      <c r="O44" s="79"/>
      <c r="P44" s="79"/>
      <c r="Q44" s="79"/>
      <c r="R44" s="1"/>
      <c r="S44" s="1"/>
      <c r="T44" s="1"/>
      <c r="U44" s="1"/>
      <c r="V44" s="1"/>
    </row>
    <row r="45" spans="1:22" x14ac:dyDescent="0.35">
      <c r="A45" s="124">
        <v>19</v>
      </c>
      <c r="B45" s="118">
        <v>0.47464000000000001</v>
      </c>
      <c r="C45" s="114"/>
      <c r="D45" s="114"/>
      <c r="E45" s="133"/>
      <c r="F45" s="78"/>
      <c r="G45" s="79"/>
      <c r="H45" s="78"/>
      <c r="I45" s="78"/>
      <c r="J45" s="1"/>
      <c r="K45" s="1"/>
      <c r="L45" s="1"/>
      <c r="M45" s="1"/>
      <c r="N45" s="78"/>
      <c r="O45" s="78"/>
      <c r="P45" s="78"/>
      <c r="Q45" s="78"/>
      <c r="R45" s="1"/>
      <c r="S45" s="1"/>
    </row>
    <row r="46" spans="1:22" ht="15" thickBot="1" x14ac:dyDescent="0.4">
      <c r="A46" s="124">
        <v>24</v>
      </c>
      <c r="B46" s="118">
        <v>0.73594000000000004</v>
      </c>
      <c r="C46" s="114"/>
      <c r="D46" s="114"/>
      <c r="E46" s="133"/>
      <c r="F46" s="78"/>
      <c r="G46" s="79"/>
      <c r="H46" s="78"/>
      <c r="I46" s="78"/>
      <c r="J46" s="1"/>
      <c r="K46" s="1"/>
      <c r="L46" s="1"/>
      <c r="M46" s="1"/>
      <c r="N46" s="80"/>
      <c r="O46" s="78"/>
      <c r="P46" s="78"/>
      <c r="Q46" s="78"/>
      <c r="R46" s="1"/>
      <c r="S46" s="1"/>
    </row>
    <row r="47" spans="1:22" x14ac:dyDescent="0.35">
      <c r="A47" s="163">
        <v>25.5</v>
      </c>
      <c r="B47" s="118">
        <v>0.86602000000000001</v>
      </c>
      <c r="C47" s="119"/>
      <c r="D47" s="119"/>
      <c r="E47" s="138"/>
      <c r="F47" s="78"/>
      <c r="G47" s="79"/>
      <c r="H47" s="78"/>
      <c r="I47" s="78"/>
      <c r="J47" s="1"/>
      <c r="K47" s="1"/>
      <c r="L47" s="1"/>
      <c r="M47" s="1"/>
      <c r="N47" s="79"/>
      <c r="O47" s="78"/>
      <c r="P47" s="78"/>
      <c r="Q47" s="78"/>
      <c r="R47" s="1"/>
      <c r="S47" s="1"/>
    </row>
    <row r="48" spans="1:22" ht="15" thickBot="1" x14ac:dyDescent="0.4">
      <c r="A48" s="165">
        <v>26</v>
      </c>
      <c r="B48" s="127">
        <v>0.88568000000000002</v>
      </c>
      <c r="C48" s="130">
        <v>0.87882000000000005</v>
      </c>
      <c r="D48" s="130">
        <v>0.89370000000000005</v>
      </c>
      <c r="E48" s="151">
        <v>0.91544000000000003</v>
      </c>
      <c r="F48" s="78"/>
      <c r="G48" s="79"/>
      <c r="H48" s="78"/>
      <c r="I48" s="78"/>
      <c r="J48" s="1"/>
      <c r="K48" s="1"/>
      <c r="L48" s="1"/>
      <c r="M48" s="1"/>
      <c r="N48" s="79"/>
      <c r="O48" s="78"/>
      <c r="P48" s="78"/>
      <c r="Q48" s="78"/>
      <c r="R48" s="1"/>
      <c r="S48" s="1"/>
    </row>
    <row r="49" spans="1:19" ht="15" thickBot="1" x14ac:dyDescent="0.4">
      <c r="A49" s="162"/>
      <c r="B49" s="154"/>
      <c r="C49" s="146"/>
      <c r="D49" s="114"/>
      <c r="E49" s="133"/>
      <c r="F49" s="78"/>
      <c r="G49" s="78"/>
      <c r="H49" s="78"/>
      <c r="I49" s="78"/>
      <c r="J49" s="79"/>
      <c r="K49" s="78"/>
      <c r="L49" s="78"/>
      <c r="M49" s="78"/>
      <c r="N49" s="79"/>
      <c r="O49" s="78"/>
      <c r="P49" s="78"/>
      <c r="Q49" s="78"/>
      <c r="R49" s="1"/>
      <c r="S49" s="1"/>
    </row>
    <row r="50" spans="1:19" ht="13.5" customHeight="1" x14ac:dyDescent="0.35">
      <c r="A50" s="123" t="s">
        <v>61</v>
      </c>
      <c r="B50" s="82" t="s">
        <v>51</v>
      </c>
      <c r="C50" s="83" t="s">
        <v>9</v>
      </c>
      <c r="D50" s="83" t="s">
        <v>52</v>
      </c>
      <c r="E50" s="84" t="s">
        <v>11</v>
      </c>
      <c r="F50" s="80"/>
      <c r="G50" s="167"/>
      <c r="H50" s="80"/>
      <c r="I50" s="80"/>
      <c r="J50" s="80"/>
      <c r="K50" s="80"/>
      <c r="L50" s="80"/>
      <c r="M50" s="80"/>
      <c r="N50" s="1"/>
      <c r="O50" s="1"/>
      <c r="P50" s="1"/>
      <c r="Q50" s="1"/>
      <c r="R50" s="1"/>
      <c r="S50" s="1"/>
    </row>
    <row r="51" spans="1:19" x14ac:dyDescent="0.35">
      <c r="A51" s="124">
        <v>0</v>
      </c>
      <c r="B51" s="118">
        <v>4.82E-2</v>
      </c>
      <c r="C51" s="119">
        <v>4.82E-2</v>
      </c>
      <c r="D51" s="119">
        <v>4.82E-2</v>
      </c>
      <c r="E51" s="120">
        <v>4.82E-2</v>
      </c>
      <c r="F51" s="79"/>
      <c r="G51" s="79"/>
      <c r="H51" s="79"/>
      <c r="I51" s="79"/>
      <c r="J51" s="79"/>
      <c r="K51" s="79"/>
      <c r="L51" s="79"/>
      <c r="M51" s="79"/>
      <c r="N51" s="1"/>
      <c r="O51" s="1"/>
      <c r="P51" s="1"/>
      <c r="Q51" s="1"/>
      <c r="R51" s="1"/>
      <c r="S51" s="1"/>
    </row>
    <row r="52" spans="1:19" x14ac:dyDescent="0.35">
      <c r="A52" s="162">
        <v>27</v>
      </c>
      <c r="B52" s="118">
        <v>0.17734</v>
      </c>
      <c r="C52" s="114"/>
      <c r="D52" s="114"/>
      <c r="E52" s="115"/>
      <c r="F52" s="78"/>
      <c r="G52" s="78"/>
      <c r="H52" s="78"/>
      <c r="I52" s="78"/>
      <c r="J52" s="79"/>
      <c r="K52" s="78"/>
      <c r="L52" s="78"/>
      <c r="M52" s="78"/>
      <c r="N52" s="1"/>
      <c r="O52" s="1"/>
      <c r="P52" s="1"/>
      <c r="Q52" s="1"/>
      <c r="R52" s="1"/>
      <c r="S52" s="1"/>
    </row>
    <row r="53" spans="1:19" x14ac:dyDescent="0.35">
      <c r="A53" s="124">
        <v>32</v>
      </c>
      <c r="B53" s="116">
        <v>0.20802000000000001</v>
      </c>
      <c r="C53" s="114"/>
      <c r="D53" s="114"/>
      <c r="E53" s="115"/>
      <c r="F53" s="78"/>
      <c r="G53" s="78"/>
      <c r="H53" s="78"/>
      <c r="I53" s="78"/>
      <c r="J53" s="79"/>
      <c r="K53" s="78"/>
      <c r="L53" s="78"/>
      <c r="M53" s="78"/>
      <c r="N53" s="1"/>
      <c r="O53" s="1"/>
      <c r="P53" s="1"/>
      <c r="Q53" s="1"/>
      <c r="R53" s="1"/>
      <c r="S53" s="1"/>
    </row>
    <row r="54" spans="1:19" x14ac:dyDescent="0.35">
      <c r="A54" s="124">
        <v>43.25</v>
      </c>
      <c r="B54" s="116">
        <v>0.31868000000000002</v>
      </c>
      <c r="C54" s="114"/>
      <c r="D54" s="114"/>
      <c r="E54" s="115"/>
      <c r="F54" s="79"/>
      <c r="G54" s="79"/>
      <c r="H54" s="78"/>
      <c r="I54" s="78"/>
      <c r="J54" s="78"/>
      <c r="K54" s="78"/>
      <c r="L54" s="78"/>
      <c r="M54" s="78"/>
      <c r="N54" s="1"/>
      <c r="O54" s="1"/>
      <c r="P54" s="1"/>
      <c r="Q54" s="1"/>
      <c r="R54" s="1"/>
      <c r="S54" s="1"/>
    </row>
    <row r="55" spans="1:19" x14ac:dyDescent="0.35">
      <c r="A55" s="162">
        <v>46</v>
      </c>
      <c r="B55" s="116">
        <v>0.34789999999999999</v>
      </c>
      <c r="C55" s="114"/>
      <c r="D55" s="114"/>
      <c r="E55" s="115"/>
      <c r="F55" s="79"/>
      <c r="G55" s="79"/>
      <c r="H55" s="78"/>
      <c r="I55" s="78"/>
      <c r="J55" s="78"/>
      <c r="K55" s="78"/>
      <c r="L55" s="78"/>
      <c r="M55" s="78"/>
      <c r="N55" s="1"/>
      <c r="O55" s="1"/>
      <c r="P55" s="1"/>
      <c r="Q55" s="1"/>
      <c r="R55" s="1"/>
      <c r="S55" s="1"/>
    </row>
    <row r="56" spans="1:19" x14ac:dyDescent="0.35">
      <c r="A56" s="158">
        <v>52.75</v>
      </c>
      <c r="B56" s="116">
        <v>0.41588000000000003</v>
      </c>
      <c r="C56" s="114"/>
      <c r="D56" s="114"/>
      <c r="E56" s="115"/>
      <c r="F56" s="79"/>
      <c r="G56" s="79"/>
      <c r="H56" s="78"/>
      <c r="I56" s="78"/>
      <c r="J56" s="78"/>
      <c r="K56" s="78"/>
      <c r="L56" s="78"/>
      <c r="M56" s="78"/>
      <c r="N56" s="1"/>
      <c r="O56" s="1"/>
      <c r="P56" s="1"/>
      <c r="Q56" s="1"/>
      <c r="R56" s="1"/>
      <c r="S56" s="1"/>
    </row>
    <row r="57" spans="1:19" x14ac:dyDescent="0.35">
      <c r="A57" s="158">
        <v>67</v>
      </c>
      <c r="B57" s="116">
        <f>0.32634*2</f>
        <v>0.65268000000000004</v>
      </c>
      <c r="C57" s="114"/>
      <c r="D57" s="114"/>
      <c r="E57" s="115"/>
      <c r="F57" s="79"/>
      <c r="G57" s="79"/>
      <c r="H57" s="78"/>
      <c r="I57" s="78"/>
      <c r="J57" s="78"/>
      <c r="K57" s="78"/>
      <c r="L57" s="78"/>
      <c r="M57" s="78"/>
      <c r="N57" s="1"/>
      <c r="O57" s="1"/>
      <c r="P57" s="1"/>
      <c r="Q57" s="1"/>
      <c r="R57" s="1"/>
      <c r="S57" s="1"/>
    </row>
    <row r="58" spans="1:19" x14ac:dyDescent="0.35">
      <c r="A58" s="158">
        <v>70</v>
      </c>
      <c r="B58" s="116">
        <f>0.35445*2</f>
        <v>0.70889999999999997</v>
      </c>
      <c r="C58" s="114"/>
      <c r="D58" s="114"/>
      <c r="E58" s="115"/>
      <c r="F58" s="79"/>
      <c r="G58" s="79"/>
      <c r="H58" s="78"/>
      <c r="I58" s="78"/>
      <c r="J58" s="78"/>
      <c r="K58" s="78"/>
      <c r="L58" s="78"/>
      <c r="M58" s="78"/>
      <c r="N58" s="1"/>
      <c r="O58" s="1"/>
      <c r="P58" s="1"/>
      <c r="Q58" s="1"/>
      <c r="R58" s="1"/>
      <c r="S58" s="1"/>
    </row>
    <row r="59" spans="1:19" x14ac:dyDescent="0.35">
      <c r="A59" s="158">
        <v>73.25</v>
      </c>
      <c r="B59" s="116">
        <f>0.38608*2</f>
        <v>0.77215999999999996</v>
      </c>
      <c r="C59" s="114"/>
      <c r="D59" s="114"/>
      <c r="E59" s="115"/>
      <c r="F59" s="79"/>
      <c r="G59" s="79"/>
      <c r="H59" s="78"/>
      <c r="I59" s="78"/>
      <c r="J59" s="78"/>
      <c r="K59" s="78"/>
      <c r="L59" s="78"/>
      <c r="M59" s="78"/>
      <c r="N59" s="1"/>
      <c r="O59" s="1"/>
      <c r="P59" s="1"/>
      <c r="Q59" s="1"/>
      <c r="R59" s="1"/>
      <c r="S59" s="1"/>
    </row>
    <row r="60" spans="1:19" ht="15" thickBot="1" x14ac:dyDescent="0.4">
      <c r="A60" s="160">
        <v>74.5</v>
      </c>
      <c r="B60" s="152">
        <f>0.38396*2</f>
        <v>0.76792000000000005</v>
      </c>
      <c r="C60" s="130">
        <f>0.36838*2</f>
        <v>0.73675999999999997</v>
      </c>
      <c r="D60" s="130">
        <f>0.35884*2</f>
        <v>0.71767999999999998</v>
      </c>
      <c r="E60" s="131">
        <f>0.39528*2</f>
        <v>0.79056000000000004</v>
      </c>
      <c r="F60" s="79"/>
      <c r="G60" s="79"/>
      <c r="H60" s="78"/>
      <c r="I60" s="78"/>
      <c r="J60" s="78"/>
      <c r="K60" s="78"/>
      <c r="L60" s="78"/>
      <c r="M60" s="78"/>
      <c r="N60" s="1"/>
      <c r="O60" s="1"/>
      <c r="P60" s="1"/>
      <c r="Q60" s="1"/>
      <c r="R60" s="1"/>
      <c r="S60" s="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2"/>
  <sheetViews>
    <sheetView zoomScale="43" workbookViewId="0">
      <selection activeCell="B19" sqref="B19:C34"/>
    </sheetView>
  </sheetViews>
  <sheetFormatPr defaultRowHeight="14.5" x14ac:dyDescent="0.35"/>
  <cols>
    <col min="1" max="1" width="9.81640625" bestFit="1" customWidth="1"/>
    <col min="2" max="2" width="12.1796875" bestFit="1" customWidth="1"/>
    <col min="3" max="3" width="13.26953125" bestFit="1" customWidth="1"/>
    <col min="10" max="10" width="9.1796875" style="1"/>
    <col min="26" max="26" width="12.26953125" bestFit="1" customWidth="1"/>
  </cols>
  <sheetData>
    <row r="1" spans="1:30" s="65" customFormat="1" x14ac:dyDescent="0.35">
      <c r="A1" s="168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Y1" s="66"/>
      <c r="Z1" s="67"/>
      <c r="AA1" s="67"/>
      <c r="AB1" s="67"/>
      <c r="AC1" s="1"/>
      <c r="AD1" s="1"/>
    </row>
    <row r="2" spans="1:30" x14ac:dyDescent="0.35">
      <c r="A2" s="70"/>
      <c r="B2" s="70"/>
      <c r="C2" s="70"/>
      <c r="D2" s="70"/>
      <c r="E2" s="70"/>
      <c r="F2" s="70"/>
      <c r="G2" s="70"/>
      <c r="H2" s="70"/>
      <c r="I2" s="70"/>
      <c r="J2" s="68"/>
      <c r="K2" s="5"/>
      <c r="L2" s="1"/>
      <c r="M2" s="1"/>
      <c r="N2" s="1"/>
      <c r="O2" s="1"/>
      <c r="P2" s="1"/>
      <c r="Q2" s="1"/>
      <c r="Y2" s="1"/>
      <c r="Z2" s="67"/>
      <c r="AA2" s="67"/>
      <c r="AB2" s="67"/>
      <c r="AC2" s="1"/>
      <c r="AD2" s="1"/>
    </row>
    <row r="3" spans="1:30" x14ac:dyDescent="0.35">
      <c r="A3" s="70"/>
      <c r="B3" s="71"/>
      <c r="C3" s="71"/>
      <c r="D3" s="71"/>
      <c r="E3" s="71"/>
      <c r="F3" s="71"/>
      <c r="G3" s="71"/>
      <c r="H3" s="71"/>
      <c r="I3" s="71"/>
      <c r="J3" s="68"/>
      <c r="K3" s="5"/>
      <c r="L3" s="1"/>
      <c r="M3" s="1"/>
      <c r="N3" s="1"/>
      <c r="O3" s="1"/>
      <c r="P3" s="1"/>
      <c r="Q3" s="1"/>
      <c r="Y3" s="1"/>
      <c r="Z3" s="67"/>
      <c r="AA3" s="67"/>
      <c r="AB3" s="67"/>
      <c r="AC3" s="1"/>
      <c r="AD3" s="1"/>
    </row>
    <row r="4" spans="1:30" x14ac:dyDescent="0.35">
      <c r="A4" s="71"/>
      <c r="B4" s="68"/>
      <c r="C4" s="68"/>
      <c r="D4" s="68"/>
      <c r="E4" s="68"/>
      <c r="F4" s="70"/>
      <c r="G4" s="70"/>
      <c r="H4" s="70"/>
      <c r="I4" s="70"/>
      <c r="J4" s="68"/>
      <c r="K4" s="5"/>
      <c r="L4" s="1"/>
      <c r="M4" s="1"/>
      <c r="N4" s="1"/>
      <c r="O4" s="1"/>
      <c r="P4" s="1"/>
      <c r="Q4" s="1"/>
      <c r="Y4" s="1"/>
      <c r="Z4" s="67"/>
      <c r="AA4" s="67"/>
      <c r="AB4" s="67"/>
      <c r="AC4" s="1"/>
      <c r="AD4" s="1"/>
    </row>
    <row r="5" spans="1:30" s="71" customFormat="1" x14ac:dyDescent="0.35">
      <c r="A5" s="70"/>
      <c r="B5" s="70"/>
      <c r="C5" s="70"/>
      <c r="D5" s="70"/>
      <c r="E5" s="70"/>
      <c r="F5" s="70"/>
      <c r="G5" s="70"/>
      <c r="H5" s="70"/>
      <c r="I5" s="70"/>
      <c r="J5" s="70"/>
      <c r="Z5" s="70"/>
      <c r="AA5" s="70"/>
      <c r="AB5" s="70"/>
    </row>
    <row r="6" spans="1:30" x14ac:dyDescent="0.35">
      <c r="D6" s="69"/>
      <c r="E6" s="69"/>
      <c r="F6" s="69"/>
      <c r="G6" s="69"/>
      <c r="H6" s="69"/>
      <c r="I6" s="69"/>
      <c r="J6" s="5"/>
      <c r="K6" s="69"/>
      <c r="Y6" s="1"/>
      <c r="Z6" s="1"/>
      <c r="AA6" s="1"/>
      <c r="AB6" s="1"/>
      <c r="AC6" s="1"/>
      <c r="AD6" s="1"/>
    </row>
    <row r="7" spans="1:30" x14ac:dyDescent="0.35">
      <c r="D7" s="73"/>
      <c r="E7" s="73"/>
      <c r="F7" s="69"/>
      <c r="G7" s="69"/>
      <c r="H7" s="69"/>
      <c r="I7" s="69"/>
      <c r="J7" s="5"/>
      <c r="K7" s="69"/>
      <c r="Y7" s="1"/>
      <c r="Z7" s="1"/>
      <c r="AA7" s="1"/>
      <c r="AB7" s="1"/>
      <c r="AC7" s="1"/>
      <c r="AD7" s="1"/>
    </row>
    <row r="8" spans="1:30" x14ac:dyDescent="0.35">
      <c r="D8" s="68"/>
      <c r="E8" s="68"/>
      <c r="F8" s="69"/>
      <c r="G8" s="69"/>
      <c r="H8" s="69"/>
      <c r="I8" s="69"/>
      <c r="J8" s="5"/>
      <c r="K8" s="69"/>
      <c r="Y8" s="1"/>
      <c r="Z8" s="1"/>
      <c r="AA8" s="1"/>
      <c r="AB8" s="1"/>
      <c r="AC8" s="1"/>
      <c r="AD8" s="1"/>
    </row>
    <row r="9" spans="1:30" x14ac:dyDescent="0.35">
      <c r="D9" s="68"/>
      <c r="E9" s="68"/>
      <c r="F9" s="69"/>
      <c r="G9" s="69"/>
      <c r="H9" s="69"/>
      <c r="I9" s="69"/>
      <c r="J9" s="5"/>
      <c r="K9" s="69"/>
      <c r="Y9" s="1"/>
      <c r="Z9" s="1"/>
      <c r="AA9" s="1"/>
      <c r="AB9" s="1"/>
      <c r="AC9" s="1"/>
      <c r="AD9" s="1"/>
    </row>
    <row r="10" spans="1:30" x14ac:dyDescent="0.35">
      <c r="D10" s="68"/>
      <c r="E10" s="68"/>
      <c r="F10" s="69"/>
      <c r="G10" s="69"/>
      <c r="H10" s="69"/>
      <c r="I10" s="69"/>
      <c r="J10" s="5"/>
      <c r="K10" s="69"/>
      <c r="Y10" s="1"/>
      <c r="Z10" s="1"/>
      <c r="AA10" s="1"/>
      <c r="AB10" s="1"/>
      <c r="AC10" s="1"/>
      <c r="AD10" s="1"/>
    </row>
    <row r="11" spans="1:30" x14ac:dyDescent="0.35">
      <c r="D11" s="68"/>
      <c r="E11" s="68"/>
      <c r="F11" s="69"/>
      <c r="G11" s="69"/>
      <c r="H11" s="69"/>
      <c r="I11" s="69"/>
      <c r="J11" s="5"/>
      <c r="K11" s="69"/>
      <c r="Y11" s="1"/>
      <c r="Z11" s="1"/>
      <c r="AA11" s="1"/>
      <c r="AB11" s="1"/>
      <c r="AC11" s="1"/>
      <c r="AD11" s="1"/>
    </row>
    <row r="12" spans="1:30" x14ac:dyDescent="0.35">
      <c r="D12" s="68"/>
      <c r="E12" s="68"/>
      <c r="F12" s="69"/>
      <c r="G12" s="69"/>
      <c r="H12" s="69"/>
      <c r="I12" s="69"/>
      <c r="J12" s="5"/>
      <c r="K12" s="69"/>
    </row>
    <row r="13" spans="1:30" x14ac:dyDescent="0.35">
      <c r="D13" s="68"/>
      <c r="E13" s="68"/>
      <c r="F13" s="69"/>
      <c r="G13" s="69"/>
      <c r="H13" s="69"/>
      <c r="I13" s="69"/>
      <c r="J13" s="5"/>
      <c r="K13" s="69"/>
    </row>
    <row r="14" spans="1:30" x14ac:dyDescent="0.35">
      <c r="D14" s="68"/>
      <c r="E14" s="68"/>
      <c r="F14" s="69"/>
      <c r="G14" s="69"/>
      <c r="H14" s="69"/>
      <c r="I14" s="69"/>
      <c r="J14" s="5"/>
      <c r="K14" s="69"/>
    </row>
    <row r="15" spans="1:30" x14ac:dyDescent="0.35">
      <c r="D15" s="68"/>
      <c r="E15" s="68"/>
      <c r="F15" s="69"/>
      <c r="G15" s="69"/>
      <c r="H15" s="69"/>
      <c r="I15" s="69"/>
      <c r="J15" s="5"/>
      <c r="K15" s="69"/>
    </row>
    <row r="16" spans="1:30" x14ac:dyDescent="0.35">
      <c r="D16" s="68"/>
      <c r="E16" s="68"/>
      <c r="F16" s="69"/>
      <c r="G16" s="69"/>
      <c r="H16" s="69"/>
      <c r="I16" s="69"/>
      <c r="J16" s="5"/>
      <c r="K16" s="69"/>
    </row>
    <row r="17" spans="1:11" x14ac:dyDescent="0.35">
      <c r="A17" s="63"/>
      <c r="B17" s="63" t="s">
        <v>32</v>
      </c>
      <c r="C17" s="63" t="s">
        <v>46</v>
      </c>
      <c r="D17" s="68"/>
      <c r="E17" s="68"/>
      <c r="F17" s="69"/>
      <c r="G17" s="69"/>
      <c r="H17" s="69"/>
      <c r="I17" s="69"/>
      <c r="J17" s="5"/>
      <c r="K17" s="69"/>
    </row>
    <row r="18" spans="1:11" x14ac:dyDescent="0.35">
      <c r="A18" s="72" t="s">
        <v>12</v>
      </c>
      <c r="B18" s="72" t="s">
        <v>47</v>
      </c>
      <c r="C18" s="72" t="s">
        <v>48</v>
      </c>
      <c r="D18" s="5"/>
      <c r="E18" s="5"/>
      <c r="F18" s="69"/>
      <c r="G18" s="69"/>
      <c r="H18" s="69"/>
      <c r="I18" s="69"/>
      <c r="J18" s="5"/>
      <c r="K18" s="69"/>
    </row>
    <row r="19" spans="1:11" x14ac:dyDescent="0.35">
      <c r="A19" s="74" t="s">
        <v>35</v>
      </c>
      <c r="B19" s="75">
        <v>6.08E-2</v>
      </c>
      <c r="C19" s="76">
        <f>LN(2)/B19</f>
        <v>11.400447048683311</v>
      </c>
      <c r="D19" s="1"/>
      <c r="E19" s="1"/>
    </row>
    <row r="20" spans="1:11" x14ac:dyDescent="0.35">
      <c r="A20" s="74" t="s">
        <v>36</v>
      </c>
      <c r="B20" s="75">
        <v>5.5800000000000002E-2</v>
      </c>
      <c r="C20" s="76">
        <f t="shared" ref="C20:C25" si="0">LN(2)/B20</f>
        <v>12.42199248315314</v>
      </c>
    </row>
    <row r="21" spans="1:11" x14ac:dyDescent="0.35">
      <c r="A21" s="74" t="s">
        <v>37</v>
      </c>
      <c r="B21" s="75">
        <v>6.5500000000000003E-2</v>
      </c>
      <c r="C21" s="76">
        <f t="shared" si="0"/>
        <v>10.582399703205271</v>
      </c>
    </row>
    <row r="22" spans="1:11" x14ac:dyDescent="0.35">
      <c r="A22" s="74" t="s">
        <v>38</v>
      </c>
      <c r="B22" s="75">
        <v>5.91E-2</v>
      </c>
      <c r="C22" s="76">
        <f t="shared" si="0"/>
        <v>11.728378689677585</v>
      </c>
    </row>
    <row r="23" spans="1:11" x14ac:dyDescent="0.35">
      <c r="A23" s="74" t="s">
        <v>39</v>
      </c>
      <c r="B23" s="169">
        <v>0.1133</v>
      </c>
      <c r="C23" s="76">
        <f t="shared" si="0"/>
        <v>6.1178038884372929</v>
      </c>
    </row>
    <row r="24" spans="1:11" x14ac:dyDescent="0.35">
      <c r="A24" s="74" t="s">
        <v>40</v>
      </c>
      <c r="B24" s="75">
        <v>0.11169999999999999</v>
      </c>
      <c r="C24" s="76">
        <f t="shared" si="0"/>
        <v>6.2054358152188485</v>
      </c>
    </row>
    <row r="25" spans="1:11" x14ac:dyDescent="0.35">
      <c r="A25" s="74" t="s">
        <v>41</v>
      </c>
      <c r="B25" s="75">
        <v>0.1145</v>
      </c>
      <c r="C25" s="76">
        <f t="shared" si="0"/>
        <v>6.0536871664624039</v>
      </c>
    </row>
    <row r="26" spans="1:11" x14ac:dyDescent="0.35">
      <c r="A26" s="74" t="s">
        <v>42</v>
      </c>
      <c r="B26" s="75">
        <v>0.10970000000000001</v>
      </c>
      <c r="C26" s="76">
        <f>LN(2)/B26</f>
        <v>6.3185704700086163</v>
      </c>
    </row>
    <row r="27" spans="1:11" x14ac:dyDescent="0.35">
      <c r="A27" s="74" t="s">
        <v>53</v>
      </c>
      <c r="B27" s="75">
        <v>0.1108</v>
      </c>
      <c r="C27" s="76">
        <f t="shared" ref="C27:C34" si="1">LN(2)/B27</f>
        <v>6.2558409797829002</v>
      </c>
    </row>
    <row r="28" spans="1:11" x14ac:dyDescent="0.35">
      <c r="A28" s="74" t="s">
        <v>54</v>
      </c>
      <c r="B28" s="75">
        <v>0.10970000000000001</v>
      </c>
      <c r="C28" s="76">
        <f t="shared" si="1"/>
        <v>6.3185704700086163</v>
      </c>
    </row>
    <row r="29" spans="1:11" x14ac:dyDescent="0.35">
      <c r="A29" s="74" t="s">
        <v>55</v>
      </c>
      <c r="B29" s="75">
        <v>0.1103</v>
      </c>
      <c r="C29" s="76">
        <f t="shared" si="1"/>
        <v>6.2841992797819159</v>
      </c>
    </row>
    <row r="30" spans="1:11" x14ac:dyDescent="0.35">
      <c r="A30" s="74" t="s">
        <v>56</v>
      </c>
      <c r="B30" s="75">
        <v>0.11119999999999999</v>
      </c>
      <c r="C30" s="76">
        <f t="shared" si="1"/>
        <v>6.2333379546757675</v>
      </c>
    </row>
    <row r="31" spans="1:11" x14ac:dyDescent="0.35">
      <c r="A31" s="74" t="s">
        <v>57</v>
      </c>
      <c r="B31" s="75">
        <v>3.5799999999999998E-2</v>
      </c>
      <c r="C31" s="76">
        <f t="shared" si="1"/>
        <v>19.361653088266628</v>
      </c>
    </row>
    <row r="32" spans="1:11" x14ac:dyDescent="0.35">
      <c r="A32" s="74" t="s">
        <v>58</v>
      </c>
      <c r="B32" s="75">
        <v>3.6600000000000001E-2</v>
      </c>
      <c r="C32" s="76">
        <f t="shared" si="1"/>
        <v>18.938447556282657</v>
      </c>
    </row>
    <row r="33" spans="1:14" x14ac:dyDescent="0.35">
      <c r="A33" s="74" t="s">
        <v>59</v>
      </c>
      <c r="B33" s="75">
        <v>3.6299999999999999E-2</v>
      </c>
      <c r="C33" s="76">
        <f t="shared" si="1"/>
        <v>19.094963651789126</v>
      </c>
    </row>
    <row r="34" spans="1:14" x14ac:dyDescent="0.35">
      <c r="A34" s="74" t="s">
        <v>60</v>
      </c>
      <c r="B34" s="75">
        <v>3.7499999999999999E-2</v>
      </c>
      <c r="C34" s="76">
        <f t="shared" si="1"/>
        <v>18.483924814931875</v>
      </c>
    </row>
    <row r="45" spans="1:14" x14ac:dyDescent="0.35">
      <c r="K45" s="1"/>
      <c r="L45" s="1"/>
      <c r="M45" s="1"/>
      <c r="N45" s="1"/>
    </row>
    <row r="46" spans="1:14" x14ac:dyDescent="0.35">
      <c r="K46" s="1"/>
      <c r="L46" s="1"/>
      <c r="M46" s="1"/>
      <c r="N46" s="1"/>
    </row>
    <row r="47" spans="1:14" x14ac:dyDescent="0.35">
      <c r="K47" s="67"/>
      <c r="L47" s="64"/>
      <c r="M47" s="1"/>
      <c r="N47" s="1"/>
    </row>
    <row r="48" spans="1:14" x14ac:dyDescent="0.35">
      <c r="K48" s="67"/>
      <c r="L48" s="64"/>
      <c r="M48" s="1"/>
      <c r="N48" s="1"/>
    </row>
    <row r="49" spans="11:14" x14ac:dyDescent="0.35">
      <c r="K49" s="67"/>
      <c r="L49" s="64"/>
      <c r="M49" s="1"/>
      <c r="N49" s="1"/>
    </row>
    <row r="50" spans="11:14" x14ac:dyDescent="0.35">
      <c r="K50" s="67"/>
      <c r="L50" s="64"/>
      <c r="M50" s="1"/>
      <c r="N50" s="1"/>
    </row>
    <row r="51" spans="11:14" x14ac:dyDescent="0.35">
      <c r="K51" s="67"/>
      <c r="L51" s="64"/>
      <c r="M51" s="1"/>
      <c r="N51" s="1"/>
    </row>
    <row r="52" spans="11:14" x14ac:dyDescent="0.35">
      <c r="K52" s="67"/>
      <c r="L52" s="64"/>
      <c r="M52" s="1"/>
      <c r="N52" s="1"/>
    </row>
    <row r="53" spans="11:14" x14ac:dyDescent="0.35">
      <c r="K53" s="67"/>
      <c r="L53" s="64"/>
      <c r="M53" s="1"/>
      <c r="N53" s="1"/>
    </row>
    <row r="54" spans="11:14" x14ac:dyDescent="0.35">
      <c r="K54" s="67"/>
      <c r="L54" s="64"/>
      <c r="M54" s="1"/>
      <c r="N54" s="1"/>
    </row>
    <row r="55" spans="11:14" x14ac:dyDescent="0.35">
      <c r="K55" s="67"/>
      <c r="L55" s="64"/>
      <c r="M55" s="1"/>
      <c r="N55" s="1"/>
    </row>
    <row r="56" spans="11:14" x14ac:dyDescent="0.35">
      <c r="K56" s="67"/>
      <c r="L56" s="64"/>
      <c r="M56" s="1"/>
      <c r="N56" s="1"/>
    </row>
    <row r="57" spans="11:14" x14ac:dyDescent="0.35">
      <c r="K57" s="67"/>
      <c r="L57" s="64"/>
      <c r="M57" s="1"/>
      <c r="N57" s="1"/>
    </row>
    <row r="58" spans="11:14" x14ac:dyDescent="0.35">
      <c r="K58" s="67"/>
      <c r="L58" s="64"/>
      <c r="M58" s="1"/>
      <c r="N58" s="1"/>
    </row>
    <row r="59" spans="11:14" x14ac:dyDescent="0.35">
      <c r="K59" s="67"/>
      <c r="L59" s="64"/>
      <c r="M59" s="1"/>
      <c r="N59" s="1"/>
    </row>
    <row r="60" spans="11:14" x14ac:dyDescent="0.35">
      <c r="K60" s="67"/>
      <c r="L60" s="64"/>
      <c r="M60" s="1"/>
      <c r="N60" s="1"/>
    </row>
    <row r="61" spans="11:14" x14ac:dyDescent="0.35">
      <c r="K61" s="67"/>
      <c r="L61" s="64"/>
      <c r="M61" s="1"/>
      <c r="N61" s="1"/>
    </row>
    <row r="62" spans="11:14" x14ac:dyDescent="0.35">
      <c r="K62" s="67"/>
      <c r="L62" s="64"/>
      <c r="M62" s="1"/>
      <c r="N62" s="1"/>
    </row>
    <row r="63" spans="11:14" x14ac:dyDescent="0.35">
      <c r="K63" s="67"/>
      <c r="L63" s="64"/>
      <c r="M63" s="1"/>
      <c r="N63" s="1"/>
    </row>
    <row r="64" spans="11:14" x14ac:dyDescent="0.35">
      <c r="K64" s="67"/>
      <c r="L64" s="64"/>
      <c r="M64" s="1"/>
      <c r="N64" s="1"/>
    </row>
    <row r="65" spans="11:14" x14ac:dyDescent="0.35">
      <c r="K65" s="67"/>
      <c r="L65" s="64"/>
      <c r="M65" s="1"/>
      <c r="N65" s="1"/>
    </row>
    <row r="66" spans="11:14" x14ac:dyDescent="0.35">
      <c r="K66" s="1"/>
      <c r="L66" s="1"/>
      <c r="M66" s="1"/>
      <c r="N66" s="1"/>
    </row>
    <row r="67" spans="11:14" x14ac:dyDescent="0.35">
      <c r="K67" s="1"/>
      <c r="L67" s="1"/>
      <c r="M67" s="1"/>
      <c r="N67" s="1"/>
    </row>
    <row r="68" spans="11:14" x14ac:dyDescent="0.35">
      <c r="K68" s="1"/>
      <c r="L68" s="1"/>
      <c r="M68" s="1"/>
      <c r="N68" s="1"/>
    </row>
    <row r="69" spans="11:14" x14ac:dyDescent="0.35">
      <c r="K69" s="1"/>
      <c r="L69" s="1"/>
      <c r="M69" s="1"/>
      <c r="N69" s="1"/>
    </row>
    <row r="70" spans="11:14" x14ac:dyDescent="0.35">
      <c r="K70" s="1"/>
      <c r="L70" s="1"/>
      <c r="M70" s="1"/>
      <c r="N70" s="1"/>
    </row>
    <row r="71" spans="11:14" x14ac:dyDescent="0.35">
      <c r="K71" s="1"/>
      <c r="L71" s="1"/>
      <c r="M71" s="1"/>
      <c r="N71" s="1"/>
    </row>
    <row r="72" spans="11:14" x14ac:dyDescent="0.35">
      <c r="K72" s="1"/>
      <c r="L72" s="1"/>
      <c r="M72" s="1"/>
      <c r="N72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402"/>
  <sheetViews>
    <sheetView topLeftCell="W1" zoomScale="71" zoomScaleNormal="55" workbookViewId="0">
      <selection activeCell="ED332" sqref="ED332:ES332"/>
    </sheetView>
  </sheetViews>
  <sheetFormatPr defaultRowHeight="14.5" x14ac:dyDescent="0.35"/>
  <cols>
    <col min="19" max="19" width="11.26953125" bestFit="1" customWidth="1"/>
  </cols>
  <sheetData>
    <row r="1" spans="1:149" x14ac:dyDescent="0.35">
      <c r="A1" s="77" t="s">
        <v>68</v>
      </c>
      <c r="B1" s="77" t="s">
        <v>67</v>
      </c>
      <c r="C1" s="77" t="s">
        <v>22</v>
      </c>
      <c r="D1" s="77" t="s">
        <v>6</v>
      </c>
      <c r="E1" s="77" t="s">
        <v>7</v>
      </c>
      <c r="F1" s="77" t="s">
        <v>8</v>
      </c>
      <c r="G1" s="77" t="s">
        <v>1</v>
      </c>
      <c r="H1" s="77" t="s">
        <v>0</v>
      </c>
      <c r="I1" s="77" t="s">
        <v>23</v>
      </c>
      <c r="J1" s="77" t="s">
        <v>2</v>
      </c>
      <c r="K1" s="77" t="s">
        <v>50</v>
      </c>
      <c r="L1" s="77" t="s">
        <v>3</v>
      </c>
      <c r="M1" s="77" t="s">
        <v>4</v>
      </c>
      <c r="N1" s="77" t="s">
        <v>5</v>
      </c>
      <c r="O1" s="77" t="s">
        <v>51</v>
      </c>
      <c r="P1" s="77" t="s">
        <v>9</v>
      </c>
      <c r="Q1" s="77" t="s">
        <v>52</v>
      </c>
      <c r="R1" s="77" t="s">
        <v>11</v>
      </c>
      <c r="S1" t="s">
        <v>49</v>
      </c>
      <c r="T1" t="s">
        <v>67</v>
      </c>
      <c r="U1" t="s">
        <v>22</v>
      </c>
      <c r="V1" t="s">
        <v>6</v>
      </c>
      <c r="W1" t="s">
        <v>7</v>
      </c>
      <c r="X1" t="s">
        <v>8</v>
      </c>
      <c r="Y1" t="s">
        <v>1</v>
      </c>
      <c r="Z1" t="s">
        <v>0</v>
      </c>
      <c r="AA1" t="s">
        <v>23</v>
      </c>
      <c r="AB1" t="s">
        <v>2</v>
      </c>
      <c r="AC1" t="s">
        <v>50</v>
      </c>
      <c r="AD1" t="s">
        <v>3</v>
      </c>
      <c r="AE1" t="s">
        <v>4</v>
      </c>
      <c r="AF1" t="s">
        <v>5</v>
      </c>
      <c r="AG1" t="s">
        <v>51</v>
      </c>
      <c r="AH1" t="s">
        <v>9</v>
      </c>
      <c r="AI1" t="s">
        <v>52</v>
      </c>
      <c r="AJ1" t="s">
        <v>11</v>
      </c>
      <c r="EB1" t="s">
        <v>49</v>
      </c>
      <c r="EC1" t="s">
        <v>67</v>
      </c>
      <c r="ED1" t="s">
        <v>22</v>
      </c>
      <c r="EE1" t="s">
        <v>6</v>
      </c>
      <c r="EF1" t="s">
        <v>7</v>
      </c>
      <c r="EG1" t="s">
        <v>8</v>
      </c>
      <c r="EH1" t="s">
        <v>1</v>
      </c>
      <c r="EI1" t="s">
        <v>0</v>
      </c>
      <c r="EJ1" t="s">
        <v>23</v>
      </c>
      <c r="EK1" t="s">
        <v>2</v>
      </c>
      <c r="EL1" t="s">
        <v>50</v>
      </c>
      <c r="EM1" t="s">
        <v>3</v>
      </c>
      <c r="EN1" t="s">
        <v>4</v>
      </c>
      <c r="EO1" t="s">
        <v>5</v>
      </c>
      <c r="EP1" t="s">
        <v>51</v>
      </c>
      <c r="EQ1" t="s">
        <v>9</v>
      </c>
      <c r="ER1" t="s">
        <v>52</v>
      </c>
      <c r="ES1" t="s">
        <v>11</v>
      </c>
    </row>
    <row r="2" spans="1:149" x14ac:dyDescent="0.35">
      <c r="A2" s="77"/>
      <c r="B2" s="77">
        <v>400</v>
      </c>
      <c r="C2" s="77">
        <v>0.61833000000000005</v>
      </c>
      <c r="D2" s="77">
        <v>0.44479000000000002</v>
      </c>
      <c r="E2" s="77">
        <v>0.67635999999999996</v>
      </c>
      <c r="F2" s="77">
        <v>0.51683000000000001</v>
      </c>
      <c r="G2" s="77">
        <v>0.55003000000000002</v>
      </c>
      <c r="H2" s="77">
        <v>0.53569</v>
      </c>
      <c r="I2" s="77">
        <v>0.55710999999999999</v>
      </c>
      <c r="J2" s="77">
        <v>0.50749</v>
      </c>
      <c r="K2" s="77">
        <v>0.57186999999999999</v>
      </c>
      <c r="L2" s="77">
        <v>0.56113000000000002</v>
      </c>
      <c r="M2" s="77">
        <v>0.58479000000000003</v>
      </c>
      <c r="N2" s="77">
        <v>0.59294000000000002</v>
      </c>
      <c r="O2" s="77">
        <v>0.51566000000000001</v>
      </c>
      <c r="P2" s="77">
        <v>0.49297999999999997</v>
      </c>
      <c r="Q2" s="77">
        <v>0.47432000000000002</v>
      </c>
      <c r="R2" s="77">
        <v>0.52700999999999998</v>
      </c>
      <c r="T2">
        <v>400</v>
      </c>
      <c r="U2">
        <f>C2*2</f>
        <v>1.2366600000000001</v>
      </c>
      <c r="V2">
        <f>D2*2</f>
        <v>0.88958000000000004</v>
      </c>
      <c r="W2">
        <f>E2*2</f>
        <v>1.3527199999999999</v>
      </c>
      <c r="X2">
        <f>F2*2</f>
        <v>1.03366</v>
      </c>
      <c r="Y2">
        <f>G2*2</f>
        <v>1.10006</v>
      </c>
      <c r="Z2">
        <f>H2*2</f>
        <v>1.07138</v>
      </c>
      <c r="AA2">
        <f>I2*2</f>
        <v>1.11422</v>
      </c>
      <c r="AB2">
        <f>J2*2</f>
        <v>1.01498</v>
      </c>
      <c r="AC2">
        <f>K2*2</f>
        <v>1.14374</v>
      </c>
      <c r="AD2">
        <f>L2*2</f>
        <v>1.12226</v>
      </c>
      <c r="AE2">
        <f>M2*2</f>
        <v>1.1695800000000001</v>
      </c>
      <c r="AF2">
        <f>N2*2</f>
        <v>1.18588</v>
      </c>
      <c r="AG2">
        <f>O2*2</f>
        <v>1.03132</v>
      </c>
      <c r="AH2">
        <f>P2*2</f>
        <v>0.98595999999999995</v>
      </c>
      <c r="AI2">
        <f>Q2*2</f>
        <v>0.94864000000000004</v>
      </c>
      <c r="AJ2">
        <f>R2*2</f>
        <v>1.05402</v>
      </c>
      <c r="EC2">
        <v>400</v>
      </c>
      <c r="ED2">
        <v>1.2366600000000001</v>
      </c>
      <c r="EE2">
        <v>0.88958000000000004</v>
      </c>
      <c r="EF2">
        <v>1.3527199999999999</v>
      </c>
      <c r="EG2">
        <v>1.03366</v>
      </c>
      <c r="EH2">
        <v>1.10006</v>
      </c>
      <c r="EI2">
        <v>1.07138</v>
      </c>
      <c r="EJ2">
        <v>1.11422</v>
      </c>
      <c r="EK2">
        <v>1.01498</v>
      </c>
      <c r="EL2">
        <v>1.14374</v>
      </c>
      <c r="EM2">
        <v>1.12226</v>
      </c>
      <c r="EN2">
        <v>1.1695800000000001</v>
      </c>
      <c r="EO2">
        <v>1.18588</v>
      </c>
      <c r="EP2">
        <v>1.03132</v>
      </c>
      <c r="EQ2">
        <v>0.98595999999999995</v>
      </c>
      <c r="ER2">
        <v>0.94864000000000004</v>
      </c>
      <c r="ES2">
        <v>1.05402</v>
      </c>
    </row>
    <row r="3" spans="1:149" x14ac:dyDescent="0.35">
      <c r="A3" s="77"/>
      <c r="B3" s="77">
        <v>401</v>
      </c>
      <c r="C3" s="77">
        <v>0.61883999999999995</v>
      </c>
      <c r="D3" s="77">
        <v>0.44547999999999999</v>
      </c>
      <c r="E3" s="77">
        <v>0.67701999999999996</v>
      </c>
      <c r="F3" s="77">
        <v>0.51737999999999995</v>
      </c>
      <c r="G3" s="77">
        <v>0.55035000000000001</v>
      </c>
      <c r="H3" s="77">
        <v>0.53571000000000002</v>
      </c>
      <c r="I3" s="77">
        <v>0.55747999999999998</v>
      </c>
      <c r="J3" s="77">
        <v>0.50783999999999996</v>
      </c>
      <c r="K3" s="77">
        <v>0.57252999999999998</v>
      </c>
      <c r="L3" s="77">
        <v>0.56189</v>
      </c>
      <c r="M3" s="77">
        <v>0.58494999999999997</v>
      </c>
      <c r="N3" s="77">
        <v>0.59336999999999995</v>
      </c>
      <c r="O3" s="77">
        <v>0.51576</v>
      </c>
      <c r="P3" s="77">
        <v>0.49295</v>
      </c>
      <c r="Q3" s="77">
        <v>0.47466999999999998</v>
      </c>
      <c r="R3" s="77">
        <v>0.52722000000000002</v>
      </c>
      <c r="T3">
        <v>401</v>
      </c>
      <c r="U3">
        <f t="shared" ref="U3:U66" si="0">C3*2</f>
        <v>1.2376799999999999</v>
      </c>
      <c r="V3">
        <f t="shared" ref="V3:V66" si="1">D3*2</f>
        <v>0.89095999999999997</v>
      </c>
      <c r="W3">
        <f t="shared" ref="W3:W66" si="2">E3*2</f>
        <v>1.3540399999999999</v>
      </c>
      <c r="X3">
        <f t="shared" ref="X3:X66" si="3">F3*2</f>
        <v>1.0347599999999999</v>
      </c>
      <c r="Y3">
        <f t="shared" ref="Y3:Y66" si="4">G3*2</f>
        <v>1.1007</v>
      </c>
      <c r="Z3">
        <f t="shared" ref="Z3:Z66" si="5">H3*2</f>
        <v>1.07142</v>
      </c>
      <c r="AA3">
        <f t="shared" ref="AA3:AA66" si="6">I3*2</f>
        <v>1.11496</v>
      </c>
      <c r="AB3">
        <f t="shared" ref="AB3:AB66" si="7">J3*2</f>
        <v>1.0156799999999999</v>
      </c>
      <c r="AC3">
        <f t="shared" ref="AC3:AC66" si="8">K3*2</f>
        <v>1.14506</v>
      </c>
      <c r="AD3">
        <f t="shared" ref="AD3:AD66" si="9">L3*2</f>
        <v>1.12378</v>
      </c>
      <c r="AE3">
        <f t="shared" ref="AE3:AE66" si="10">M3*2</f>
        <v>1.1698999999999999</v>
      </c>
      <c r="AF3">
        <f t="shared" ref="AF3:AF66" si="11">N3*2</f>
        <v>1.1867399999999999</v>
      </c>
      <c r="AG3">
        <f t="shared" ref="AG3:AG66" si="12">O3*2</f>
        <v>1.03152</v>
      </c>
      <c r="AH3">
        <f t="shared" ref="AH3:AH66" si="13">P3*2</f>
        <v>0.9859</v>
      </c>
      <c r="AI3">
        <f t="shared" ref="AI3:AI66" si="14">Q3*2</f>
        <v>0.94933999999999996</v>
      </c>
      <c r="AJ3">
        <f t="shared" ref="AJ3:AJ66" si="15">R3*2</f>
        <v>1.05444</v>
      </c>
      <c r="EC3">
        <v>401</v>
      </c>
      <c r="ED3">
        <v>1.2376799999999999</v>
      </c>
      <c r="EE3">
        <v>0.89095999999999997</v>
      </c>
      <c r="EF3">
        <v>1.3540399999999999</v>
      </c>
      <c r="EG3">
        <v>1.0347599999999999</v>
      </c>
      <c r="EH3">
        <v>1.1007</v>
      </c>
      <c r="EI3">
        <v>1.07142</v>
      </c>
      <c r="EJ3">
        <v>1.11496</v>
      </c>
      <c r="EK3">
        <v>1.0156799999999999</v>
      </c>
      <c r="EL3">
        <v>1.14506</v>
      </c>
      <c r="EM3">
        <v>1.12378</v>
      </c>
      <c r="EN3">
        <v>1.1698999999999999</v>
      </c>
      <c r="EO3">
        <v>1.1867399999999999</v>
      </c>
      <c r="EP3">
        <v>1.03152</v>
      </c>
      <c r="EQ3">
        <v>0.9859</v>
      </c>
      <c r="ER3">
        <v>0.94933999999999996</v>
      </c>
      <c r="ES3">
        <v>1.05444</v>
      </c>
    </row>
    <row r="4" spans="1:149" x14ac:dyDescent="0.35">
      <c r="A4" s="77"/>
      <c r="B4" s="77">
        <v>402</v>
      </c>
      <c r="C4" s="77">
        <v>0.61939999999999995</v>
      </c>
      <c r="D4" s="77">
        <v>0.44562000000000002</v>
      </c>
      <c r="E4" s="77">
        <v>0.67783000000000004</v>
      </c>
      <c r="F4" s="77">
        <v>0.51778000000000002</v>
      </c>
      <c r="G4" s="77">
        <v>0.55106999999999995</v>
      </c>
      <c r="H4" s="77">
        <v>0.53622000000000003</v>
      </c>
      <c r="I4" s="77">
        <v>0.55825999999999998</v>
      </c>
      <c r="J4" s="77">
        <v>0.50831999999999999</v>
      </c>
      <c r="K4" s="77">
        <v>0.57352999999999998</v>
      </c>
      <c r="L4" s="77">
        <v>0.56264999999999998</v>
      </c>
      <c r="M4" s="77">
        <v>0.58574000000000004</v>
      </c>
      <c r="N4" s="77">
        <v>0.59401999999999999</v>
      </c>
      <c r="O4" s="77">
        <v>0.51583999999999997</v>
      </c>
      <c r="P4" s="77">
        <v>0.49324000000000001</v>
      </c>
      <c r="Q4" s="77">
        <v>0.47466999999999998</v>
      </c>
      <c r="R4" s="77">
        <v>0.52759999999999996</v>
      </c>
      <c r="T4">
        <v>402</v>
      </c>
      <c r="U4">
        <f t="shared" si="0"/>
        <v>1.2387999999999999</v>
      </c>
      <c r="V4">
        <f t="shared" si="1"/>
        <v>0.89124000000000003</v>
      </c>
      <c r="W4">
        <f t="shared" si="2"/>
        <v>1.3556600000000001</v>
      </c>
      <c r="X4">
        <f t="shared" si="3"/>
        <v>1.03556</v>
      </c>
      <c r="Y4">
        <f t="shared" si="4"/>
        <v>1.1021399999999999</v>
      </c>
      <c r="Z4">
        <f t="shared" si="5"/>
        <v>1.0724400000000001</v>
      </c>
      <c r="AA4">
        <f t="shared" si="6"/>
        <v>1.11652</v>
      </c>
      <c r="AB4">
        <f t="shared" si="7"/>
        <v>1.01664</v>
      </c>
      <c r="AC4">
        <f t="shared" si="8"/>
        <v>1.14706</v>
      </c>
      <c r="AD4">
        <f t="shared" si="9"/>
        <v>1.1253</v>
      </c>
      <c r="AE4">
        <f t="shared" si="10"/>
        <v>1.1714800000000001</v>
      </c>
      <c r="AF4">
        <f t="shared" si="11"/>
        <v>1.18804</v>
      </c>
      <c r="AG4">
        <f t="shared" si="12"/>
        <v>1.0316799999999999</v>
      </c>
      <c r="AH4">
        <f t="shared" si="13"/>
        <v>0.98648000000000002</v>
      </c>
      <c r="AI4">
        <f t="shared" si="14"/>
        <v>0.94933999999999996</v>
      </c>
      <c r="AJ4">
        <f t="shared" si="15"/>
        <v>1.0551999999999999</v>
      </c>
      <c r="EC4">
        <v>402</v>
      </c>
      <c r="ED4">
        <v>1.2387999999999999</v>
      </c>
      <c r="EE4">
        <v>0.89124000000000003</v>
      </c>
      <c r="EF4">
        <v>1.3556600000000001</v>
      </c>
      <c r="EG4">
        <v>1.03556</v>
      </c>
      <c r="EH4">
        <v>1.1021399999999999</v>
      </c>
      <c r="EI4">
        <v>1.0724400000000001</v>
      </c>
      <c r="EJ4">
        <v>1.11652</v>
      </c>
      <c r="EK4">
        <v>1.01664</v>
      </c>
      <c r="EL4">
        <v>1.14706</v>
      </c>
      <c r="EM4">
        <v>1.1253</v>
      </c>
      <c r="EN4">
        <v>1.1714800000000001</v>
      </c>
      <c r="EO4">
        <v>1.18804</v>
      </c>
      <c r="EP4">
        <v>1.0316799999999999</v>
      </c>
      <c r="EQ4">
        <v>0.98648000000000002</v>
      </c>
      <c r="ER4">
        <v>0.94933999999999996</v>
      </c>
      <c r="ES4">
        <v>1.0551999999999999</v>
      </c>
    </row>
    <row r="5" spans="1:149" x14ac:dyDescent="0.35">
      <c r="A5" s="77"/>
      <c r="B5" s="77">
        <v>403</v>
      </c>
      <c r="C5" s="77">
        <v>0.62026999999999999</v>
      </c>
      <c r="D5" s="77">
        <v>0.44606000000000001</v>
      </c>
      <c r="E5" s="77">
        <v>0.67910999999999999</v>
      </c>
      <c r="F5" s="77">
        <v>0.51868999999999998</v>
      </c>
      <c r="G5" s="77">
        <v>0.55137999999999998</v>
      </c>
      <c r="H5" s="77">
        <v>0.53698999999999997</v>
      </c>
      <c r="I5" s="77">
        <v>0.55886999999999998</v>
      </c>
      <c r="J5" s="77">
        <v>0.50875999999999999</v>
      </c>
      <c r="K5" s="77">
        <v>0.57384000000000002</v>
      </c>
      <c r="L5" s="77">
        <v>0.56337000000000004</v>
      </c>
      <c r="M5" s="77">
        <v>0.58638000000000001</v>
      </c>
      <c r="N5" s="77">
        <v>0.59477000000000002</v>
      </c>
      <c r="O5" s="77">
        <v>0.51627999999999996</v>
      </c>
      <c r="P5" s="77">
        <v>0.49374000000000001</v>
      </c>
      <c r="Q5" s="77">
        <v>0.47510000000000002</v>
      </c>
      <c r="R5" s="77">
        <v>0.52759999999999996</v>
      </c>
      <c r="T5">
        <v>403</v>
      </c>
      <c r="U5">
        <f t="shared" si="0"/>
        <v>1.24054</v>
      </c>
      <c r="V5">
        <f t="shared" si="1"/>
        <v>0.89212000000000002</v>
      </c>
      <c r="W5">
        <f t="shared" si="2"/>
        <v>1.35822</v>
      </c>
      <c r="X5">
        <f t="shared" si="3"/>
        <v>1.03738</v>
      </c>
      <c r="Y5">
        <f t="shared" si="4"/>
        <v>1.10276</v>
      </c>
      <c r="Z5">
        <f t="shared" si="5"/>
        <v>1.0739799999999999</v>
      </c>
      <c r="AA5">
        <f t="shared" si="6"/>
        <v>1.11774</v>
      </c>
      <c r="AB5">
        <f t="shared" si="7"/>
        <v>1.01752</v>
      </c>
      <c r="AC5">
        <f t="shared" si="8"/>
        <v>1.14768</v>
      </c>
      <c r="AD5">
        <f t="shared" si="9"/>
        <v>1.1267400000000001</v>
      </c>
      <c r="AE5">
        <f t="shared" si="10"/>
        <v>1.17276</v>
      </c>
      <c r="AF5">
        <f t="shared" si="11"/>
        <v>1.18954</v>
      </c>
      <c r="AG5">
        <f t="shared" si="12"/>
        <v>1.0325599999999999</v>
      </c>
      <c r="AH5">
        <f t="shared" si="13"/>
        <v>0.98748000000000002</v>
      </c>
      <c r="AI5">
        <f t="shared" si="14"/>
        <v>0.95020000000000004</v>
      </c>
      <c r="AJ5">
        <f t="shared" si="15"/>
        <v>1.0551999999999999</v>
      </c>
      <c r="EC5">
        <v>403</v>
      </c>
      <c r="ED5">
        <v>1.24054</v>
      </c>
      <c r="EE5">
        <v>0.89212000000000002</v>
      </c>
      <c r="EF5">
        <v>1.35822</v>
      </c>
      <c r="EG5">
        <v>1.03738</v>
      </c>
      <c r="EH5">
        <v>1.10276</v>
      </c>
      <c r="EI5">
        <v>1.0739799999999999</v>
      </c>
      <c r="EJ5">
        <v>1.11774</v>
      </c>
      <c r="EK5">
        <v>1.01752</v>
      </c>
      <c r="EL5">
        <v>1.14768</v>
      </c>
      <c r="EM5">
        <v>1.1267400000000001</v>
      </c>
      <c r="EN5">
        <v>1.17276</v>
      </c>
      <c r="EO5">
        <v>1.18954</v>
      </c>
      <c r="EP5">
        <v>1.0325599999999999</v>
      </c>
      <c r="EQ5">
        <v>0.98748000000000002</v>
      </c>
      <c r="ER5">
        <v>0.95020000000000004</v>
      </c>
      <c r="ES5">
        <v>1.0551999999999999</v>
      </c>
    </row>
    <row r="6" spans="1:149" x14ac:dyDescent="0.35">
      <c r="A6" s="77"/>
      <c r="B6" s="77">
        <v>404</v>
      </c>
      <c r="C6" s="77">
        <v>0.62090999999999996</v>
      </c>
      <c r="D6" s="77">
        <v>0.44662000000000002</v>
      </c>
      <c r="E6" s="77">
        <v>0.68001</v>
      </c>
      <c r="F6" s="77">
        <v>0.51920999999999995</v>
      </c>
      <c r="G6" s="77">
        <v>0.55213999999999996</v>
      </c>
      <c r="H6" s="77">
        <v>0.53776999999999997</v>
      </c>
      <c r="I6" s="77">
        <v>0.55976999999999999</v>
      </c>
      <c r="J6" s="77">
        <v>0.50943000000000005</v>
      </c>
      <c r="K6" s="77">
        <v>0.57509999999999994</v>
      </c>
      <c r="L6" s="77">
        <v>0.56398000000000004</v>
      </c>
      <c r="M6" s="77">
        <v>0.58740000000000003</v>
      </c>
      <c r="N6" s="77">
        <v>0.59575999999999996</v>
      </c>
      <c r="O6" s="77">
        <v>0.51663000000000003</v>
      </c>
      <c r="P6" s="77">
        <v>0.49337999999999999</v>
      </c>
      <c r="Q6" s="77">
        <v>0.47494999999999998</v>
      </c>
      <c r="R6" s="77">
        <v>0.52788000000000002</v>
      </c>
      <c r="T6">
        <v>404</v>
      </c>
      <c r="U6">
        <f t="shared" si="0"/>
        <v>1.2418199999999999</v>
      </c>
      <c r="V6">
        <f t="shared" si="1"/>
        <v>0.89324000000000003</v>
      </c>
      <c r="W6">
        <f t="shared" si="2"/>
        <v>1.36002</v>
      </c>
      <c r="X6">
        <f t="shared" si="3"/>
        <v>1.0384199999999999</v>
      </c>
      <c r="Y6">
        <f t="shared" si="4"/>
        <v>1.1042799999999999</v>
      </c>
      <c r="Z6">
        <f t="shared" si="5"/>
        <v>1.0755399999999999</v>
      </c>
      <c r="AA6">
        <f t="shared" si="6"/>
        <v>1.11954</v>
      </c>
      <c r="AB6">
        <f t="shared" si="7"/>
        <v>1.0188600000000001</v>
      </c>
      <c r="AC6">
        <f t="shared" si="8"/>
        <v>1.1501999999999999</v>
      </c>
      <c r="AD6">
        <f t="shared" si="9"/>
        <v>1.1279600000000001</v>
      </c>
      <c r="AE6">
        <f t="shared" si="10"/>
        <v>1.1748000000000001</v>
      </c>
      <c r="AF6">
        <f t="shared" si="11"/>
        <v>1.1915199999999999</v>
      </c>
      <c r="AG6">
        <f t="shared" si="12"/>
        <v>1.0332600000000001</v>
      </c>
      <c r="AH6">
        <f t="shared" si="13"/>
        <v>0.98675999999999997</v>
      </c>
      <c r="AI6">
        <f t="shared" si="14"/>
        <v>0.94989999999999997</v>
      </c>
      <c r="AJ6">
        <f t="shared" si="15"/>
        <v>1.05576</v>
      </c>
      <c r="EC6">
        <v>404</v>
      </c>
      <c r="ED6">
        <v>1.2418199999999999</v>
      </c>
      <c r="EE6">
        <v>0.89324000000000003</v>
      </c>
      <c r="EF6">
        <v>1.36002</v>
      </c>
      <c r="EG6">
        <v>1.0384199999999999</v>
      </c>
      <c r="EH6">
        <v>1.1042799999999999</v>
      </c>
      <c r="EI6">
        <v>1.0755399999999999</v>
      </c>
      <c r="EJ6">
        <v>1.11954</v>
      </c>
      <c r="EK6">
        <v>1.0188600000000001</v>
      </c>
      <c r="EL6">
        <v>1.1501999999999999</v>
      </c>
      <c r="EM6">
        <v>1.1279600000000001</v>
      </c>
      <c r="EN6">
        <v>1.1748000000000001</v>
      </c>
      <c r="EO6">
        <v>1.1915199999999999</v>
      </c>
      <c r="EP6">
        <v>1.0332600000000001</v>
      </c>
      <c r="EQ6">
        <v>0.98675999999999997</v>
      </c>
      <c r="ER6">
        <v>0.94989999999999997</v>
      </c>
      <c r="ES6">
        <v>1.05576</v>
      </c>
    </row>
    <row r="7" spans="1:149" x14ac:dyDescent="0.35">
      <c r="A7" s="77"/>
      <c r="B7" s="77">
        <v>405</v>
      </c>
      <c r="C7" s="77">
        <v>0.62234</v>
      </c>
      <c r="D7" s="77">
        <v>0.44739000000000001</v>
      </c>
      <c r="E7" s="77">
        <v>0.68154999999999999</v>
      </c>
      <c r="F7" s="77">
        <v>0.52015999999999996</v>
      </c>
      <c r="G7" s="77">
        <v>0.55293000000000003</v>
      </c>
      <c r="H7" s="77">
        <v>0.53835999999999995</v>
      </c>
      <c r="I7" s="77">
        <v>0.56064000000000003</v>
      </c>
      <c r="J7" s="77">
        <v>0.51002999999999998</v>
      </c>
      <c r="K7" s="77">
        <v>0.57560999999999996</v>
      </c>
      <c r="L7" s="77">
        <v>0.56479999999999997</v>
      </c>
      <c r="M7" s="77">
        <v>0.58816999999999997</v>
      </c>
      <c r="N7" s="77">
        <v>0.59665999999999997</v>
      </c>
      <c r="O7" s="77">
        <v>0.51700999999999997</v>
      </c>
      <c r="P7" s="77">
        <v>0.49374000000000001</v>
      </c>
      <c r="Q7" s="77">
        <v>0.47499000000000002</v>
      </c>
      <c r="R7" s="77">
        <v>0.52832000000000001</v>
      </c>
      <c r="T7">
        <v>405</v>
      </c>
      <c r="U7">
        <f t="shared" si="0"/>
        <v>1.24468</v>
      </c>
      <c r="V7">
        <f t="shared" si="1"/>
        <v>0.89478000000000002</v>
      </c>
      <c r="W7">
        <f t="shared" si="2"/>
        <v>1.3631</v>
      </c>
      <c r="X7">
        <f t="shared" si="3"/>
        <v>1.0403199999999999</v>
      </c>
      <c r="Y7">
        <f t="shared" si="4"/>
        <v>1.1058600000000001</v>
      </c>
      <c r="Z7">
        <f t="shared" si="5"/>
        <v>1.0767199999999999</v>
      </c>
      <c r="AA7">
        <f t="shared" si="6"/>
        <v>1.1212800000000001</v>
      </c>
      <c r="AB7">
        <f t="shared" si="7"/>
        <v>1.02006</v>
      </c>
      <c r="AC7">
        <f t="shared" si="8"/>
        <v>1.1512199999999999</v>
      </c>
      <c r="AD7">
        <f t="shared" si="9"/>
        <v>1.1295999999999999</v>
      </c>
      <c r="AE7">
        <f t="shared" si="10"/>
        <v>1.1763399999999999</v>
      </c>
      <c r="AF7">
        <f t="shared" si="11"/>
        <v>1.1933199999999999</v>
      </c>
      <c r="AG7">
        <f t="shared" si="12"/>
        <v>1.0340199999999999</v>
      </c>
      <c r="AH7">
        <f t="shared" si="13"/>
        <v>0.98748000000000002</v>
      </c>
      <c r="AI7">
        <f t="shared" si="14"/>
        <v>0.94998000000000005</v>
      </c>
      <c r="AJ7">
        <f t="shared" si="15"/>
        <v>1.05664</v>
      </c>
      <c r="EC7">
        <v>405</v>
      </c>
      <c r="ED7">
        <v>1.24468</v>
      </c>
      <c r="EE7">
        <v>0.89478000000000002</v>
      </c>
      <c r="EF7">
        <v>1.3631</v>
      </c>
      <c r="EG7">
        <v>1.0403199999999999</v>
      </c>
      <c r="EH7">
        <v>1.1058600000000001</v>
      </c>
      <c r="EI7">
        <v>1.0767199999999999</v>
      </c>
      <c r="EJ7">
        <v>1.1212800000000001</v>
      </c>
      <c r="EK7">
        <v>1.02006</v>
      </c>
      <c r="EL7">
        <v>1.1512199999999999</v>
      </c>
      <c r="EM7">
        <v>1.1295999999999999</v>
      </c>
      <c r="EN7">
        <v>1.1763399999999999</v>
      </c>
      <c r="EO7">
        <v>1.1933199999999999</v>
      </c>
      <c r="EP7">
        <v>1.0340199999999999</v>
      </c>
      <c r="EQ7">
        <v>0.98748000000000002</v>
      </c>
      <c r="ER7">
        <v>0.94998000000000005</v>
      </c>
      <c r="ES7">
        <v>1.05664</v>
      </c>
    </row>
    <row r="8" spans="1:149" x14ac:dyDescent="0.35">
      <c r="A8" s="77"/>
      <c r="B8" s="77">
        <v>406</v>
      </c>
      <c r="C8" s="77">
        <v>0.62378</v>
      </c>
      <c r="D8" s="77">
        <v>0.44844000000000001</v>
      </c>
      <c r="E8" s="77">
        <v>0.68352999999999997</v>
      </c>
      <c r="F8" s="77">
        <v>0.52159</v>
      </c>
      <c r="G8" s="77">
        <v>0.55379999999999996</v>
      </c>
      <c r="H8" s="77">
        <v>0.53939999999999999</v>
      </c>
      <c r="I8" s="77">
        <v>0.56169000000000002</v>
      </c>
      <c r="J8" s="77">
        <v>0.51076999999999995</v>
      </c>
      <c r="K8" s="77">
        <v>0.57682999999999995</v>
      </c>
      <c r="L8" s="77">
        <v>0.56586999999999998</v>
      </c>
      <c r="M8" s="77">
        <v>0.58942000000000005</v>
      </c>
      <c r="N8" s="77">
        <v>0.59772999999999998</v>
      </c>
      <c r="O8" s="77">
        <v>0.51726000000000005</v>
      </c>
      <c r="P8" s="77">
        <v>0.49403000000000002</v>
      </c>
      <c r="Q8" s="77">
        <v>0.47577999999999998</v>
      </c>
      <c r="R8" s="77">
        <v>0.52861000000000002</v>
      </c>
      <c r="T8">
        <v>406</v>
      </c>
      <c r="U8">
        <f t="shared" si="0"/>
        <v>1.24756</v>
      </c>
      <c r="V8">
        <f t="shared" si="1"/>
        <v>0.89688000000000001</v>
      </c>
      <c r="W8">
        <f t="shared" si="2"/>
        <v>1.3670599999999999</v>
      </c>
      <c r="X8">
        <f t="shared" si="3"/>
        <v>1.04318</v>
      </c>
      <c r="Y8">
        <f t="shared" si="4"/>
        <v>1.1075999999999999</v>
      </c>
      <c r="Z8">
        <f t="shared" si="5"/>
        <v>1.0788</v>
      </c>
      <c r="AA8">
        <f t="shared" si="6"/>
        <v>1.12338</v>
      </c>
      <c r="AB8">
        <f t="shared" si="7"/>
        <v>1.0215399999999999</v>
      </c>
      <c r="AC8">
        <f t="shared" si="8"/>
        <v>1.1536599999999999</v>
      </c>
      <c r="AD8">
        <f t="shared" si="9"/>
        <v>1.13174</v>
      </c>
      <c r="AE8">
        <f t="shared" si="10"/>
        <v>1.1788400000000001</v>
      </c>
      <c r="AF8">
        <f t="shared" si="11"/>
        <v>1.19546</v>
      </c>
      <c r="AG8">
        <f t="shared" si="12"/>
        <v>1.0345200000000001</v>
      </c>
      <c r="AH8">
        <f t="shared" si="13"/>
        <v>0.98806000000000005</v>
      </c>
      <c r="AI8">
        <f t="shared" si="14"/>
        <v>0.95155999999999996</v>
      </c>
      <c r="AJ8">
        <f t="shared" si="15"/>
        <v>1.05722</v>
      </c>
      <c r="EC8">
        <v>406</v>
      </c>
      <c r="ED8">
        <v>1.24756</v>
      </c>
      <c r="EE8">
        <v>0.89688000000000001</v>
      </c>
      <c r="EF8">
        <v>1.3670599999999999</v>
      </c>
      <c r="EG8">
        <v>1.04318</v>
      </c>
      <c r="EH8">
        <v>1.1075999999999999</v>
      </c>
      <c r="EI8">
        <v>1.0788</v>
      </c>
      <c r="EJ8">
        <v>1.12338</v>
      </c>
      <c r="EK8">
        <v>1.0215399999999999</v>
      </c>
      <c r="EL8">
        <v>1.1536599999999999</v>
      </c>
      <c r="EM8">
        <v>1.13174</v>
      </c>
      <c r="EN8">
        <v>1.1788400000000001</v>
      </c>
      <c r="EO8">
        <v>1.19546</v>
      </c>
      <c r="EP8">
        <v>1.0345200000000001</v>
      </c>
      <c r="EQ8">
        <v>0.98806000000000005</v>
      </c>
      <c r="ER8">
        <v>0.95155999999999996</v>
      </c>
      <c r="ES8">
        <v>1.05722</v>
      </c>
    </row>
    <row r="9" spans="1:149" x14ac:dyDescent="0.35">
      <c r="A9" s="77"/>
      <c r="B9" s="77">
        <v>407</v>
      </c>
      <c r="C9" s="77">
        <v>0.62546000000000002</v>
      </c>
      <c r="D9" s="77">
        <v>0.44962000000000002</v>
      </c>
      <c r="E9" s="77">
        <v>0.68549000000000004</v>
      </c>
      <c r="F9" s="77">
        <v>0.52298</v>
      </c>
      <c r="G9" s="77">
        <v>0.55515000000000003</v>
      </c>
      <c r="H9" s="77">
        <v>0.54085000000000005</v>
      </c>
      <c r="I9" s="77">
        <v>0.56320000000000003</v>
      </c>
      <c r="J9" s="77">
        <v>0.51227</v>
      </c>
      <c r="K9" s="77">
        <v>0.57830999999999999</v>
      </c>
      <c r="L9" s="77">
        <v>0.56730999999999998</v>
      </c>
      <c r="M9" s="77">
        <v>0.59103000000000006</v>
      </c>
      <c r="N9" s="77">
        <v>0.59952000000000005</v>
      </c>
      <c r="O9" s="77">
        <v>0.51802000000000004</v>
      </c>
      <c r="P9" s="77">
        <v>0.49490000000000001</v>
      </c>
      <c r="Q9" s="77">
        <v>0.47605999999999998</v>
      </c>
      <c r="R9" s="77">
        <v>0.52915999999999996</v>
      </c>
      <c r="T9">
        <v>407</v>
      </c>
      <c r="U9">
        <f t="shared" si="0"/>
        <v>1.25092</v>
      </c>
      <c r="V9">
        <f t="shared" si="1"/>
        <v>0.89924000000000004</v>
      </c>
      <c r="W9">
        <f t="shared" si="2"/>
        <v>1.3709800000000001</v>
      </c>
      <c r="X9">
        <f t="shared" si="3"/>
        <v>1.04596</v>
      </c>
      <c r="Y9">
        <f t="shared" si="4"/>
        <v>1.1103000000000001</v>
      </c>
      <c r="Z9">
        <f t="shared" si="5"/>
        <v>1.0817000000000001</v>
      </c>
      <c r="AA9">
        <f t="shared" si="6"/>
        <v>1.1264000000000001</v>
      </c>
      <c r="AB9">
        <f t="shared" si="7"/>
        <v>1.02454</v>
      </c>
      <c r="AC9">
        <f t="shared" si="8"/>
        <v>1.15662</v>
      </c>
      <c r="AD9">
        <f t="shared" si="9"/>
        <v>1.13462</v>
      </c>
      <c r="AE9">
        <f t="shared" si="10"/>
        <v>1.1820600000000001</v>
      </c>
      <c r="AF9">
        <f t="shared" si="11"/>
        <v>1.1990400000000001</v>
      </c>
      <c r="AG9">
        <f t="shared" si="12"/>
        <v>1.0360400000000001</v>
      </c>
      <c r="AH9">
        <f t="shared" si="13"/>
        <v>0.98980000000000001</v>
      </c>
      <c r="AI9">
        <f t="shared" si="14"/>
        <v>0.95211999999999997</v>
      </c>
      <c r="AJ9">
        <f t="shared" si="15"/>
        <v>1.0583199999999999</v>
      </c>
      <c r="EC9">
        <v>407</v>
      </c>
      <c r="ED9">
        <v>1.25092</v>
      </c>
      <c r="EE9">
        <v>0.89924000000000004</v>
      </c>
      <c r="EF9">
        <v>1.3709800000000001</v>
      </c>
      <c r="EG9">
        <v>1.04596</v>
      </c>
      <c r="EH9">
        <v>1.1103000000000001</v>
      </c>
      <c r="EI9">
        <v>1.0817000000000001</v>
      </c>
      <c r="EJ9">
        <v>1.1264000000000001</v>
      </c>
      <c r="EK9">
        <v>1.02454</v>
      </c>
      <c r="EL9">
        <v>1.15662</v>
      </c>
      <c r="EM9">
        <v>1.13462</v>
      </c>
      <c r="EN9">
        <v>1.1820600000000001</v>
      </c>
      <c r="EO9">
        <v>1.1990400000000001</v>
      </c>
      <c r="EP9">
        <v>1.0360400000000001</v>
      </c>
      <c r="EQ9">
        <v>0.98980000000000001</v>
      </c>
      <c r="ER9">
        <v>0.95211999999999997</v>
      </c>
      <c r="ES9">
        <v>1.0583199999999999</v>
      </c>
    </row>
    <row r="10" spans="1:149" x14ac:dyDescent="0.35">
      <c r="A10" s="77"/>
      <c r="B10" s="77">
        <v>408</v>
      </c>
      <c r="C10" s="77">
        <v>0.62755000000000005</v>
      </c>
      <c r="D10" s="77">
        <v>0.45084000000000002</v>
      </c>
      <c r="E10" s="77">
        <v>0.68796000000000002</v>
      </c>
      <c r="F10" s="77">
        <v>0.52466999999999997</v>
      </c>
      <c r="G10" s="77">
        <v>0.55647000000000002</v>
      </c>
      <c r="H10" s="77">
        <v>0.54183999999999999</v>
      </c>
      <c r="I10" s="77">
        <v>0.56438999999999995</v>
      </c>
      <c r="J10" s="77">
        <v>0.51298999999999995</v>
      </c>
      <c r="K10" s="77">
        <v>0.57964000000000004</v>
      </c>
      <c r="L10" s="77">
        <v>0.56847999999999999</v>
      </c>
      <c r="M10" s="77">
        <v>0.59213000000000005</v>
      </c>
      <c r="N10" s="77">
        <v>0.60068999999999995</v>
      </c>
      <c r="O10" s="77">
        <v>0.51848000000000005</v>
      </c>
      <c r="P10" s="77">
        <v>0.49512</v>
      </c>
      <c r="Q10" s="77">
        <v>0.47641</v>
      </c>
      <c r="R10" s="77">
        <v>0.52983000000000002</v>
      </c>
      <c r="T10">
        <v>408</v>
      </c>
      <c r="U10">
        <f t="shared" si="0"/>
        <v>1.2551000000000001</v>
      </c>
      <c r="V10">
        <f t="shared" si="1"/>
        <v>0.90168000000000004</v>
      </c>
      <c r="W10">
        <f t="shared" si="2"/>
        <v>1.37592</v>
      </c>
      <c r="X10">
        <f t="shared" si="3"/>
        <v>1.0493399999999999</v>
      </c>
      <c r="Y10">
        <f t="shared" si="4"/>
        <v>1.11294</v>
      </c>
      <c r="Z10">
        <f t="shared" si="5"/>
        <v>1.08368</v>
      </c>
      <c r="AA10">
        <f t="shared" si="6"/>
        <v>1.1287799999999999</v>
      </c>
      <c r="AB10">
        <f t="shared" si="7"/>
        <v>1.0259799999999999</v>
      </c>
      <c r="AC10">
        <f t="shared" si="8"/>
        <v>1.1592800000000001</v>
      </c>
      <c r="AD10">
        <f t="shared" si="9"/>
        <v>1.13696</v>
      </c>
      <c r="AE10">
        <f t="shared" si="10"/>
        <v>1.1842600000000001</v>
      </c>
      <c r="AF10">
        <f t="shared" si="11"/>
        <v>1.2013799999999999</v>
      </c>
      <c r="AG10">
        <f t="shared" si="12"/>
        <v>1.0369600000000001</v>
      </c>
      <c r="AH10">
        <f t="shared" si="13"/>
        <v>0.99024000000000001</v>
      </c>
      <c r="AI10">
        <f t="shared" si="14"/>
        <v>0.95282</v>
      </c>
      <c r="AJ10">
        <f t="shared" si="15"/>
        <v>1.05966</v>
      </c>
      <c r="EC10">
        <v>408</v>
      </c>
      <c r="ED10">
        <v>1.2551000000000001</v>
      </c>
      <c r="EE10">
        <v>0.90168000000000004</v>
      </c>
      <c r="EF10">
        <v>1.37592</v>
      </c>
      <c r="EG10">
        <v>1.0493399999999999</v>
      </c>
      <c r="EH10">
        <v>1.11294</v>
      </c>
      <c r="EI10">
        <v>1.08368</v>
      </c>
      <c r="EJ10">
        <v>1.1287799999999999</v>
      </c>
      <c r="EK10">
        <v>1.0259799999999999</v>
      </c>
      <c r="EL10">
        <v>1.1592800000000001</v>
      </c>
      <c r="EM10">
        <v>1.13696</v>
      </c>
      <c r="EN10">
        <v>1.1842600000000001</v>
      </c>
      <c r="EO10">
        <v>1.2013799999999999</v>
      </c>
      <c r="EP10">
        <v>1.0369600000000001</v>
      </c>
      <c r="EQ10">
        <v>0.99024000000000001</v>
      </c>
      <c r="ER10">
        <v>0.95282</v>
      </c>
      <c r="ES10">
        <v>1.05966</v>
      </c>
    </row>
    <row r="11" spans="1:149" x14ac:dyDescent="0.35">
      <c r="A11" s="77"/>
      <c r="B11" s="77">
        <v>409</v>
      </c>
      <c r="C11" s="77">
        <v>0.62934999999999997</v>
      </c>
      <c r="D11" s="77">
        <v>0.45244000000000001</v>
      </c>
      <c r="E11" s="77">
        <v>0.69044000000000005</v>
      </c>
      <c r="F11" s="77">
        <v>0.52671999999999997</v>
      </c>
      <c r="G11" s="77">
        <v>0.55803000000000003</v>
      </c>
      <c r="H11" s="77">
        <v>0.54344000000000003</v>
      </c>
      <c r="I11" s="77">
        <v>0.56598000000000004</v>
      </c>
      <c r="J11" s="77">
        <v>0.51424000000000003</v>
      </c>
      <c r="K11" s="77">
        <v>0.58101999999999998</v>
      </c>
      <c r="L11" s="77">
        <v>0.56986999999999999</v>
      </c>
      <c r="M11" s="77">
        <v>0.59386000000000005</v>
      </c>
      <c r="N11" s="77">
        <v>0.60248000000000002</v>
      </c>
      <c r="O11" s="77">
        <v>0.51880999999999999</v>
      </c>
      <c r="P11" s="77">
        <v>0.49539</v>
      </c>
      <c r="Q11" s="77">
        <v>0.47682000000000002</v>
      </c>
      <c r="R11" s="77">
        <v>0.53005999999999998</v>
      </c>
      <c r="T11">
        <v>409</v>
      </c>
      <c r="U11">
        <f t="shared" si="0"/>
        <v>1.2586999999999999</v>
      </c>
      <c r="V11">
        <f t="shared" si="1"/>
        <v>0.90488000000000002</v>
      </c>
      <c r="W11">
        <f t="shared" si="2"/>
        <v>1.3808800000000001</v>
      </c>
      <c r="X11">
        <f t="shared" si="3"/>
        <v>1.0534399999999999</v>
      </c>
      <c r="Y11">
        <f t="shared" si="4"/>
        <v>1.1160600000000001</v>
      </c>
      <c r="Z11">
        <f t="shared" si="5"/>
        <v>1.0868800000000001</v>
      </c>
      <c r="AA11">
        <f t="shared" si="6"/>
        <v>1.1319600000000001</v>
      </c>
      <c r="AB11">
        <f t="shared" si="7"/>
        <v>1.0284800000000001</v>
      </c>
      <c r="AC11">
        <f t="shared" si="8"/>
        <v>1.16204</v>
      </c>
      <c r="AD11">
        <f t="shared" si="9"/>
        <v>1.13974</v>
      </c>
      <c r="AE11">
        <f t="shared" si="10"/>
        <v>1.1877200000000001</v>
      </c>
      <c r="AF11">
        <f t="shared" si="11"/>
        <v>1.20496</v>
      </c>
      <c r="AG11">
        <f t="shared" si="12"/>
        <v>1.03762</v>
      </c>
      <c r="AH11">
        <f t="shared" si="13"/>
        <v>0.99077999999999999</v>
      </c>
      <c r="AI11">
        <f t="shared" si="14"/>
        <v>0.95364000000000004</v>
      </c>
      <c r="AJ11">
        <f t="shared" si="15"/>
        <v>1.06012</v>
      </c>
      <c r="EC11">
        <v>409</v>
      </c>
      <c r="ED11">
        <v>1.2586999999999999</v>
      </c>
      <c r="EE11">
        <v>0.90488000000000002</v>
      </c>
      <c r="EF11">
        <v>1.3808800000000001</v>
      </c>
      <c r="EG11">
        <v>1.0534399999999999</v>
      </c>
      <c r="EH11">
        <v>1.1160600000000001</v>
      </c>
      <c r="EI11">
        <v>1.0868800000000001</v>
      </c>
      <c r="EJ11">
        <v>1.1319600000000001</v>
      </c>
      <c r="EK11">
        <v>1.0284800000000001</v>
      </c>
      <c r="EL11">
        <v>1.16204</v>
      </c>
      <c r="EM11">
        <v>1.13974</v>
      </c>
      <c r="EN11">
        <v>1.1877200000000001</v>
      </c>
      <c r="EO11">
        <v>1.20496</v>
      </c>
      <c r="EP11">
        <v>1.03762</v>
      </c>
      <c r="EQ11">
        <v>0.99077999999999999</v>
      </c>
      <c r="ER11">
        <v>0.95364000000000004</v>
      </c>
      <c r="ES11">
        <v>1.06012</v>
      </c>
    </row>
    <row r="12" spans="1:149" x14ac:dyDescent="0.35">
      <c r="A12" s="77"/>
      <c r="B12" s="77">
        <v>410</v>
      </c>
      <c r="C12" s="77">
        <v>0.63185000000000002</v>
      </c>
      <c r="D12" s="77">
        <v>0.4541</v>
      </c>
      <c r="E12" s="77">
        <v>0.69330000000000003</v>
      </c>
      <c r="F12" s="77">
        <v>0.52876000000000001</v>
      </c>
      <c r="G12" s="77">
        <v>0.55928</v>
      </c>
      <c r="H12" s="77">
        <v>0.54493999999999998</v>
      </c>
      <c r="I12" s="77">
        <v>0.56728999999999996</v>
      </c>
      <c r="J12" s="77">
        <v>0.51524000000000003</v>
      </c>
      <c r="K12" s="77">
        <v>0.58272000000000002</v>
      </c>
      <c r="L12" s="77">
        <v>0.57152999999999998</v>
      </c>
      <c r="M12" s="77">
        <v>0.59543999999999997</v>
      </c>
      <c r="N12" s="77">
        <v>0.60411000000000004</v>
      </c>
      <c r="O12" s="77">
        <v>0.51932</v>
      </c>
      <c r="P12" s="77">
        <v>0.49579000000000001</v>
      </c>
      <c r="Q12" s="77">
        <v>0.47739999999999999</v>
      </c>
      <c r="R12" s="77">
        <v>0.53059000000000001</v>
      </c>
      <c r="T12">
        <v>410</v>
      </c>
      <c r="U12">
        <f t="shared" si="0"/>
        <v>1.2637</v>
      </c>
      <c r="V12">
        <f t="shared" si="1"/>
        <v>0.90820000000000001</v>
      </c>
      <c r="W12">
        <f t="shared" si="2"/>
        <v>1.3866000000000001</v>
      </c>
      <c r="X12">
        <f t="shared" si="3"/>
        <v>1.05752</v>
      </c>
      <c r="Y12">
        <f t="shared" si="4"/>
        <v>1.11856</v>
      </c>
      <c r="Z12">
        <f t="shared" si="5"/>
        <v>1.08988</v>
      </c>
      <c r="AA12">
        <f t="shared" si="6"/>
        <v>1.1345799999999999</v>
      </c>
      <c r="AB12">
        <f t="shared" si="7"/>
        <v>1.0304800000000001</v>
      </c>
      <c r="AC12">
        <f t="shared" si="8"/>
        <v>1.16544</v>
      </c>
      <c r="AD12">
        <f t="shared" si="9"/>
        <v>1.14306</v>
      </c>
      <c r="AE12">
        <f t="shared" si="10"/>
        <v>1.1908799999999999</v>
      </c>
      <c r="AF12">
        <f t="shared" si="11"/>
        <v>1.2082200000000001</v>
      </c>
      <c r="AG12">
        <f t="shared" si="12"/>
        <v>1.03864</v>
      </c>
      <c r="AH12">
        <f t="shared" si="13"/>
        <v>0.99158000000000002</v>
      </c>
      <c r="AI12">
        <f t="shared" si="14"/>
        <v>0.95479999999999998</v>
      </c>
      <c r="AJ12">
        <f t="shared" si="15"/>
        <v>1.06118</v>
      </c>
      <c r="EC12">
        <v>410</v>
      </c>
      <c r="ED12">
        <v>1.2637</v>
      </c>
      <c r="EE12">
        <v>0.90820000000000001</v>
      </c>
      <c r="EF12">
        <v>1.3866000000000001</v>
      </c>
      <c r="EG12">
        <v>1.05752</v>
      </c>
      <c r="EH12">
        <v>1.11856</v>
      </c>
      <c r="EI12">
        <v>1.08988</v>
      </c>
      <c r="EJ12">
        <v>1.1345799999999999</v>
      </c>
      <c r="EK12">
        <v>1.0304800000000001</v>
      </c>
      <c r="EL12">
        <v>1.16544</v>
      </c>
      <c r="EM12">
        <v>1.14306</v>
      </c>
      <c r="EN12">
        <v>1.1908799999999999</v>
      </c>
      <c r="EO12">
        <v>1.2082200000000001</v>
      </c>
      <c r="EP12">
        <v>1.03864</v>
      </c>
      <c r="EQ12">
        <v>0.99158000000000002</v>
      </c>
      <c r="ER12">
        <v>0.95479999999999998</v>
      </c>
      <c r="ES12">
        <v>1.06118</v>
      </c>
    </row>
    <row r="13" spans="1:149" x14ac:dyDescent="0.35">
      <c r="A13" s="77"/>
      <c r="B13" s="77">
        <v>411</v>
      </c>
      <c r="C13" s="77">
        <v>0.63436999999999999</v>
      </c>
      <c r="D13" s="77">
        <v>0.45556999999999997</v>
      </c>
      <c r="E13" s="77">
        <v>0.69594999999999996</v>
      </c>
      <c r="F13" s="77">
        <v>0.53069999999999995</v>
      </c>
      <c r="G13" s="77">
        <v>0.56067999999999996</v>
      </c>
      <c r="H13" s="77">
        <v>0.54622999999999999</v>
      </c>
      <c r="I13" s="77">
        <v>0.56894</v>
      </c>
      <c r="J13" s="77">
        <v>0.51656000000000002</v>
      </c>
      <c r="K13" s="77">
        <v>0.58409</v>
      </c>
      <c r="L13" s="77">
        <v>0.57291999999999998</v>
      </c>
      <c r="M13" s="77">
        <v>0.59675999999999996</v>
      </c>
      <c r="N13" s="77">
        <v>0.60546999999999995</v>
      </c>
      <c r="O13" s="77">
        <v>0.52015999999999996</v>
      </c>
      <c r="P13" s="77">
        <v>0.49646000000000001</v>
      </c>
      <c r="Q13" s="77">
        <v>0.47787000000000002</v>
      </c>
      <c r="R13" s="77">
        <v>0.53156000000000003</v>
      </c>
      <c r="T13">
        <v>411</v>
      </c>
      <c r="U13">
        <f t="shared" si="0"/>
        <v>1.26874</v>
      </c>
      <c r="V13">
        <f t="shared" si="1"/>
        <v>0.91113999999999995</v>
      </c>
      <c r="W13">
        <f t="shared" si="2"/>
        <v>1.3918999999999999</v>
      </c>
      <c r="X13">
        <f t="shared" si="3"/>
        <v>1.0613999999999999</v>
      </c>
      <c r="Y13">
        <f t="shared" si="4"/>
        <v>1.1213599999999999</v>
      </c>
      <c r="Z13">
        <f t="shared" si="5"/>
        <v>1.09246</v>
      </c>
      <c r="AA13">
        <f t="shared" si="6"/>
        <v>1.13788</v>
      </c>
      <c r="AB13">
        <f t="shared" si="7"/>
        <v>1.03312</v>
      </c>
      <c r="AC13">
        <f t="shared" si="8"/>
        <v>1.16818</v>
      </c>
      <c r="AD13">
        <f t="shared" si="9"/>
        <v>1.14584</v>
      </c>
      <c r="AE13">
        <f t="shared" si="10"/>
        <v>1.1935199999999999</v>
      </c>
      <c r="AF13">
        <f t="shared" si="11"/>
        <v>1.2109399999999999</v>
      </c>
      <c r="AG13">
        <f t="shared" si="12"/>
        <v>1.0403199999999999</v>
      </c>
      <c r="AH13">
        <f t="shared" si="13"/>
        <v>0.99292000000000002</v>
      </c>
      <c r="AI13">
        <f t="shared" si="14"/>
        <v>0.95574000000000003</v>
      </c>
      <c r="AJ13">
        <f t="shared" si="15"/>
        <v>1.0631200000000001</v>
      </c>
      <c r="EC13">
        <v>411</v>
      </c>
      <c r="ED13">
        <v>1.26874</v>
      </c>
      <c r="EE13">
        <v>0.91113999999999995</v>
      </c>
      <c r="EF13">
        <v>1.3918999999999999</v>
      </c>
      <c r="EG13">
        <v>1.0613999999999999</v>
      </c>
      <c r="EH13">
        <v>1.1213599999999999</v>
      </c>
      <c r="EI13">
        <v>1.09246</v>
      </c>
      <c r="EJ13">
        <v>1.13788</v>
      </c>
      <c r="EK13">
        <v>1.03312</v>
      </c>
      <c r="EL13">
        <v>1.16818</v>
      </c>
      <c r="EM13">
        <v>1.14584</v>
      </c>
      <c r="EN13">
        <v>1.1935199999999999</v>
      </c>
      <c r="EO13">
        <v>1.2109399999999999</v>
      </c>
      <c r="EP13">
        <v>1.0403199999999999</v>
      </c>
      <c r="EQ13">
        <v>0.99292000000000002</v>
      </c>
      <c r="ER13">
        <v>0.95574000000000003</v>
      </c>
      <c r="ES13">
        <v>1.0631200000000001</v>
      </c>
    </row>
    <row r="14" spans="1:149" x14ac:dyDescent="0.35">
      <c r="A14" s="77"/>
      <c r="B14" s="77">
        <v>412</v>
      </c>
      <c r="C14" s="77">
        <v>0.63637999999999995</v>
      </c>
      <c r="D14" s="77">
        <v>0.45717000000000002</v>
      </c>
      <c r="E14" s="77">
        <v>0.69881000000000004</v>
      </c>
      <c r="F14" s="77">
        <v>0.53264</v>
      </c>
      <c r="G14" s="77">
        <v>0.56210000000000004</v>
      </c>
      <c r="H14" s="77">
        <v>0.54779</v>
      </c>
      <c r="I14" s="77">
        <v>0.57050999999999996</v>
      </c>
      <c r="J14" s="77">
        <v>0.51754999999999995</v>
      </c>
      <c r="K14" s="77">
        <v>0.58584999999999998</v>
      </c>
      <c r="L14" s="77">
        <v>0.57467999999999997</v>
      </c>
      <c r="M14" s="77">
        <v>0.59831000000000001</v>
      </c>
      <c r="N14" s="77">
        <v>0.60714999999999997</v>
      </c>
      <c r="O14" s="77">
        <v>0.52064999999999995</v>
      </c>
      <c r="P14" s="77">
        <v>0.49690000000000001</v>
      </c>
      <c r="Q14" s="77">
        <v>0.47838999999999998</v>
      </c>
      <c r="R14" s="77">
        <v>0.53210000000000002</v>
      </c>
      <c r="T14">
        <v>412</v>
      </c>
      <c r="U14">
        <f t="shared" si="0"/>
        <v>1.2727599999999999</v>
      </c>
      <c r="V14">
        <f t="shared" si="1"/>
        <v>0.91434000000000004</v>
      </c>
      <c r="W14">
        <f t="shared" si="2"/>
        <v>1.3976200000000001</v>
      </c>
      <c r="X14">
        <f t="shared" si="3"/>
        <v>1.06528</v>
      </c>
      <c r="Y14">
        <f t="shared" si="4"/>
        <v>1.1242000000000001</v>
      </c>
      <c r="Z14">
        <f t="shared" si="5"/>
        <v>1.09558</v>
      </c>
      <c r="AA14">
        <f t="shared" si="6"/>
        <v>1.1410199999999999</v>
      </c>
      <c r="AB14">
        <f t="shared" si="7"/>
        <v>1.0350999999999999</v>
      </c>
      <c r="AC14">
        <f t="shared" si="8"/>
        <v>1.1717</v>
      </c>
      <c r="AD14">
        <f t="shared" si="9"/>
        <v>1.1493599999999999</v>
      </c>
      <c r="AE14">
        <f t="shared" si="10"/>
        <v>1.19662</v>
      </c>
      <c r="AF14">
        <f t="shared" si="11"/>
        <v>1.2142999999999999</v>
      </c>
      <c r="AG14">
        <f t="shared" si="12"/>
        <v>1.0412999999999999</v>
      </c>
      <c r="AH14">
        <f t="shared" si="13"/>
        <v>0.99380000000000002</v>
      </c>
      <c r="AI14">
        <f t="shared" si="14"/>
        <v>0.95677999999999996</v>
      </c>
      <c r="AJ14">
        <f t="shared" si="15"/>
        <v>1.0642</v>
      </c>
      <c r="EC14">
        <v>412</v>
      </c>
      <c r="ED14">
        <v>1.2727599999999999</v>
      </c>
      <c r="EE14">
        <v>0.91434000000000004</v>
      </c>
      <c r="EF14">
        <v>1.3976200000000001</v>
      </c>
      <c r="EG14">
        <v>1.06528</v>
      </c>
      <c r="EH14">
        <v>1.1242000000000001</v>
      </c>
      <c r="EI14">
        <v>1.09558</v>
      </c>
      <c r="EJ14">
        <v>1.1410199999999999</v>
      </c>
      <c r="EK14">
        <v>1.0350999999999999</v>
      </c>
      <c r="EL14">
        <v>1.1717</v>
      </c>
      <c r="EM14">
        <v>1.1493599999999999</v>
      </c>
      <c r="EN14">
        <v>1.19662</v>
      </c>
      <c r="EO14">
        <v>1.2142999999999999</v>
      </c>
      <c r="EP14">
        <v>1.0412999999999999</v>
      </c>
      <c r="EQ14">
        <v>0.99380000000000002</v>
      </c>
      <c r="ER14">
        <v>0.95677999999999996</v>
      </c>
      <c r="ES14">
        <v>1.0642</v>
      </c>
    </row>
    <row r="15" spans="1:149" x14ac:dyDescent="0.35">
      <c r="A15" s="77"/>
      <c r="B15" s="77">
        <v>413</v>
      </c>
      <c r="C15" s="77">
        <v>0.63900999999999997</v>
      </c>
      <c r="D15" s="77">
        <v>0.45879999999999999</v>
      </c>
      <c r="E15" s="77">
        <v>0.70157000000000003</v>
      </c>
      <c r="F15" s="77">
        <v>0.53469999999999995</v>
      </c>
      <c r="G15" s="77">
        <v>0.56377999999999995</v>
      </c>
      <c r="H15" s="77">
        <v>0.54976000000000003</v>
      </c>
      <c r="I15" s="77">
        <v>0.57213000000000003</v>
      </c>
      <c r="J15" s="77">
        <v>0.51880999999999999</v>
      </c>
      <c r="K15" s="77">
        <v>0.58714</v>
      </c>
      <c r="L15" s="77">
        <v>0.57586999999999999</v>
      </c>
      <c r="M15" s="77">
        <v>0.59997999999999996</v>
      </c>
      <c r="N15" s="77">
        <v>0.60892999999999997</v>
      </c>
      <c r="O15" s="77">
        <v>0.52141000000000004</v>
      </c>
      <c r="P15" s="77">
        <v>0.49768000000000001</v>
      </c>
      <c r="Q15" s="77">
        <v>0.47889999999999999</v>
      </c>
      <c r="R15" s="77">
        <v>0.53254999999999997</v>
      </c>
      <c r="T15">
        <v>413</v>
      </c>
      <c r="U15">
        <f t="shared" si="0"/>
        <v>1.2780199999999999</v>
      </c>
      <c r="V15">
        <f t="shared" si="1"/>
        <v>0.91759999999999997</v>
      </c>
      <c r="W15">
        <f t="shared" si="2"/>
        <v>1.4031400000000001</v>
      </c>
      <c r="X15">
        <f t="shared" si="3"/>
        <v>1.0693999999999999</v>
      </c>
      <c r="Y15">
        <f t="shared" si="4"/>
        <v>1.1275599999999999</v>
      </c>
      <c r="Z15">
        <f t="shared" si="5"/>
        <v>1.0995200000000001</v>
      </c>
      <c r="AA15">
        <f t="shared" si="6"/>
        <v>1.1442600000000001</v>
      </c>
      <c r="AB15">
        <f t="shared" si="7"/>
        <v>1.03762</v>
      </c>
      <c r="AC15">
        <f t="shared" si="8"/>
        <v>1.17428</v>
      </c>
      <c r="AD15">
        <f t="shared" si="9"/>
        <v>1.15174</v>
      </c>
      <c r="AE15">
        <f t="shared" si="10"/>
        <v>1.1999599999999999</v>
      </c>
      <c r="AF15">
        <f t="shared" si="11"/>
        <v>1.2178599999999999</v>
      </c>
      <c r="AG15">
        <f t="shared" si="12"/>
        <v>1.0428200000000001</v>
      </c>
      <c r="AH15">
        <f t="shared" si="13"/>
        <v>0.99536000000000002</v>
      </c>
      <c r="AI15">
        <f t="shared" si="14"/>
        <v>0.95779999999999998</v>
      </c>
      <c r="AJ15">
        <f t="shared" si="15"/>
        <v>1.0650999999999999</v>
      </c>
      <c r="EC15">
        <v>413</v>
      </c>
      <c r="ED15">
        <v>1.2780199999999999</v>
      </c>
      <c r="EE15">
        <v>0.91759999999999997</v>
      </c>
      <c r="EF15">
        <v>1.4031400000000001</v>
      </c>
      <c r="EG15">
        <v>1.0693999999999999</v>
      </c>
      <c r="EH15">
        <v>1.1275599999999999</v>
      </c>
      <c r="EI15">
        <v>1.0995200000000001</v>
      </c>
      <c r="EJ15">
        <v>1.1442600000000001</v>
      </c>
      <c r="EK15">
        <v>1.03762</v>
      </c>
      <c r="EL15">
        <v>1.17428</v>
      </c>
      <c r="EM15">
        <v>1.15174</v>
      </c>
      <c r="EN15">
        <v>1.1999599999999999</v>
      </c>
      <c r="EO15">
        <v>1.2178599999999999</v>
      </c>
      <c r="EP15">
        <v>1.0428200000000001</v>
      </c>
      <c r="EQ15">
        <v>0.99536000000000002</v>
      </c>
      <c r="ER15">
        <v>0.95779999999999998</v>
      </c>
      <c r="ES15">
        <v>1.0650999999999999</v>
      </c>
    </row>
    <row r="16" spans="1:149" x14ac:dyDescent="0.35">
      <c r="A16" s="77"/>
      <c r="B16" s="77">
        <v>414</v>
      </c>
      <c r="C16" s="77">
        <v>0.64132999999999996</v>
      </c>
      <c r="D16" s="77">
        <v>0.46066000000000001</v>
      </c>
      <c r="E16" s="77">
        <v>0.70459000000000005</v>
      </c>
      <c r="F16" s="77">
        <v>0.53685000000000005</v>
      </c>
      <c r="G16" s="77">
        <v>0.56508000000000003</v>
      </c>
      <c r="H16" s="77">
        <v>0.55103000000000002</v>
      </c>
      <c r="I16" s="77">
        <v>0.57355999999999996</v>
      </c>
      <c r="J16" s="77">
        <v>0.52005000000000001</v>
      </c>
      <c r="K16" s="77">
        <v>0.58906999999999998</v>
      </c>
      <c r="L16" s="77">
        <v>0.57726999999999995</v>
      </c>
      <c r="M16" s="77">
        <v>0.60163999999999995</v>
      </c>
      <c r="N16" s="77">
        <v>0.61028000000000004</v>
      </c>
      <c r="O16" s="77">
        <v>0.52176999999999996</v>
      </c>
      <c r="P16" s="77">
        <v>0.49802999999999997</v>
      </c>
      <c r="Q16" s="77">
        <v>0.47946</v>
      </c>
      <c r="R16" s="77">
        <v>0.53293000000000001</v>
      </c>
      <c r="T16">
        <v>414</v>
      </c>
      <c r="U16">
        <f t="shared" si="0"/>
        <v>1.2826599999999999</v>
      </c>
      <c r="V16">
        <f t="shared" si="1"/>
        <v>0.92132000000000003</v>
      </c>
      <c r="W16">
        <f t="shared" si="2"/>
        <v>1.4091800000000001</v>
      </c>
      <c r="X16">
        <f t="shared" si="3"/>
        <v>1.0737000000000001</v>
      </c>
      <c r="Y16">
        <f t="shared" si="4"/>
        <v>1.1301600000000001</v>
      </c>
      <c r="Z16">
        <f t="shared" si="5"/>
        <v>1.10206</v>
      </c>
      <c r="AA16">
        <f t="shared" si="6"/>
        <v>1.1471199999999999</v>
      </c>
      <c r="AB16">
        <f t="shared" si="7"/>
        <v>1.0401</v>
      </c>
      <c r="AC16">
        <f t="shared" si="8"/>
        <v>1.17814</v>
      </c>
      <c r="AD16">
        <f t="shared" si="9"/>
        <v>1.1545399999999999</v>
      </c>
      <c r="AE16">
        <f t="shared" si="10"/>
        <v>1.2032799999999999</v>
      </c>
      <c r="AF16">
        <f t="shared" si="11"/>
        <v>1.2205600000000001</v>
      </c>
      <c r="AG16">
        <f t="shared" si="12"/>
        <v>1.0435399999999999</v>
      </c>
      <c r="AH16">
        <f t="shared" si="13"/>
        <v>0.99605999999999995</v>
      </c>
      <c r="AI16">
        <f t="shared" si="14"/>
        <v>0.95891999999999999</v>
      </c>
      <c r="AJ16">
        <f t="shared" si="15"/>
        <v>1.06586</v>
      </c>
      <c r="EC16">
        <v>414</v>
      </c>
      <c r="ED16">
        <v>1.2826599999999999</v>
      </c>
      <c r="EE16">
        <v>0.92132000000000003</v>
      </c>
      <c r="EF16">
        <v>1.4091800000000001</v>
      </c>
      <c r="EG16">
        <v>1.0737000000000001</v>
      </c>
      <c r="EH16">
        <v>1.1301600000000001</v>
      </c>
      <c r="EI16">
        <v>1.10206</v>
      </c>
      <c r="EJ16">
        <v>1.1471199999999999</v>
      </c>
      <c r="EK16">
        <v>1.0401</v>
      </c>
      <c r="EL16">
        <v>1.17814</v>
      </c>
      <c r="EM16">
        <v>1.1545399999999999</v>
      </c>
      <c r="EN16">
        <v>1.2032799999999999</v>
      </c>
      <c r="EO16">
        <v>1.2205600000000001</v>
      </c>
      <c r="EP16">
        <v>1.0435399999999999</v>
      </c>
      <c r="EQ16">
        <v>0.99605999999999995</v>
      </c>
      <c r="ER16">
        <v>0.95891999999999999</v>
      </c>
      <c r="ES16">
        <v>1.06586</v>
      </c>
    </row>
    <row r="17" spans="1:149" x14ac:dyDescent="0.35">
      <c r="A17" s="77"/>
      <c r="B17" s="77">
        <v>415</v>
      </c>
      <c r="C17" s="77">
        <v>0.64351000000000003</v>
      </c>
      <c r="D17" s="77">
        <v>0.46218999999999999</v>
      </c>
      <c r="E17" s="77">
        <v>0.70733999999999997</v>
      </c>
      <c r="F17" s="77">
        <v>0.53896999999999995</v>
      </c>
      <c r="G17" s="77">
        <v>0.56645000000000001</v>
      </c>
      <c r="H17" s="77">
        <v>0.55215000000000003</v>
      </c>
      <c r="I17" s="77">
        <v>0.57491000000000003</v>
      </c>
      <c r="J17" s="77">
        <v>0.52075000000000005</v>
      </c>
      <c r="K17" s="77">
        <v>0.59</v>
      </c>
      <c r="L17" s="77">
        <v>0.57857999999999998</v>
      </c>
      <c r="M17" s="77">
        <v>0.60257000000000005</v>
      </c>
      <c r="N17" s="77">
        <v>0.61136999999999997</v>
      </c>
      <c r="O17" s="77">
        <v>0.52232000000000001</v>
      </c>
      <c r="P17" s="77">
        <v>0.49840000000000001</v>
      </c>
      <c r="Q17" s="77">
        <v>0.47974</v>
      </c>
      <c r="R17" s="77">
        <v>0.53358000000000005</v>
      </c>
      <c r="T17">
        <v>415</v>
      </c>
      <c r="U17">
        <f t="shared" si="0"/>
        <v>1.2870200000000001</v>
      </c>
      <c r="V17">
        <f t="shared" si="1"/>
        <v>0.92437999999999998</v>
      </c>
      <c r="W17">
        <f t="shared" si="2"/>
        <v>1.4146799999999999</v>
      </c>
      <c r="X17">
        <f t="shared" si="3"/>
        <v>1.0779399999999999</v>
      </c>
      <c r="Y17">
        <f t="shared" si="4"/>
        <v>1.1329</v>
      </c>
      <c r="Z17">
        <f t="shared" si="5"/>
        <v>1.1043000000000001</v>
      </c>
      <c r="AA17">
        <f t="shared" si="6"/>
        <v>1.1498200000000001</v>
      </c>
      <c r="AB17">
        <f t="shared" si="7"/>
        <v>1.0415000000000001</v>
      </c>
      <c r="AC17">
        <f t="shared" si="8"/>
        <v>1.18</v>
      </c>
      <c r="AD17">
        <f t="shared" si="9"/>
        <v>1.15716</v>
      </c>
      <c r="AE17">
        <f t="shared" si="10"/>
        <v>1.2051400000000001</v>
      </c>
      <c r="AF17">
        <f t="shared" si="11"/>
        <v>1.2227399999999999</v>
      </c>
      <c r="AG17">
        <f t="shared" si="12"/>
        <v>1.04464</v>
      </c>
      <c r="AH17">
        <f t="shared" si="13"/>
        <v>0.99680000000000002</v>
      </c>
      <c r="AI17">
        <f t="shared" si="14"/>
        <v>0.95948</v>
      </c>
      <c r="AJ17">
        <f t="shared" si="15"/>
        <v>1.0671600000000001</v>
      </c>
      <c r="EC17">
        <v>415</v>
      </c>
      <c r="ED17">
        <v>1.2870200000000001</v>
      </c>
      <c r="EE17">
        <v>0.92437999999999998</v>
      </c>
      <c r="EF17">
        <v>1.4146799999999999</v>
      </c>
      <c r="EG17">
        <v>1.0779399999999999</v>
      </c>
      <c r="EH17">
        <v>1.1329</v>
      </c>
      <c r="EI17">
        <v>1.1043000000000001</v>
      </c>
      <c r="EJ17">
        <v>1.1498200000000001</v>
      </c>
      <c r="EK17">
        <v>1.0415000000000001</v>
      </c>
      <c r="EL17">
        <v>1.18</v>
      </c>
      <c r="EM17">
        <v>1.15716</v>
      </c>
      <c r="EN17">
        <v>1.2051400000000001</v>
      </c>
      <c r="EO17">
        <v>1.2227399999999999</v>
      </c>
      <c r="EP17">
        <v>1.04464</v>
      </c>
      <c r="EQ17">
        <v>0.99680000000000002</v>
      </c>
      <c r="ER17">
        <v>0.95948</v>
      </c>
      <c r="ES17">
        <v>1.0671600000000001</v>
      </c>
    </row>
    <row r="18" spans="1:149" x14ac:dyDescent="0.35">
      <c r="A18" s="77"/>
      <c r="B18" s="77">
        <v>416</v>
      </c>
      <c r="C18" s="77">
        <v>0.64593999999999996</v>
      </c>
      <c r="D18" s="77">
        <v>0.46399000000000001</v>
      </c>
      <c r="E18" s="77">
        <v>0.70994999999999997</v>
      </c>
      <c r="F18" s="77">
        <v>0.54103000000000001</v>
      </c>
      <c r="G18" s="77">
        <v>0.56762999999999997</v>
      </c>
      <c r="H18" s="77">
        <v>0.55350999999999995</v>
      </c>
      <c r="I18" s="77">
        <v>0.57603000000000004</v>
      </c>
      <c r="J18" s="77">
        <v>0.52200000000000002</v>
      </c>
      <c r="K18" s="77">
        <v>0.59128999999999998</v>
      </c>
      <c r="L18" s="77">
        <v>0.57950999999999997</v>
      </c>
      <c r="M18" s="77">
        <v>0.60419</v>
      </c>
      <c r="N18" s="77">
        <v>0.61299000000000003</v>
      </c>
      <c r="O18" s="77">
        <v>0.52317999999999998</v>
      </c>
      <c r="P18" s="77">
        <v>0.49901000000000001</v>
      </c>
      <c r="Q18" s="77">
        <v>0.48044999999999999</v>
      </c>
      <c r="R18" s="77">
        <v>0.53441000000000005</v>
      </c>
      <c r="T18">
        <v>416</v>
      </c>
      <c r="U18">
        <f t="shared" si="0"/>
        <v>1.2918799999999999</v>
      </c>
      <c r="V18">
        <f t="shared" si="1"/>
        <v>0.92798000000000003</v>
      </c>
      <c r="W18">
        <f t="shared" si="2"/>
        <v>1.4198999999999999</v>
      </c>
      <c r="X18">
        <f t="shared" si="3"/>
        <v>1.08206</v>
      </c>
      <c r="Y18">
        <f t="shared" si="4"/>
        <v>1.1352599999999999</v>
      </c>
      <c r="Z18">
        <f t="shared" si="5"/>
        <v>1.1070199999999999</v>
      </c>
      <c r="AA18">
        <f t="shared" si="6"/>
        <v>1.1520600000000001</v>
      </c>
      <c r="AB18">
        <f t="shared" si="7"/>
        <v>1.044</v>
      </c>
      <c r="AC18">
        <f t="shared" si="8"/>
        <v>1.18258</v>
      </c>
      <c r="AD18">
        <f t="shared" si="9"/>
        <v>1.1590199999999999</v>
      </c>
      <c r="AE18">
        <f t="shared" si="10"/>
        <v>1.20838</v>
      </c>
      <c r="AF18">
        <f t="shared" si="11"/>
        <v>1.2259800000000001</v>
      </c>
      <c r="AG18">
        <f t="shared" si="12"/>
        <v>1.04636</v>
      </c>
      <c r="AH18">
        <f t="shared" si="13"/>
        <v>0.99802000000000002</v>
      </c>
      <c r="AI18">
        <f t="shared" si="14"/>
        <v>0.96089999999999998</v>
      </c>
      <c r="AJ18">
        <f t="shared" si="15"/>
        <v>1.0688200000000001</v>
      </c>
      <c r="EC18">
        <v>416</v>
      </c>
      <c r="ED18">
        <v>1.2918799999999999</v>
      </c>
      <c r="EE18">
        <v>0.92798000000000003</v>
      </c>
      <c r="EF18">
        <v>1.4198999999999999</v>
      </c>
      <c r="EG18">
        <v>1.08206</v>
      </c>
      <c r="EH18">
        <v>1.1352599999999999</v>
      </c>
      <c r="EI18">
        <v>1.1070199999999999</v>
      </c>
      <c r="EJ18">
        <v>1.1520600000000001</v>
      </c>
      <c r="EK18">
        <v>1.044</v>
      </c>
      <c r="EL18">
        <v>1.18258</v>
      </c>
      <c r="EM18">
        <v>1.1590199999999999</v>
      </c>
      <c r="EN18">
        <v>1.20838</v>
      </c>
      <c r="EO18">
        <v>1.2259800000000001</v>
      </c>
      <c r="EP18">
        <v>1.04636</v>
      </c>
      <c r="EQ18">
        <v>0.99802000000000002</v>
      </c>
      <c r="ER18">
        <v>0.96089999999999998</v>
      </c>
      <c r="ES18">
        <v>1.0688200000000001</v>
      </c>
    </row>
    <row r="19" spans="1:149" x14ac:dyDescent="0.35">
      <c r="A19" s="77"/>
      <c r="B19" s="77">
        <v>417</v>
      </c>
      <c r="C19" s="77">
        <v>0.64849999999999997</v>
      </c>
      <c r="D19" s="77">
        <v>0.46588000000000002</v>
      </c>
      <c r="E19" s="77">
        <v>0.71314999999999995</v>
      </c>
      <c r="F19" s="77">
        <v>0.54320000000000002</v>
      </c>
      <c r="G19" s="77">
        <v>0.56906000000000001</v>
      </c>
      <c r="H19" s="77">
        <v>0.55527000000000004</v>
      </c>
      <c r="I19" s="77">
        <v>0.57789999999999997</v>
      </c>
      <c r="J19" s="77">
        <v>0.52336000000000005</v>
      </c>
      <c r="K19" s="77">
        <v>0.59284999999999999</v>
      </c>
      <c r="L19" s="77">
        <v>0.58104</v>
      </c>
      <c r="M19" s="77">
        <v>0.60587999999999997</v>
      </c>
      <c r="N19" s="77">
        <v>0.61467000000000005</v>
      </c>
      <c r="O19" s="77">
        <v>0.52419000000000004</v>
      </c>
      <c r="P19" s="77">
        <v>0.50034000000000001</v>
      </c>
      <c r="Q19" s="77">
        <v>0.48143000000000002</v>
      </c>
      <c r="R19" s="77">
        <v>0.53547999999999996</v>
      </c>
      <c r="T19">
        <v>417</v>
      </c>
      <c r="U19">
        <f t="shared" si="0"/>
        <v>1.2969999999999999</v>
      </c>
      <c r="V19">
        <f t="shared" si="1"/>
        <v>0.93176000000000003</v>
      </c>
      <c r="W19">
        <f t="shared" si="2"/>
        <v>1.4262999999999999</v>
      </c>
      <c r="X19">
        <f t="shared" si="3"/>
        <v>1.0864</v>
      </c>
      <c r="Y19">
        <f t="shared" si="4"/>
        <v>1.13812</v>
      </c>
      <c r="Z19">
        <f t="shared" si="5"/>
        <v>1.1105400000000001</v>
      </c>
      <c r="AA19">
        <f t="shared" si="6"/>
        <v>1.1557999999999999</v>
      </c>
      <c r="AB19">
        <f t="shared" si="7"/>
        <v>1.0467200000000001</v>
      </c>
      <c r="AC19">
        <f t="shared" si="8"/>
        <v>1.1857</v>
      </c>
      <c r="AD19">
        <f t="shared" si="9"/>
        <v>1.16208</v>
      </c>
      <c r="AE19">
        <f t="shared" si="10"/>
        <v>1.2117599999999999</v>
      </c>
      <c r="AF19">
        <f t="shared" si="11"/>
        <v>1.2293400000000001</v>
      </c>
      <c r="AG19">
        <f t="shared" si="12"/>
        <v>1.0483800000000001</v>
      </c>
      <c r="AH19">
        <f t="shared" si="13"/>
        <v>1.00068</v>
      </c>
      <c r="AI19">
        <f t="shared" si="14"/>
        <v>0.96286000000000005</v>
      </c>
      <c r="AJ19">
        <f t="shared" si="15"/>
        <v>1.0709599999999999</v>
      </c>
      <c r="EC19">
        <v>417</v>
      </c>
      <c r="ED19">
        <v>1.2969999999999999</v>
      </c>
      <c r="EE19">
        <v>0.93176000000000003</v>
      </c>
      <c r="EF19">
        <v>1.4262999999999999</v>
      </c>
      <c r="EG19">
        <v>1.0864</v>
      </c>
      <c r="EH19">
        <v>1.13812</v>
      </c>
      <c r="EI19">
        <v>1.1105400000000001</v>
      </c>
      <c r="EJ19">
        <v>1.1557999999999999</v>
      </c>
      <c r="EK19">
        <v>1.0467200000000001</v>
      </c>
      <c r="EL19">
        <v>1.1857</v>
      </c>
      <c r="EM19">
        <v>1.16208</v>
      </c>
      <c r="EN19">
        <v>1.2117599999999999</v>
      </c>
      <c r="EO19">
        <v>1.2293400000000001</v>
      </c>
      <c r="EP19">
        <v>1.0483800000000001</v>
      </c>
      <c r="EQ19">
        <v>1.00068</v>
      </c>
      <c r="ER19">
        <v>0.96286000000000005</v>
      </c>
      <c r="ES19">
        <v>1.0709599999999999</v>
      </c>
    </row>
    <row r="20" spans="1:149" x14ac:dyDescent="0.35">
      <c r="A20" s="77"/>
      <c r="B20" s="77">
        <v>418</v>
      </c>
      <c r="C20" s="77">
        <v>0.65073999999999999</v>
      </c>
      <c r="D20" s="77">
        <v>0.46755999999999998</v>
      </c>
      <c r="E20" s="77">
        <v>0.71555000000000002</v>
      </c>
      <c r="F20" s="77">
        <v>0.54513999999999996</v>
      </c>
      <c r="G20" s="77">
        <v>0.57018000000000002</v>
      </c>
      <c r="H20" s="77">
        <v>0.55630000000000002</v>
      </c>
      <c r="I20" s="77">
        <v>0.57909999999999995</v>
      </c>
      <c r="J20" s="77">
        <v>0.52398999999999996</v>
      </c>
      <c r="K20" s="77">
        <v>0.59392999999999996</v>
      </c>
      <c r="L20" s="77">
        <v>0.58199000000000001</v>
      </c>
      <c r="M20" s="77">
        <v>0.60675000000000001</v>
      </c>
      <c r="N20" s="77">
        <v>0.61577999999999999</v>
      </c>
      <c r="O20" s="77">
        <v>0.52485999999999999</v>
      </c>
      <c r="P20" s="77">
        <v>0.50049999999999994</v>
      </c>
      <c r="Q20" s="77">
        <v>0.48196</v>
      </c>
      <c r="R20" s="77">
        <v>0.53581000000000001</v>
      </c>
      <c r="T20">
        <v>418</v>
      </c>
      <c r="U20">
        <f t="shared" si="0"/>
        <v>1.30148</v>
      </c>
      <c r="V20">
        <f t="shared" si="1"/>
        <v>0.93511999999999995</v>
      </c>
      <c r="W20">
        <f t="shared" si="2"/>
        <v>1.4311</v>
      </c>
      <c r="X20">
        <f t="shared" si="3"/>
        <v>1.0902799999999999</v>
      </c>
      <c r="Y20">
        <f t="shared" si="4"/>
        <v>1.14036</v>
      </c>
      <c r="Z20">
        <f t="shared" si="5"/>
        <v>1.1126</v>
      </c>
      <c r="AA20">
        <f t="shared" si="6"/>
        <v>1.1581999999999999</v>
      </c>
      <c r="AB20">
        <f t="shared" si="7"/>
        <v>1.0479799999999999</v>
      </c>
      <c r="AC20">
        <f t="shared" si="8"/>
        <v>1.1878599999999999</v>
      </c>
      <c r="AD20">
        <f t="shared" si="9"/>
        <v>1.16398</v>
      </c>
      <c r="AE20">
        <f t="shared" si="10"/>
        <v>1.2135</v>
      </c>
      <c r="AF20">
        <f t="shared" si="11"/>
        <v>1.23156</v>
      </c>
      <c r="AG20">
        <f t="shared" si="12"/>
        <v>1.04972</v>
      </c>
      <c r="AH20">
        <f t="shared" si="13"/>
        <v>1.0009999999999999</v>
      </c>
      <c r="AI20">
        <f t="shared" si="14"/>
        <v>0.96392</v>
      </c>
      <c r="AJ20">
        <f t="shared" si="15"/>
        <v>1.07162</v>
      </c>
      <c r="EC20">
        <v>418</v>
      </c>
      <c r="ED20">
        <v>1.30148</v>
      </c>
      <c r="EE20">
        <v>0.93511999999999995</v>
      </c>
      <c r="EF20">
        <v>1.4311</v>
      </c>
      <c r="EG20">
        <v>1.0902799999999999</v>
      </c>
      <c r="EH20">
        <v>1.14036</v>
      </c>
      <c r="EI20">
        <v>1.1126</v>
      </c>
      <c r="EJ20">
        <v>1.1581999999999999</v>
      </c>
      <c r="EK20">
        <v>1.0479799999999999</v>
      </c>
      <c r="EL20">
        <v>1.1878599999999999</v>
      </c>
      <c r="EM20">
        <v>1.16398</v>
      </c>
      <c r="EN20">
        <v>1.2135</v>
      </c>
      <c r="EO20">
        <v>1.23156</v>
      </c>
      <c r="EP20">
        <v>1.04972</v>
      </c>
      <c r="EQ20">
        <v>1.0009999999999999</v>
      </c>
      <c r="ER20">
        <v>0.96392</v>
      </c>
      <c r="ES20">
        <v>1.07162</v>
      </c>
    </row>
    <row r="21" spans="1:149" x14ac:dyDescent="0.35">
      <c r="A21" s="77"/>
      <c r="B21" s="77">
        <v>419</v>
      </c>
      <c r="C21" s="77">
        <v>0.65230999999999995</v>
      </c>
      <c r="D21" s="77">
        <v>0.46866999999999998</v>
      </c>
      <c r="E21" s="77">
        <v>0.71753</v>
      </c>
      <c r="F21" s="77">
        <v>0.54671000000000003</v>
      </c>
      <c r="G21" s="77">
        <v>0.57118000000000002</v>
      </c>
      <c r="H21" s="77">
        <v>0.55727000000000004</v>
      </c>
      <c r="I21" s="77">
        <v>0.57979999999999998</v>
      </c>
      <c r="J21" s="77">
        <v>0.52466999999999997</v>
      </c>
      <c r="K21" s="77">
        <v>0.59457000000000004</v>
      </c>
      <c r="L21" s="77">
        <v>0.58292999999999995</v>
      </c>
      <c r="M21" s="77">
        <v>0.60738999999999999</v>
      </c>
      <c r="N21" s="77">
        <v>0.61621000000000004</v>
      </c>
      <c r="O21" s="77">
        <v>0.52515999999999996</v>
      </c>
      <c r="P21" s="77">
        <v>0.50083999999999995</v>
      </c>
      <c r="Q21" s="77">
        <v>0.48227999999999999</v>
      </c>
      <c r="R21" s="77">
        <v>0.53629000000000004</v>
      </c>
      <c r="T21">
        <v>419</v>
      </c>
      <c r="U21">
        <f t="shared" si="0"/>
        <v>1.3046199999999999</v>
      </c>
      <c r="V21">
        <f t="shared" si="1"/>
        <v>0.93733999999999995</v>
      </c>
      <c r="W21">
        <f t="shared" si="2"/>
        <v>1.43506</v>
      </c>
      <c r="X21">
        <f t="shared" si="3"/>
        <v>1.0934200000000001</v>
      </c>
      <c r="Y21">
        <f t="shared" si="4"/>
        <v>1.14236</v>
      </c>
      <c r="Z21">
        <f t="shared" si="5"/>
        <v>1.1145400000000001</v>
      </c>
      <c r="AA21">
        <f t="shared" si="6"/>
        <v>1.1596</v>
      </c>
      <c r="AB21">
        <f t="shared" si="7"/>
        <v>1.0493399999999999</v>
      </c>
      <c r="AC21">
        <f t="shared" si="8"/>
        <v>1.1891400000000001</v>
      </c>
      <c r="AD21">
        <f t="shared" si="9"/>
        <v>1.1658599999999999</v>
      </c>
      <c r="AE21">
        <f t="shared" si="10"/>
        <v>1.21478</v>
      </c>
      <c r="AF21">
        <f t="shared" si="11"/>
        <v>1.2324200000000001</v>
      </c>
      <c r="AG21">
        <f t="shared" si="12"/>
        <v>1.0503199999999999</v>
      </c>
      <c r="AH21">
        <f t="shared" si="13"/>
        <v>1.0016799999999999</v>
      </c>
      <c r="AI21">
        <f t="shared" si="14"/>
        <v>0.96455999999999997</v>
      </c>
      <c r="AJ21">
        <f t="shared" si="15"/>
        <v>1.0725800000000001</v>
      </c>
      <c r="EC21">
        <v>419</v>
      </c>
      <c r="ED21">
        <v>1.3046199999999999</v>
      </c>
      <c r="EE21">
        <v>0.93733999999999995</v>
      </c>
      <c r="EF21">
        <v>1.43506</v>
      </c>
      <c r="EG21">
        <v>1.0934200000000001</v>
      </c>
      <c r="EH21">
        <v>1.14236</v>
      </c>
      <c r="EI21">
        <v>1.1145400000000001</v>
      </c>
      <c r="EJ21">
        <v>1.1596</v>
      </c>
      <c r="EK21">
        <v>1.0493399999999999</v>
      </c>
      <c r="EL21">
        <v>1.1891400000000001</v>
      </c>
      <c r="EM21">
        <v>1.1658599999999999</v>
      </c>
      <c r="EN21">
        <v>1.21478</v>
      </c>
      <c r="EO21">
        <v>1.2324200000000001</v>
      </c>
      <c r="EP21">
        <v>1.0503199999999999</v>
      </c>
      <c r="EQ21">
        <v>1.0016799999999999</v>
      </c>
      <c r="ER21">
        <v>0.96455999999999997</v>
      </c>
      <c r="ES21">
        <v>1.0725800000000001</v>
      </c>
    </row>
    <row r="22" spans="1:149" x14ac:dyDescent="0.35">
      <c r="A22" s="77"/>
      <c r="B22" s="77">
        <v>420</v>
      </c>
      <c r="C22" s="77">
        <v>0.65378999999999998</v>
      </c>
      <c r="D22" s="77">
        <v>0.46973999999999999</v>
      </c>
      <c r="E22" s="77">
        <v>0.71945000000000003</v>
      </c>
      <c r="F22" s="77">
        <v>0.54781999999999997</v>
      </c>
      <c r="G22" s="77">
        <v>0.57191000000000003</v>
      </c>
      <c r="H22" s="77">
        <v>0.55803000000000003</v>
      </c>
      <c r="I22" s="77">
        <v>0.58057999999999998</v>
      </c>
      <c r="J22" s="77">
        <v>0.52544999999999997</v>
      </c>
      <c r="K22" s="77">
        <v>0.59531000000000001</v>
      </c>
      <c r="L22" s="77">
        <v>0.58347000000000004</v>
      </c>
      <c r="M22" s="77">
        <v>0.60806000000000004</v>
      </c>
      <c r="N22" s="77">
        <v>0.61697000000000002</v>
      </c>
      <c r="O22" s="77">
        <v>0.52534000000000003</v>
      </c>
      <c r="P22" s="77">
        <v>0.50107999999999997</v>
      </c>
      <c r="Q22" s="77">
        <v>0.48221000000000003</v>
      </c>
      <c r="R22" s="77">
        <v>0.53637999999999997</v>
      </c>
      <c r="T22">
        <v>420</v>
      </c>
      <c r="U22">
        <f t="shared" si="0"/>
        <v>1.30758</v>
      </c>
      <c r="V22">
        <f t="shared" si="1"/>
        <v>0.93947999999999998</v>
      </c>
      <c r="W22">
        <f t="shared" si="2"/>
        <v>1.4389000000000001</v>
      </c>
      <c r="X22">
        <f t="shared" si="3"/>
        <v>1.0956399999999999</v>
      </c>
      <c r="Y22">
        <f t="shared" si="4"/>
        <v>1.1438200000000001</v>
      </c>
      <c r="Z22">
        <f t="shared" si="5"/>
        <v>1.1160600000000001</v>
      </c>
      <c r="AA22">
        <f t="shared" si="6"/>
        <v>1.16116</v>
      </c>
      <c r="AB22">
        <f t="shared" si="7"/>
        <v>1.0508999999999999</v>
      </c>
      <c r="AC22">
        <f t="shared" si="8"/>
        <v>1.19062</v>
      </c>
      <c r="AD22">
        <f t="shared" si="9"/>
        <v>1.1669400000000001</v>
      </c>
      <c r="AE22">
        <f t="shared" si="10"/>
        <v>1.2161200000000001</v>
      </c>
      <c r="AF22">
        <f t="shared" si="11"/>
        <v>1.23394</v>
      </c>
      <c r="AG22">
        <f t="shared" si="12"/>
        <v>1.0506800000000001</v>
      </c>
      <c r="AH22">
        <f t="shared" si="13"/>
        <v>1.0021599999999999</v>
      </c>
      <c r="AI22">
        <f t="shared" si="14"/>
        <v>0.96442000000000005</v>
      </c>
      <c r="AJ22">
        <f t="shared" si="15"/>
        <v>1.0727599999999999</v>
      </c>
      <c r="EC22">
        <v>420</v>
      </c>
      <c r="ED22">
        <v>1.30758</v>
      </c>
      <c r="EE22">
        <v>0.93947999999999998</v>
      </c>
      <c r="EF22">
        <v>1.4389000000000001</v>
      </c>
      <c r="EG22">
        <v>1.0956399999999999</v>
      </c>
      <c r="EH22">
        <v>1.1438200000000001</v>
      </c>
      <c r="EI22">
        <v>1.1160600000000001</v>
      </c>
      <c r="EJ22">
        <v>1.16116</v>
      </c>
      <c r="EK22">
        <v>1.0508999999999999</v>
      </c>
      <c r="EL22">
        <v>1.19062</v>
      </c>
      <c r="EM22">
        <v>1.1669400000000001</v>
      </c>
      <c r="EN22">
        <v>1.2161200000000001</v>
      </c>
      <c r="EO22">
        <v>1.23394</v>
      </c>
      <c r="EP22">
        <v>1.0506800000000001</v>
      </c>
      <c r="EQ22">
        <v>1.0021599999999999</v>
      </c>
      <c r="ER22">
        <v>0.96442000000000005</v>
      </c>
      <c r="ES22">
        <v>1.0727599999999999</v>
      </c>
    </row>
    <row r="23" spans="1:149" x14ac:dyDescent="0.35">
      <c r="A23" s="77"/>
      <c r="B23" s="77">
        <v>421</v>
      </c>
      <c r="C23" s="77">
        <v>0.65541000000000005</v>
      </c>
      <c r="D23" s="77">
        <v>0.47081000000000001</v>
      </c>
      <c r="E23" s="77">
        <v>0.72089999999999999</v>
      </c>
      <c r="F23" s="77">
        <v>0.54935</v>
      </c>
      <c r="G23" s="77">
        <v>0.5726</v>
      </c>
      <c r="H23" s="77">
        <v>0.55845999999999996</v>
      </c>
      <c r="I23" s="77">
        <v>0.58133000000000001</v>
      </c>
      <c r="J23" s="77">
        <v>0.52603</v>
      </c>
      <c r="K23" s="77">
        <v>0.59567000000000003</v>
      </c>
      <c r="L23" s="77">
        <v>0.58394999999999997</v>
      </c>
      <c r="M23" s="77">
        <v>0.60892000000000002</v>
      </c>
      <c r="N23" s="77">
        <v>0.61758000000000002</v>
      </c>
      <c r="O23" s="77">
        <v>0.52612000000000003</v>
      </c>
      <c r="P23" s="77">
        <v>0.50141999999999998</v>
      </c>
      <c r="Q23" s="77">
        <v>0.48270999999999997</v>
      </c>
      <c r="R23" s="77">
        <v>0.53683000000000003</v>
      </c>
      <c r="T23">
        <v>421</v>
      </c>
      <c r="U23">
        <f t="shared" si="0"/>
        <v>1.3108200000000001</v>
      </c>
      <c r="V23">
        <f t="shared" si="1"/>
        <v>0.94162000000000001</v>
      </c>
      <c r="W23">
        <f t="shared" si="2"/>
        <v>1.4418</v>
      </c>
      <c r="X23">
        <f t="shared" si="3"/>
        <v>1.0987</v>
      </c>
      <c r="Y23">
        <f t="shared" si="4"/>
        <v>1.1452</v>
      </c>
      <c r="Z23">
        <f t="shared" si="5"/>
        <v>1.1169199999999999</v>
      </c>
      <c r="AA23">
        <f t="shared" si="6"/>
        <v>1.16266</v>
      </c>
      <c r="AB23">
        <f t="shared" si="7"/>
        <v>1.05206</v>
      </c>
      <c r="AC23">
        <f t="shared" si="8"/>
        <v>1.1913400000000001</v>
      </c>
      <c r="AD23">
        <f t="shared" si="9"/>
        <v>1.1678999999999999</v>
      </c>
      <c r="AE23">
        <f t="shared" si="10"/>
        <v>1.21784</v>
      </c>
      <c r="AF23">
        <f t="shared" si="11"/>
        <v>1.23516</v>
      </c>
      <c r="AG23">
        <f t="shared" si="12"/>
        <v>1.0522400000000001</v>
      </c>
      <c r="AH23">
        <f t="shared" si="13"/>
        <v>1.00284</v>
      </c>
      <c r="AI23">
        <f t="shared" si="14"/>
        <v>0.96541999999999994</v>
      </c>
      <c r="AJ23">
        <f t="shared" si="15"/>
        <v>1.0736600000000001</v>
      </c>
      <c r="EC23">
        <v>421</v>
      </c>
      <c r="ED23">
        <v>1.3108200000000001</v>
      </c>
      <c r="EE23">
        <v>0.94162000000000001</v>
      </c>
      <c r="EF23">
        <v>1.4418</v>
      </c>
      <c r="EG23">
        <v>1.0987</v>
      </c>
      <c r="EH23">
        <v>1.1452</v>
      </c>
      <c r="EI23">
        <v>1.1169199999999999</v>
      </c>
      <c r="EJ23">
        <v>1.16266</v>
      </c>
      <c r="EK23">
        <v>1.05206</v>
      </c>
      <c r="EL23">
        <v>1.1913400000000001</v>
      </c>
      <c r="EM23">
        <v>1.1678999999999999</v>
      </c>
      <c r="EN23">
        <v>1.21784</v>
      </c>
      <c r="EO23">
        <v>1.23516</v>
      </c>
      <c r="EP23">
        <v>1.0522400000000001</v>
      </c>
      <c r="EQ23">
        <v>1.00284</v>
      </c>
      <c r="ER23">
        <v>0.96541999999999994</v>
      </c>
      <c r="ES23">
        <v>1.0736600000000001</v>
      </c>
    </row>
    <row r="24" spans="1:149" x14ac:dyDescent="0.35">
      <c r="A24" s="77"/>
      <c r="B24" s="77">
        <v>422</v>
      </c>
      <c r="C24" s="77">
        <v>0.65676999999999996</v>
      </c>
      <c r="D24" s="77">
        <v>0.4718</v>
      </c>
      <c r="E24" s="77">
        <v>0.72304000000000002</v>
      </c>
      <c r="F24" s="77">
        <v>0.55047999999999997</v>
      </c>
      <c r="G24" s="77">
        <v>0.57325999999999999</v>
      </c>
      <c r="H24" s="77">
        <v>0.55915999999999999</v>
      </c>
      <c r="I24" s="77">
        <v>0.58182</v>
      </c>
      <c r="J24" s="77">
        <v>0.52637</v>
      </c>
      <c r="K24" s="77">
        <v>0.59619</v>
      </c>
      <c r="L24" s="77">
        <v>0.58450000000000002</v>
      </c>
      <c r="M24" s="77">
        <v>0.60936000000000001</v>
      </c>
      <c r="N24" s="77">
        <v>0.61797999999999997</v>
      </c>
      <c r="O24" s="77">
        <v>0.52646000000000004</v>
      </c>
      <c r="P24" s="77">
        <v>0.50165000000000004</v>
      </c>
      <c r="Q24" s="77">
        <v>0.48293000000000003</v>
      </c>
      <c r="R24" s="77">
        <v>0.53705999999999998</v>
      </c>
      <c r="T24">
        <v>422</v>
      </c>
      <c r="U24">
        <f t="shared" si="0"/>
        <v>1.3135399999999999</v>
      </c>
      <c r="V24">
        <f t="shared" si="1"/>
        <v>0.94359999999999999</v>
      </c>
      <c r="W24">
        <f t="shared" si="2"/>
        <v>1.44608</v>
      </c>
      <c r="X24">
        <f t="shared" si="3"/>
        <v>1.1009599999999999</v>
      </c>
      <c r="Y24">
        <f t="shared" si="4"/>
        <v>1.14652</v>
      </c>
      <c r="Z24">
        <f t="shared" si="5"/>
        <v>1.11832</v>
      </c>
      <c r="AA24">
        <f t="shared" si="6"/>
        <v>1.16364</v>
      </c>
      <c r="AB24">
        <f t="shared" si="7"/>
        <v>1.05274</v>
      </c>
      <c r="AC24">
        <f t="shared" si="8"/>
        <v>1.19238</v>
      </c>
      <c r="AD24">
        <f t="shared" si="9"/>
        <v>1.169</v>
      </c>
      <c r="AE24">
        <f t="shared" si="10"/>
        <v>1.21872</v>
      </c>
      <c r="AF24">
        <f t="shared" si="11"/>
        <v>1.2359599999999999</v>
      </c>
      <c r="AG24">
        <f t="shared" si="12"/>
        <v>1.0529200000000001</v>
      </c>
      <c r="AH24">
        <f t="shared" si="13"/>
        <v>1.0033000000000001</v>
      </c>
      <c r="AI24">
        <f t="shared" si="14"/>
        <v>0.96586000000000005</v>
      </c>
      <c r="AJ24">
        <f t="shared" si="15"/>
        <v>1.07412</v>
      </c>
      <c r="EC24">
        <v>422</v>
      </c>
      <c r="ED24">
        <v>1.3135399999999999</v>
      </c>
      <c r="EE24">
        <v>0.94359999999999999</v>
      </c>
      <c r="EF24">
        <v>1.44608</v>
      </c>
      <c r="EG24">
        <v>1.1009599999999999</v>
      </c>
      <c r="EH24">
        <v>1.14652</v>
      </c>
      <c r="EI24">
        <v>1.11832</v>
      </c>
      <c r="EJ24">
        <v>1.16364</v>
      </c>
      <c r="EK24">
        <v>1.05274</v>
      </c>
      <c r="EL24">
        <v>1.19238</v>
      </c>
      <c r="EM24">
        <v>1.169</v>
      </c>
      <c r="EN24">
        <v>1.21872</v>
      </c>
      <c r="EO24">
        <v>1.2359599999999999</v>
      </c>
      <c r="EP24">
        <v>1.0529200000000001</v>
      </c>
      <c r="EQ24">
        <v>1.0033000000000001</v>
      </c>
      <c r="ER24">
        <v>0.96586000000000005</v>
      </c>
      <c r="ES24">
        <v>1.07412</v>
      </c>
    </row>
    <row r="25" spans="1:149" x14ac:dyDescent="0.35">
      <c r="A25" s="77"/>
      <c r="B25" s="77">
        <v>423</v>
      </c>
      <c r="C25" s="77">
        <v>0.65790000000000004</v>
      </c>
      <c r="D25" s="77">
        <v>0.47276000000000001</v>
      </c>
      <c r="E25" s="77">
        <v>0.72440000000000004</v>
      </c>
      <c r="F25" s="77">
        <v>0.55161000000000004</v>
      </c>
      <c r="G25" s="77">
        <v>0.57350000000000001</v>
      </c>
      <c r="H25" s="77">
        <v>0.55939000000000005</v>
      </c>
      <c r="I25" s="77">
        <v>0.58238000000000001</v>
      </c>
      <c r="J25" s="77">
        <v>0.52668999999999999</v>
      </c>
      <c r="K25" s="77">
        <v>0.59633999999999998</v>
      </c>
      <c r="L25" s="77">
        <v>0.58448999999999995</v>
      </c>
      <c r="M25" s="77">
        <v>0.60960000000000003</v>
      </c>
      <c r="N25" s="77">
        <v>0.61838000000000004</v>
      </c>
      <c r="O25" s="77">
        <v>0.52669999999999995</v>
      </c>
      <c r="P25" s="77">
        <v>0.50217000000000001</v>
      </c>
      <c r="Q25" s="77">
        <v>0.48333999999999999</v>
      </c>
      <c r="R25" s="77">
        <v>0.53754999999999997</v>
      </c>
      <c r="T25">
        <v>423</v>
      </c>
      <c r="U25">
        <f t="shared" si="0"/>
        <v>1.3158000000000001</v>
      </c>
      <c r="V25">
        <f t="shared" si="1"/>
        <v>0.94552000000000003</v>
      </c>
      <c r="W25">
        <f t="shared" si="2"/>
        <v>1.4488000000000001</v>
      </c>
      <c r="X25">
        <f t="shared" si="3"/>
        <v>1.1032200000000001</v>
      </c>
      <c r="Y25">
        <f t="shared" si="4"/>
        <v>1.147</v>
      </c>
      <c r="Z25">
        <f t="shared" si="5"/>
        <v>1.1187800000000001</v>
      </c>
      <c r="AA25">
        <f t="shared" si="6"/>
        <v>1.16476</v>
      </c>
      <c r="AB25">
        <f t="shared" si="7"/>
        <v>1.05338</v>
      </c>
      <c r="AC25">
        <f t="shared" si="8"/>
        <v>1.19268</v>
      </c>
      <c r="AD25">
        <f t="shared" si="9"/>
        <v>1.1689799999999999</v>
      </c>
      <c r="AE25">
        <f t="shared" si="10"/>
        <v>1.2192000000000001</v>
      </c>
      <c r="AF25">
        <f t="shared" si="11"/>
        <v>1.2367600000000001</v>
      </c>
      <c r="AG25">
        <f t="shared" si="12"/>
        <v>1.0533999999999999</v>
      </c>
      <c r="AH25">
        <f t="shared" si="13"/>
        <v>1.00434</v>
      </c>
      <c r="AI25">
        <f t="shared" si="14"/>
        <v>0.96667999999999998</v>
      </c>
      <c r="AJ25">
        <f t="shared" si="15"/>
        <v>1.0750999999999999</v>
      </c>
      <c r="EC25">
        <v>423</v>
      </c>
      <c r="ED25">
        <v>1.3158000000000001</v>
      </c>
      <c r="EE25">
        <v>0.94552000000000003</v>
      </c>
      <c r="EF25">
        <v>1.4488000000000001</v>
      </c>
      <c r="EG25">
        <v>1.1032200000000001</v>
      </c>
      <c r="EH25">
        <v>1.147</v>
      </c>
      <c r="EI25">
        <v>1.1187800000000001</v>
      </c>
      <c r="EJ25">
        <v>1.16476</v>
      </c>
      <c r="EK25">
        <v>1.05338</v>
      </c>
      <c r="EL25">
        <v>1.19268</v>
      </c>
      <c r="EM25">
        <v>1.1689799999999999</v>
      </c>
      <c r="EN25">
        <v>1.2192000000000001</v>
      </c>
      <c r="EO25">
        <v>1.2367600000000001</v>
      </c>
      <c r="EP25">
        <v>1.0533999999999999</v>
      </c>
      <c r="EQ25">
        <v>1.00434</v>
      </c>
      <c r="ER25">
        <v>0.96667999999999998</v>
      </c>
      <c r="ES25">
        <v>1.0750999999999999</v>
      </c>
    </row>
    <row r="26" spans="1:149" x14ac:dyDescent="0.35">
      <c r="A26" s="77"/>
      <c r="B26" s="77">
        <v>424</v>
      </c>
      <c r="C26" s="77">
        <v>0.6593</v>
      </c>
      <c r="D26" s="77">
        <v>0.47354000000000002</v>
      </c>
      <c r="E26" s="77">
        <v>0.72594000000000003</v>
      </c>
      <c r="F26" s="77">
        <v>0.55266000000000004</v>
      </c>
      <c r="G26" s="77">
        <v>0.57433000000000001</v>
      </c>
      <c r="H26" s="77">
        <v>0.56001000000000001</v>
      </c>
      <c r="I26" s="77">
        <v>0.58287</v>
      </c>
      <c r="J26" s="77">
        <v>0.52698</v>
      </c>
      <c r="K26" s="77">
        <v>0.59694000000000003</v>
      </c>
      <c r="L26" s="77">
        <v>0.58501999999999998</v>
      </c>
      <c r="M26" s="77">
        <v>0.61016999999999999</v>
      </c>
      <c r="N26" s="77">
        <v>0.61875999999999998</v>
      </c>
      <c r="O26" s="77">
        <v>0.52681</v>
      </c>
      <c r="P26" s="77">
        <v>0.50202999999999998</v>
      </c>
      <c r="Q26" s="77">
        <v>0.48335</v>
      </c>
      <c r="R26" s="77">
        <v>0.53773000000000004</v>
      </c>
      <c r="T26">
        <v>424</v>
      </c>
      <c r="U26">
        <f t="shared" si="0"/>
        <v>1.3186</v>
      </c>
      <c r="V26">
        <f t="shared" si="1"/>
        <v>0.94708000000000003</v>
      </c>
      <c r="W26">
        <f t="shared" si="2"/>
        <v>1.4518800000000001</v>
      </c>
      <c r="X26">
        <f t="shared" si="3"/>
        <v>1.1053200000000001</v>
      </c>
      <c r="Y26">
        <f t="shared" si="4"/>
        <v>1.14866</v>
      </c>
      <c r="Z26">
        <f t="shared" si="5"/>
        <v>1.12002</v>
      </c>
      <c r="AA26">
        <f t="shared" si="6"/>
        <v>1.16574</v>
      </c>
      <c r="AB26">
        <f t="shared" si="7"/>
        <v>1.05396</v>
      </c>
      <c r="AC26">
        <f t="shared" si="8"/>
        <v>1.1938800000000001</v>
      </c>
      <c r="AD26">
        <f t="shared" si="9"/>
        <v>1.17004</v>
      </c>
      <c r="AE26">
        <f t="shared" si="10"/>
        <v>1.22034</v>
      </c>
      <c r="AF26">
        <f t="shared" si="11"/>
        <v>1.23752</v>
      </c>
      <c r="AG26">
        <f t="shared" si="12"/>
        <v>1.05362</v>
      </c>
      <c r="AH26">
        <f t="shared" si="13"/>
        <v>1.00406</v>
      </c>
      <c r="AI26">
        <f t="shared" si="14"/>
        <v>0.9667</v>
      </c>
      <c r="AJ26">
        <f t="shared" si="15"/>
        <v>1.0754600000000001</v>
      </c>
      <c r="EC26">
        <v>424</v>
      </c>
      <c r="ED26">
        <v>1.3186</v>
      </c>
      <c r="EE26">
        <v>0.94708000000000003</v>
      </c>
      <c r="EF26">
        <v>1.4518800000000001</v>
      </c>
      <c r="EG26">
        <v>1.1053200000000001</v>
      </c>
      <c r="EH26">
        <v>1.14866</v>
      </c>
      <c r="EI26">
        <v>1.12002</v>
      </c>
      <c r="EJ26">
        <v>1.16574</v>
      </c>
      <c r="EK26">
        <v>1.05396</v>
      </c>
      <c r="EL26">
        <v>1.1938800000000001</v>
      </c>
      <c r="EM26">
        <v>1.17004</v>
      </c>
      <c r="EN26">
        <v>1.22034</v>
      </c>
      <c r="EO26">
        <v>1.23752</v>
      </c>
      <c r="EP26">
        <v>1.05362</v>
      </c>
      <c r="EQ26">
        <v>1.00406</v>
      </c>
      <c r="ER26">
        <v>0.9667</v>
      </c>
      <c r="ES26">
        <v>1.0754600000000001</v>
      </c>
    </row>
    <row r="27" spans="1:149" x14ac:dyDescent="0.35">
      <c r="A27" s="77"/>
      <c r="B27" s="77">
        <v>425</v>
      </c>
      <c r="C27" s="77">
        <v>0.66042000000000001</v>
      </c>
      <c r="D27" s="77">
        <v>0.47449000000000002</v>
      </c>
      <c r="E27" s="77">
        <v>0.72748000000000002</v>
      </c>
      <c r="F27" s="77">
        <v>0.55401999999999996</v>
      </c>
      <c r="G27" s="77">
        <v>0.57491000000000003</v>
      </c>
      <c r="H27" s="77">
        <v>0.56059000000000003</v>
      </c>
      <c r="I27" s="77">
        <v>0.58374000000000004</v>
      </c>
      <c r="J27" s="77">
        <v>0.52764999999999995</v>
      </c>
      <c r="K27" s="77">
        <v>0.59743999999999997</v>
      </c>
      <c r="L27" s="77">
        <v>0.58559000000000005</v>
      </c>
      <c r="M27" s="77">
        <v>0.61056999999999995</v>
      </c>
      <c r="N27" s="77">
        <v>0.61951999999999996</v>
      </c>
      <c r="O27" s="77">
        <v>0.52707999999999999</v>
      </c>
      <c r="P27" s="77">
        <v>0.50251999999999997</v>
      </c>
      <c r="Q27" s="77">
        <v>0.48381000000000002</v>
      </c>
      <c r="R27" s="77">
        <v>0.53830999999999996</v>
      </c>
      <c r="T27">
        <v>425</v>
      </c>
      <c r="U27">
        <f t="shared" si="0"/>
        <v>1.32084</v>
      </c>
      <c r="V27">
        <f t="shared" si="1"/>
        <v>0.94898000000000005</v>
      </c>
      <c r="W27">
        <f t="shared" si="2"/>
        <v>1.45496</v>
      </c>
      <c r="X27">
        <f t="shared" si="3"/>
        <v>1.1080399999999999</v>
      </c>
      <c r="Y27">
        <f t="shared" si="4"/>
        <v>1.1498200000000001</v>
      </c>
      <c r="Z27">
        <f t="shared" si="5"/>
        <v>1.1211800000000001</v>
      </c>
      <c r="AA27">
        <f t="shared" si="6"/>
        <v>1.1674800000000001</v>
      </c>
      <c r="AB27">
        <f t="shared" si="7"/>
        <v>1.0552999999999999</v>
      </c>
      <c r="AC27">
        <f t="shared" si="8"/>
        <v>1.1948799999999999</v>
      </c>
      <c r="AD27">
        <f t="shared" si="9"/>
        <v>1.1711800000000001</v>
      </c>
      <c r="AE27">
        <f t="shared" si="10"/>
        <v>1.2211399999999999</v>
      </c>
      <c r="AF27">
        <f t="shared" si="11"/>
        <v>1.2390399999999999</v>
      </c>
      <c r="AG27">
        <f t="shared" si="12"/>
        <v>1.05416</v>
      </c>
      <c r="AH27">
        <f t="shared" si="13"/>
        <v>1.0050399999999999</v>
      </c>
      <c r="AI27">
        <f t="shared" si="14"/>
        <v>0.96762000000000004</v>
      </c>
      <c r="AJ27">
        <f t="shared" si="15"/>
        <v>1.0766199999999999</v>
      </c>
      <c r="EC27">
        <v>425</v>
      </c>
      <c r="ED27">
        <v>1.32084</v>
      </c>
      <c r="EE27">
        <v>0.94898000000000005</v>
      </c>
      <c r="EF27">
        <v>1.45496</v>
      </c>
      <c r="EG27">
        <v>1.1080399999999999</v>
      </c>
      <c r="EH27">
        <v>1.1498200000000001</v>
      </c>
      <c r="EI27">
        <v>1.1211800000000001</v>
      </c>
      <c r="EJ27">
        <v>1.1674800000000001</v>
      </c>
      <c r="EK27">
        <v>1.0552999999999999</v>
      </c>
      <c r="EL27">
        <v>1.1948799999999999</v>
      </c>
      <c r="EM27">
        <v>1.1711800000000001</v>
      </c>
      <c r="EN27">
        <v>1.2211399999999999</v>
      </c>
      <c r="EO27">
        <v>1.2390399999999999</v>
      </c>
      <c r="EP27">
        <v>1.05416</v>
      </c>
      <c r="EQ27">
        <v>1.0050399999999999</v>
      </c>
      <c r="ER27">
        <v>0.96762000000000004</v>
      </c>
      <c r="ES27">
        <v>1.0766199999999999</v>
      </c>
    </row>
    <row r="28" spans="1:149" x14ac:dyDescent="0.35">
      <c r="A28" s="77"/>
      <c r="B28" s="77">
        <v>426</v>
      </c>
      <c r="C28" s="77">
        <v>0.66173999999999999</v>
      </c>
      <c r="D28" s="77">
        <v>0.47549000000000002</v>
      </c>
      <c r="E28" s="77">
        <v>0.72907999999999995</v>
      </c>
      <c r="F28" s="77">
        <v>0.55525000000000002</v>
      </c>
      <c r="G28" s="77">
        <v>0.57542000000000004</v>
      </c>
      <c r="H28" s="77">
        <v>0.56106999999999996</v>
      </c>
      <c r="I28" s="77">
        <v>0.58413999999999999</v>
      </c>
      <c r="J28" s="77">
        <v>0.52814000000000005</v>
      </c>
      <c r="K28" s="77">
        <v>0.59779000000000004</v>
      </c>
      <c r="L28" s="77">
        <v>0.58606999999999998</v>
      </c>
      <c r="M28" s="77">
        <v>0.61136999999999997</v>
      </c>
      <c r="N28" s="77">
        <v>0.61990000000000001</v>
      </c>
      <c r="O28" s="77">
        <v>0.52759999999999996</v>
      </c>
      <c r="P28" s="77">
        <v>0.50287999999999999</v>
      </c>
      <c r="Q28" s="77">
        <v>0.48404999999999998</v>
      </c>
      <c r="R28" s="77">
        <v>0.53835</v>
      </c>
      <c r="T28">
        <v>426</v>
      </c>
      <c r="U28">
        <f t="shared" si="0"/>
        <v>1.32348</v>
      </c>
      <c r="V28">
        <f t="shared" si="1"/>
        <v>0.95098000000000005</v>
      </c>
      <c r="W28">
        <f t="shared" si="2"/>
        <v>1.4581599999999999</v>
      </c>
      <c r="X28">
        <f t="shared" si="3"/>
        <v>1.1105</v>
      </c>
      <c r="Y28">
        <f t="shared" si="4"/>
        <v>1.1508400000000001</v>
      </c>
      <c r="Z28">
        <f t="shared" si="5"/>
        <v>1.1221399999999999</v>
      </c>
      <c r="AA28">
        <f t="shared" si="6"/>
        <v>1.16828</v>
      </c>
      <c r="AB28">
        <f t="shared" si="7"/>
        <v>1.0562800000000001</v>
      </c>
      <c r="AC28">
        <f t="shared" si="8"/>
        <v>1.1955800000000001</v>
      </c>
      <c r="AD28">
        <f t="shared" si="9"/>
        <v>1.17214</v>
      </c>
      <c r="AE28">
        <f t="shared" si="10"/>
        <v>1.2227399999999999</v>
      </c>
      <c r="AF28">
        <f t="shared" si="11"/>
        <v>1.2398</v>
      </c>
      <c r="AG28">
        <f t="shared" si="12"/>
        <v>1.0551999999999999</v>
      </c>
      <c r="AH28">
        <f t="shared" si="13"/>
        <v>1.00576</v>
      </c>
      <c r="AI28">
        <f t="shared" si="14"/>
        <v>0.96809999999999996</v>
      </c>
      <c r="AJ28">
        <f t="shared" si="15"/>
        <v>1.0767</v>
      </c>
      <c r="EC28">
        <v>426</v>
      </c>
      <c r="ED28">
        <v>1.32348</v>
      </c>
      <c r="EE28">
        <v>0.95098000000000005</v>
      </c>
      <c r="EF28">
        <v>1.4581599999999999</v>
      </c>
      <c r="EG28">
        <v>1.1105</v>
      </c>
      <c r="EH28">
        <v>1.1508400000000001</v>
      </c>
      <c r="EI28">
        <v>1.1221399999999999</v>
      </c>
      <c r="EJ28">
        <v>1.16828</v>
      </c>
      <c r="EK28">
        <v>1.0562800000000001</v>
      </c>
      <c r="EL28">
        <v>1.1955800000000001</v>
      </c>
      <c r="EM28">
        <v>1.17214</v>
      </c>
      <c r="EN28">
        <v>1.2227399999999999</v>
      </c>
      <c r="EO28">
        <v>1.2398</v>
      </c>
      <c r="EP28">
        <v>1.0551999999999999</v>
      </c>
      <c r="EQ28">
        <v>1.00576</v>
      </c>
      <c r="ER28">
        <v>0.96809999999999996</v>
      </c>
      <c r="ES28">
        <v>1.0767</v>
      </c>
    </row>
    <row r="29" spans="1:149" x14ac:dyDescent="0.35">
      <c r="A29" s="77"/>
      <c r="B29" s="77">
        <v>427</v>
      </c>
      <c r="C29" s="77">
        <v>0.66335999999999995</v>
      </c>
      <c r="D29" s="77">
        <v>0.47682000000000002</v>
      </c>
      <c r="E29" s="77">
        <v>0.73067000000000004</v>
      </c>
      <c r="F29" s="77">
        <v>0.55654999999999999</v>
      </c>
      <c r="G29" s="77">
        <v>0.57633999999999996</v>
      </c>
      <c r="H29" s="77">
        <v>0.56220999999999999</v>
      </c>
      <c r="I29" s="77">
        <v>0.58513000000000004</v>
      </c>
      <c r="J29" s="77">
        <v>0.52900999999999998</v>
      </c>
      <c r="K29" s="77">
        <v>0.59877000000000002</v>
      </c>
      <c r="L29" s="77">
        <v>0.58697999999999995</v>
      </c>
      <c r="M29" s="77">
        <v>0.61240000000000006</v>
      </c>
      <c r="N29" s="77">
        <v>0.62090000000000001</v>
      </c>
      <c r="O29" s="77">
        <v>0.52793999999999996</v>
      </c>
      <c r="P29" s="77">
        <v>0.50310999999999995</v>
      </c>
      <c r="Q29" s="77">
        <v>0.48453000000000002</v>
      </c>
      <c r="R29" s="77">
        <v>0.53869999999999996</v>
      </c>
      <c r="T29">
        <v>427</v>
      </c>
      <c r="U29">
        <f t="shared" si="0"/>
        <v>1.3267199999999999</v>
      </c>
      <c r="V29">
        <f t="shared" si="1"/>
        <v>0.95364000000000004</v>
      </c>
      <c r="W29">
        <f t="shared" si="2"/>
        <v>1.4613400000000001</v>
      </c>
      <c r="X29">
        <f t="shared" si="3"/>
        <v>1.1131</v>
      </c>
      <c r="Y29">
        <f t="shared" si="4"/>
        <v>1.1526799999999999</v>
      </c>
      <c r="Z29">
        <f t="shared" si="5"/>
        <v>1.12442</v>
      </c>
      <c r="AA29">
        <f t="shared" si="6"/>
        <v>1.1702600000000001</v>
      </c>
      <c r="AB29">
        <f t="shared" si="7"/>
        <v>1.05802</v>
      </c>
      <c r="AC29">
        <f t="shared" si="8"/>
        <v>1.19754</v>
      </c>
      <c r="AD29">
        <f t="shared" si="9"/>
        <v>1.1739599999999999</v>
      </c>
      <c r="AE29">
        <f t="shared" si="10"/>
        <v>1.2248000000000001</v>
      </c>
      <c r="AF29">
        <f t="shared" si="11"/>
        <v>1.2418</v>
      </c>
      <c r="AG29">
        <f t="shared" si="12"/>
        <v>1.0558799999999999</v>
      </c>
      <c r="AH29">
        <f t="shared" si="13"/>
        <v>1.0062199999999999</v>
      </c>
      <c r="AI29">
        <f t="shared" si="14"/>
        <v>0.96906000000000003</v>
      </c>
      <c r="AJ29">
        <f t="shared" si="15"/>
        <v>1.0773999999999999</v>
      </c>
      <c r="EC29">
        <v>427</v>
      </c>
      <c r="ED29">
        <v>1.3267199999999999</v>
      </c>
      <c r="EE29">
        <v>0.95364000000000004</v>
      </c>
      <c r="EF29">
        <v>1.4613400000000001</v>
      </c>
      <c r="EG29">
        <v>1.1131</v>
      </c>
      <c r="EH29">
        <v>1.1526799999999999</v>
      </c>
      <c r="EI29">
        <v>1.12442</v>
      </c>
      <c r="EJ29">
        <v>1.1702600000000001</v>
      </c>
      <c r="EK29">
        <v>1.05802</v>
      </c>
      <c r="EL29">
        <v>1.19754</v>
      </c>
      <c r="EM29">
        <v>1.1739599999999999</v>
      </c>
      <c r="EN29">
        <v>1.2248000000000001</v>
      </c>
      <c r="EO29">
        <v>1.2418</v>
      </c>
      <c r="EP29">
        <v>1.0558799999999999</v>
      </c>
      <c r="EQ29">
        <v>1.0062199999999999</v>
      </c>
      <c r="ER29">
        <v>0.96906000000000003</v>
      </c>
      <c r="ES29">
        <v>1.0773999999999999</v>
      </c>
    </row>
    <row r="30" spans="1:149" x14ac:dyDescent="0.35">
      <c r="A30" s="77"/>
      <c r="B30" s="77">
        <v>428</v>
      </c>
      <c r="C30" s="77">
        <v>0.66510000000000002</v>
      </c>
      <c r="D30" s="77">
        <v>0.47800999999999999</v>
      </c>
      <c r="E30" s="77">
        <v>0.73282999999999998</v>
      </c>
      <c r="F30" s="77">
        <v>0.55817000000000005</v>
      </c>
      <c r="G30" s="77">
        <v>0.57721</v>
      </c>
      <c r="H30" s="77">
        <v>0.56305000000000005</v>
      </c>
      <c r="I30" s="77">
        <v>0.58614999999999995</v>
      </c>
      <c r="J30" s="77">
        <v>0.52964999999999995</v>
      </c>
      <c r="K30" s="77">
        <v>0.59972999999999999</v>
      </c>
      <c r="L30" s="77">
        <v>0.58789000000000002</v>
      </c>
      <c r="M30" s="77">
        <v>0.61301000000000005</v>
      </c>
      <c r="N30" s="77">
        <v>0.62185999999999997</v>
      </c>
      <c r="O30" s="77">
        <v>0.52856000000000003</v>
      </c>
      <c r="P30" s="77">
        <v>0.50383</v>
      </c>
      <c r="Q30" s="77">
        <v>0.48503000000000002</v>
      </c>
      <c r="R30" s="77">
        <v>0.53951000000000005</v>
      </c>
      <c r="T30">
        <v>428</v>
      </c>
      <c r="U30">
        <f t="shared" si="0"/>
        <v>1.3302</v>
      </c>
      <c r="V30">
        <f t="shared" si="1"/>
        <v>0.95601999999999998</v>
      </c>
      <c r="W30">
        <f t="shared" si="2"/>
        <v>1.46566</v>
      </c>
      <c r="X30">
        <f t="shared" si="3"/>
        <v>1.1163400000000001</v>
      </c>
      <c r="Y30">
        <f t="shared" si="4"/>
        <v>1.15442</v>
      </c>
      <c r="Z30">
        <f t="shared" si="5"/>
        <v>1.1261000000000001</v>
      </c>
      <c r="AA30">
        <f t="shared" si="6"/>
        <v>1.1722999999999999</v>
      </c>
      <c r="AB30">
        <f t="shared" si="7"/>
        <v>1.0592999999999999</v>
      </c>
      <c r="AC30">
        <f t="shared" si="8"/>
        <v>1.19946</v>
      </c>
      <c r="AD30">
        <f t="shared" si="9"/>
        <v>1.17578</v>
      </c>
      <c r="AE30">
        <f t="shared" si="10"/>
        <v>1.2260200000000001</v>
      </c>
      <c r="AF30">
        <f t="shared" si="11"/>
        <v>1.2437199999999999</v>
      </c>
      <c r="AG30">
        <f t="shared" si="12"/>
        <v>1.0571200000000001</v>
      </c>
      <c r="AH30">
        <f t="shared" si="13"/>
        <v>1.00766</v>
      </c>
      <c r="AI30">
        <f t="shared" si="14"/>
        <v>0.97006000000000003</v>
      </c>
      <c r="AJ30">
        <f t="shared" si="15"/>
        <v>1.0790200000000001</v>
      </c>
      <c r="EC30">
        <v>428</v>
      </c>
      <c r="ED30">
        <v>1.3302</v>
      </c>
      <c r="EE30">
        <v>0.95601999999999998</v>
      </c>
      <c r="EF30">
        <v>1.46566</v>
      </c>
      <c r="EG30">
        <v>1.1163400000000001</v>
      </c>
      <c r="EH30">
        <v>1.15442</v>
      </c>
      <c r="EI30">
        <v>1.1261000000000001</v>
      </c>
      <c r="EJ30">
        <v>1.1722999999999999</v>
      </c>
      <c r="EK30">
        <v>1.0592999999999999</v>
      </c>
      <c r="EL30">
        <v>1.19946</v>
      </c>
      <c r="EM30">
        <v>1.17578</v>
      </c>
      <c r="EN30">
        <v>1.2260200000000001</v>
      </c>
      <c r="EO30">
        <v>1.2437199999999999</v>
      </c>
      <c r="EP30">
        <v>1.0571200000000001</v>
      </c>
      <c r="EQ30">
        <v>1.00766</v>
      </c>
      <c r="ER30">
        <v>0.97006000000000003</v>
      </c>
      <c r="ES30">
        <v>1.0790200000000001</v>
      </c>
    </row>
    <row r="31" spans="1:149" x14ac:dyDescent="0.35">
      <c r="A31" s="77"/>
      <c r="B31" s="77">
        <v>429</v>
      </c>
      <c r="C31" s="77">
        <v>0.66710999999999998</v>
      </c>
      <c r="D31" s="77">
        <v>0.47954000000000002</v>
      </c>
      <c r="E31" s="77">
        <v>0.73536999999999997</v>
      </c>
      <c r="F31" s="77">
        <v>0.56003999999999998</v>
      </c>
      <c r="G31" s="77">
        <v>0.57845999999999997</v>
      </c>
      <c r="H31" s="77">
        <v>0.56425000000000003</v>
      </c>
      <c r="I31" s="77">
        <v>0.58730000000000004</v>
      </c>
      <c r="J31" s="77">
        <v>0.53064</v>
      </c>
      <c r="K31" s="77">
        <v>0.60085999999999995</v>
      </c>
      <c r="L31" s="77">
        <v>0.58887</v>
      </c>
      <c r="M31" s="77">
        <v>0.61426999999999998</v>
      </c>
      <c r="N31" s="77">
        <v>0.62294000000000005</v>
      </c>
      <c r="O31" s="77">
        <v>0.52903999999999995</v>
      </c>
      <c r="P31" s="77">
        <v>0.50412000000000001</v>
      </c>
      <c r="Q31" s="77">
        <v>0.48535</v>
      </c>
      <c r="R31" s="77">
        <v>0.53983999999999999</v>
      </c>
      <c r="T31">
        <v>429</v>
      </c>
      <c r="U31">
        <f t="shared" si="0"/>
        <v>1.33422</v>
      </c>
      <c r="V31">
        <f t="shared" si="1"/>
        <v>0.95908000000000004</v>
      </c>
      <c r="W31">
        <f t="shared" si="2"/>
        <v>1.4707399999999999</v>
      </c>
      <c r="X31">
        <f t="shared" si="3"/>
        <v>1.12008</v>
      </c>
      <c r="Y31">
        <f t="shared" si="4"/>
        <v>1.1569199999999999</v>
      </c>
      <c r="Z31">
        <f t="shared" si="5"/>
        <v>1.1285000000000001</v>
      </c>
      <c r="AA31">
        <f t="shared" si="6"/>
        <v>1.1746000000000001</v>
      </c>
      <c r="AB31">
        <f t="shared" si="7"/>
        <v>1.06128</v>
      </c>
      <c r="AC31">
        <f t="shared" si="8"/>
        <v>1.2017199999999999</v>
      </c>
      <c r="AD31">
        <f t="shared" si="9"/>
        <v>1.17774</v>
      </c>
      <c r="AE31">
        <f t="shared" si="10"/>
        <v>1.22854</v>
      </c>
      <c r="AF31">
        <f t="shared" si="11"/>
        <v>1.2458800000000001</v>
      </c>
      <c r="AG31">
        <f t="shared" si="12"/>
        <v>1.0580799999999999</v>
      </c>
      <c r="AH31">
        <f t="shared" si="13"/>
        <v>1.00824</v>
      </c>
      <c r="AI31">
        <f t="shared" si="14"/>
        <v>0.97070000000000001</v>
      </c>
      <c r="AJ31">
        <f t="shared" si="15"/>
        <v>1.07968</v>
      </c>
      <c r="EC31">
        <v>429</v>
      </c>
      <c r="ED31">
        <v>1.33422</v>
      </c>
      <c r="EE31">
        <v>0.95908000000000004</v>
      </c>
      <c r="EF31">
        <v>1.4707399999999999</v>
      </c>
      <c r="EG31">
        <v>1.12008</v>
      </c>
      <c r="EH31">
        <v>1.1569199999999999</v>
      </c>
      <c r="EI31">
        <v>1.1285000000000001</v>
      </c>
      <c r="EJ31">
        <v>1.1746000000000001</v>
      </c>
      <c r="EK31">
        <v>1.06128</v>
      </c>
      <c r="EL31">
        <v>1.2017199999999999</v>
      </c>
      <c r="EM31">
        <v>1.17774</v>
      </c>
      <c r="EN31">
        <v>1.22854</v>
      </c>
      <c r="EO31">
        <v>1.2458800000000001</v>
      </c>
      <c r="EP31">
        <v>1.0580799999999999</v>
      </c>
      <c r="EQ31">
        <v>1.00824</v>
      </c>
      <c r="ER31">
        <v>0.97070000000000001</v>
      </c>
      <c r="ES31">
        <v>1.07968</v>
      </c>
    </row>
    <row r="32" spans="1:149" x14ac:dyDescent="0.35">
      <c r="A32" s="77"/>
      <c r="B32" s="77">
        <v>430</v>
      </c>
      <c r="C32" s="77">
        <v>0.66959000000000002</v>
      </c>
      <c r="D32" s="77">
        <v>0.48093000000000002</v>
      </c>
      <c r="E32" s="77">
        <v>0.7379</v>
      </c>
      <c r="F32" s="77">
        <v>0.56191999999999998</v>
      </c>
      <c r="G32" s="77">
        <v>0.57969999999999999</v>
      </c>
      <c r="H32" s="77">
        <v>0.56550999999999996</v>
      </c>
      <c r="I32" s="77">
        <v>0.58860999999999997</v>
      </c>
      <c r="J32" s="77">
        <v>0.53166000000000002</v>
      </c>
      <c r="K32" s="77">
        <v>0.60223000000000004</v>
      </c>
      <c r="L32" s="77">
        <v>0.59018999999999999</v>
      </c>
      <c r="M32" s="77">
        <v>0.61553999999999998</v>
      </c>
      <c r="N32" s="77">
        <v>0.62421000000000004</v>
      </c>
      <c r="O32" s="77">
        <v>0.52964999999999995</v>
      </c>
      <c r="P32" s="77">
        <v>0.50427</v>
      </c>
      <c r="Q32" s="77">
        <v>0.48586000000000001</v>
      </c>
      <c r="R32" s="77">
        <v>0.54052999999999995</v>
      </c>
      <c r="T32">
        <v>430</v>
      </c>
      <c r="U32">
        <f t="shared" si="0"/>
        <v>1.33918</v>
      </c>
      <c r="V32">
        <f t="shared" si="1"/>
        <v>0.96186000000000005</v>
      </c>
      <c r="W32">
        <f t="shared" si="2"/>
        <v>1.4758</v>
      </c>
      <c r="X32">
        <f t="shared" si="3"/>
        <v>1.12384</v>
      </c>
      <c r="Y32">
        <f t="shared" si="4"/>
        <v>1.1594</v>
      </c>
      <c r="Z32">
        <f t="shared" si="5"/>
        <v>1.1310199999999999</v>
      </c>
      <c r="AA32">
        <f t="shared" si="6"/>
        <v>1.1772199999999999</v>
      </c>
      <c r="AB32">
        <f t="shared" si="7"/>
        <v>1.06332</v>
      </c>
      <c r="AC32">
        <f t="shared" si="8"/>
        <v>1.2044600000000001</v>
      </c>
      <c r="AD32">
        <f t="shared" si="9"/>
        <v>1.18038</v>
      </c>
      <c r="AE32">
        <f t="shared" si="10"/>
        <v>1.23108</v>
      </c>
      <c r="AF32">
        <f t="shared" si="11"/>
        <v>1.2484200000000001</v>
      </c>
      <c r="AG32">
        <f t="shared" si="12"/>
        <v>1.0592999999999999</v>
      </c>
      <c r="AH32">
        <f t="shared" si="13"/>
        <v>1.00854</v>
      </c>
      <c r="AI32">
        <f t="shared" si="14"/>
        <v>0.97172000000000003</v>
      </c>
      <c r="AJ32">
        <f t="shared" si="15"/>
        <v>1.0810599999999999</v>
      </c>
      <c r="EC32">
        <v>430</v>
      </c>
      <c r="ED32">
        <v>1.33918</v>
      </c>
      <c r="EE32">
        <v>0.96186000000000005</v>
      </c>
      <c r="EF32">
        <v>1.4758</v>
      </c>
      <c r="EG32">
        <v>1.12384</v>
      </c>
      <c r="EH32">
        <v>1.1594</v>
      </c>
      <c r="EI32">
        <v>1.1310199999999999</v>
      </c>
      <c r="EJ32">
        <v>1.1772199999999999</v>
      </c>
      <c r="EK32">
        <v>1.06332</v>
      </c>
      <c r="EL32">
        <v>1.2044600000000001</v>
      </c>
      <c r="EM32">
        <v>1.18038</v>
      </c>
      <c r="EN32">
        <v>1.23108</v>
      </c>
      <c r="EO32">
        <v>1.2484200000000001</v>
      </c>
      <c r="EP32">
        <v>1.0592999999999999</v>
      </c>
      <c r="EQ32">
        <v>1.00854</v>
      </c>
      <c r="ER32">
        <v>0.97172000000000003</v>
      </c>
      <c r="ES32">
        <v>1.0810599999999999</v>
      </c>
    </row>
    <row r="33" spans="1:149" x14ac:dyDescent="0.35">
      <c r="A33" s="77"/>
      <c r="B33" s="77">
        <v>431</v>
      </c>
      <c r="C33" s="77">
        <v>0.67210000000000003</v>
      </c>
      <c r="D33" s="77">
        <v>0.48276999999999998</v>
      </c>
      <c r="E33" s="77">
        <v>0.74090999999999996</v>
      </c>
      <c r="F33" s="77">
        <v>0.56410000000000005</v>
      </c>
      <c r="G33" s="77">
        <v>0.58106999999999998</v>
      </c>
      <c r="H33" s="77">
        <v>0.56686000000000003</v>
      </c>
      <c r="I33" s="77">
        <v>0.59003000000000005</v>
      </c>
      <c r="J33" s="77">
        <v>0.53285000000000005</v>
      </c>
      <c r="K33" s="77">
        <v>0.60370000000000001</v>
      </c>
      <c r="L33" s="77">
        <v>0.59157000000000004</v>
      </c>
      <c r="M33" s="77">
        <v>0.61724999999999997</v>
      </c>
      <c r="N33" s="77">
        <v>0.62575000000000003</v>
      </c>
      <c r="O33" s="77">
        <v>0.53036000000000005</v>
      </c>
      <c r="P33" s="77">
        <v>0.50532999999999995</v>
      </c>
      <c r="Q33" s="77">
        <v>0.48642000000000002</v>
      </c>
      <c r="R33" s="77">
        <v>0.54120999999999997</v>
      </c>
      <c r="T33">
        <v>431</v>
      </c>
      <c r="U33">
        <f t="shared" si="0"/>
        <v>1.3442000000000001</v>
      </c>
      <c r="V33">
        <f t="shared" si="1"/>
        <v>0.96553999999999995</v>
      </c>
      <c r="W33">
        <f t="shared" si="2"/>
        <v>1.4818199999999999</v>
      </c>
      <c r="X33">
        <f t="shared" si="3"/>
        <v>1.1282000000000001</v>
      </c>
      <c r="Y33">
        <f t="shared" si="4"/>
        <v>1.16214</v>
      </c>
      <c r="Z33">
        <f t="shared" si="5"/>
        <v>1.1337200000000001</v>
      </c>
      <c r="AA33">
        <f t="shared" si="6"/>
        <v>1.1800600000000001</v>
      </c>
      <c r="AB33">
        <f t="shared" si="7"/>
        <v>1.0657000000000001</v>
      </c>
      <c r="AC33">
        <f t="shared" si="8"/>
        <v>1.2074</v>
      </c>
      <c r="AD33">
        <f t="shared" si="9"/>
        <v>1.1831400000000001</v>
      </c>
      <c r="AE33">
        <f t="shared" si="10"/>
        <v>1.2344999999999999</v>
      </c>
      <c r="AF33">
        <f t="shared" si="11"/>
        <v>1.2515000000000001</v>
      </c>
      <c r="AG33">
        <f t="shared" si="12"/>
        <v>1.0607200000000001</v>
      </c>
      <c r="AH33">
        <f t="shared" si="13"/>
        <v>1.0106599999999999</v>
      </c>
      <c r="AI33">
        <f t="shared" si="14"/>
        <v>0.97284000000000004</v>
      </c>
      <c r="AJ33">
        <f t="shared" si="15"/>
        <v>1.0824199999999999</v>
      </c>
      <c r="EC33">
        <v>431</v>
      </c>
      <c r="ED33">
        <v>1.3442000000000001</v>
      </c>
      <c r="EE33">
        <v>0.96553999999999995</v>
      </c>
      <c r="EF33">
        <v>1.4818199999999999</v>
      </c>
      <c r="EG33">
        <v>1.1282000000000001</v>
      </c>
      <c r="EH33">
        <v>1.16214</v>
      </c>
      <c r="EI33">
        <v>1.1337200000000001</v>
      </c>
      <c r="EJ33">
        <v>1.1800600000000001</v>
      </c>
      <c r="EK33">
        <v>1.0657000000000001</v>
      </c>
      <c r="EL33">
        <v>1.2074</v>
      </c>
      <c r="EM33">
        <v>1.1831400000000001</v>
      </c>
      <c r="EN33">
        <v>1.2344999999999999</v>
      </c>
      <c r="EO33">
        <v>1.2515000000000001</v>
      </c>
      <c r="EP33">
        <v>1.0607200000000001</v>
      </c>
      <c r="EQ33">
        <v>1.0106599999999999</v>
      </c>
      <c r="ER33">
        <v>0.97284000000000004</v>
      </c>
      <c r="ES33">
        <v>1.0824199999999999</v>
      </c>
    </row>
    <row r="34" spans="1:149" x14ac:dyDescent="0.35">
      <c r="A34" s="77"/>
      <c r="B34" s="77">
        <v>432</v>
      </c>
      <c r="C34" s="77">
        <v>0.67496</v>
      </c>
      <c r="D34" s="77">
        <v>0.48485</v>
      </c>
      <c r="E34" s="77">
        <v>0.74446000000000001</v>
      </c>
      <c r="F34" s="77">
        <v>0.56677</v>
      </c>
      <c r="G34" s="77">
        <v>0.58264000000000005</v>
      </c>
      <c r="H34" s="77">
        <v>0.56859999999999999</v>
      </c>
      <c r="I34" s="77">
        <v>0.59167000000000003</v>
      </c>
      <c r="J34" s="77">
        <v>0.53398000000000001</v>
      </c>
      <c r="K34" s="77">
        <v>0.60546999999999995</v>
      </c>
      <c r="L34" s="77">
        <v>0.59319</v>
      </c>
      <c r="M34" s="77">
        <v>0.61885000000000001</v>
      </c>
      <c r="N34" s="77">
        <v>0.62775999999999998</v>
      </c>
      <c r="O34" s="77">
        <v>0.53095999999999999</v>
      </c>
      <c r="P34" s="77">
        <v>0.50568999999999997</v>
      </c>
      <c r="Q34" s="77">
        <v>0.48663000000000001</v>
      </c>
      <c r="R34" s="77">
        <v>0.54190000000000005</v>
      </c>
      <c r="T34">
        <v>432</v>
      </c>
      <c r="U34">
        <f t="shared" si="0"/>
        <v>1.34992</v>
      </c>
      <c r="V34">
        <f t="shared" si="1"/>
        <v>0.96970000000000001</v>
      </c>
      <c r="W34">
        <f t="shared" si="2"/>
        <v>1.48892</v>
      </c>
      <c r="X34">
        <f t="shared" si="3"/>
        <v>1.13354</v>
      </c>
      <c r="Y34">
        <f t="shared" si="4"/>
        <v>1.1652800000000001</v>
      </c>
      <c r="Z34">
        <f t="shared" si="5"/>
        <v>1.1372</v>
      </c>
      <c r="AA34">
        <f t="shared" si="6"/>
        <v>1.1833400000000001</v>
      </c>
      <c r="AB34">
        <f t="shared" si="7"/>
        <v>1.06796</v>
      </c>
      <c r="AC34">
        <f t="shared" si="8"/>
        <v>1.2109399999999999</v>
      </c>
      <c r="AD34">
        <f t="shared" si="9"/>
        <v>1.18638</v>
      </c>
      <c r="AE34">
        <f t="shared" si="10"/>
        <v>1.2377</v>
      </c>
      <c r="AF34">
        <f t="shared" si="11"/>
        <v>1.25552</v>
      </c>
      <c r="AG34">
        <f t="shared" si="12"/>
        <v>1.06192</v>
      </c>
      <c r="AH34">
        <f t="shared" si="13"/>
        <v>1.0113799999999999</v>
      </c>
      <c r="AI34">
        <f t="shared" si="14"/>
        <v>0.97326000000000001</v>
      </c>
      <c r="AJ34">
        <f t="shared" si="15"/>
        <v>1.0838000000000001</v>
      </c>
      <c r="EC34">
        <v>432</v>
      </c>
      <c r="ED34">
        <v>1.34992</v>
      </c>
      <c r="EE34">
        <v>0.96970000000000001</v>
      </c>
      <c r="EF34">
        <v>1.48892</v>
      </c>
      <c r="EG34">
        <v>1.13354</v>
      </c>
      <c r="EH34">
        <v>1.1652800000000001</v>
      </c>
      <c r="EI34">
        <v>1.1372</v>
      </c>
      <c r="EJ34">
        <v>1.1833400000000001</v>
      </c>
      <c r="EK34">
        <v>1.06796</v>
      </c>
      <c r="EL34">
        <v>1.2109399999999999</v>
      </c>
      <c r="EM34">
        <v>1.18638</v>
      </c>
      <c r="EN34">
        <v>1.2377</v>
      </c>
      <c r="EO34">
        <v>1.25552</v>
      </c>
      <c r="EP34">
        <v>1.06192</v>
      </c>
      <c r="EQ34">
        <v>1.0113799999999999</v>
      </c>
      <c r="ER34">
        <v>0.97326000000000001</v>
      </c>
      <c r="ES34">
        <v>1.0838000000000001</v>
      </c>
    </row>
    <row r="35" spans="1:149" x14ac:dyDescent="0.35">
      <c r="A35" s="77"/>
      <c r="B35" s="77">
        <v>433</v>
      </c>
      <c r="C35" s="77">
        <v>0.67773000000000005</v>
      </c>
      <c r="D35" s="77">
        <v>0.48691000000000001</v>
      </c>
      <c r="E35" s="77">
        <v>0.74733000000000005</v>
      </c>
      <c r="F35" s="77">
        <v>0.56891999999999998</v>
      </c>
      <c r="G35" s="77">
        <v>0.58406000000000002</v>
      </c>
      <c r="H35" s="77">
        <v>0.57020999999999999</v>
      </c>
      <c r="I35" s="77">
        <v>0.59299000000000002</v>
      </c>
      <c r="J35" s="77">
        <v>0.53525</v>
      </c>
      <c r="K35" s="77">
        <v>0.60701000000000005</v>
      </c>
      <c r="L35" s="77">
        <v>0.59474000000000005</v>
      </c>
      <c r="M35" s="77">
        <v>0.62029000000000001</v>
      </c>
      <c r="N35" s="77">
        <v>0.62922999999999996</v>
      </c>
      <c r="O35" s="77">
        <v>0.53195000000000003</v>
      </c>
      <c r="P35" s="77">
        <v>0.50644999999999996</v>
      </c>
      <c r="Q35" s="77">
        <v>0.48770000000000002</v>
      </c>
      <c r="R35" s="77">
        <v>0.54286000000000001</v>
      </c>
      <c r="T35">
        <v>433</v>
      </c>
      <c r="U35">
        <f t="shared" si="0"/>
        <v>1.3554600000000001</v>
      </c>
      <c r="V35">
        <f t="shared" si="1"/>
        <v>0.97382000000000002</v>
      </c>
      <c r="W35">
        <f t="shared" si="2"/>
        <v>1.4946600000000001</v>
      </c>
      <c r="X35">
        <f t="shared" si="3"/>
        <v>1.13784</v>
      </c>
      <c r="Y35">
        <f t="shared" si="4"/>
        <v>1.16812</v>
      </c>
      <c r="Z35">
        <f t="shared" si="5"/>
        <v>1.14042</v>
      </c>
      <c r="AA35">
        <f t="shared" si="6"/>
        <v>1.18598</v>
      </c>
      <c r="AB35">
        <f t="shared" si="7"/>
        <v>1.0705</v>
      </c>
      <c r="AC35">
        <f t="shared" si="8"/>
        <v>1.2140200000000001</v>
      </c>
      <c r="AD35">
        <f t="shared" si="9"/>
        <v>1.1894800000000001</v>
      </c>
      <c r="AE35">
        <f t="shared" si="10"/>
        <v>1.24058</v>
      </c>
      <c r="AF35">
        <f t="shared" si="11"/>
        <v>1.2584599999999999</v>
      </c>
      <c r="AG35">
        <f t="shared" si="12"/>
        <v>1.0639000000000001</v>
      </c>
      <c r="AH35">
        <f t="shared" si="13"/>
        <v>1.0128999999999999</v>
      </c>
      <c r="AI35">
        <f t="shared" si="14"/>
        <v>0.97540000000000004</v>
      </c>
      <c r="AJ35">
        <f t="shared" si="15"/>
        <v>1.08572</v>
      </c>
      <c r="EC35">
        <v>433</v>
      </c>
      <c r="ED35">
        <v>1.3554600000000001</v>
      </c>
      <c r="EE35">
        <v>0.97382000000000002</v>
      </c>
      <c r="EF35">
        <v>1.4946600000000001</v>
      </c>
      <c r="EG35">
        <v>1.13784</v>
      </c>
      <c r="EH35">
        <v>1.16812</v>
      </c>
      <c r="EI35">
        <v>1.14042</v>
      </c>
      <c r="EJ35">
        <v>1.18598</v>
      </c>
      <c r="EK35">
        <v>1.0705</v>
      </c>
      <c r="EL35">
        <v>1.2140200000000001</v>
      </c>
      <c r="EM35">
        <v>1.1894800000000001</v>
      </c>
      <c r="EN35">
        <v>1.24058</v>
      </c>
      <c r="EO35">
        <v>1.2584599999999999</v>
      </c>
      <c r="EP35">
        <v>1.0639000000000001</v>
      </c>
      <c r="EQ35">
        <v>1.0128999999999999</v>
      </c>
      <c r="ER35">
        <v>0.97540000000000004</v>
      </c>
      <c r="ES35">
        <v>1.08572</v>
      </c>
    </row>
    <row r="36" spans="1:149" x14ac:dyDescent="0.35">
      <c r="A36" s="77"/>
      <c r="B36" s="77">
        <v>434</v>
      </c>
      <c r="C36" s="77">
        <v>0.68054000000000003</v>
      </c>
      <c r="D36" s="77">
        <v>0.48881999999999998</v>
      </c>
      <c r="E36" s="77">
        <v>0.75100999999999996</v>
      </c>
      <c r="F36" s="77">
        <v>0.57152999999999998</v>
      </c>
      <c r="G36" s="77">
        <v>0.58560000000000001</v>
      </c>
      <c r="H36" s="77">
        <v>0.57164000000000004</v>
      </c>
      <c r="I36" s="77">
        <v>0.59467000000000003</v>
      </c>
      <c r="J36" s="77">
        <v>0.53637999999999997</v>
      </c>
      <c r="K36" s="77">
        <v>0.60872999999999999</v>
      </c>
      <c r="L36" s="77">
        <v>0.59624999999999995</v>
      </c>
      <c r="M36" s="77">
        <v>0.62197999999999998</v>
      </c>
      <c r="N36" s="77">
        <v>0.63090999999999997</v>
      </c>
      <c r="O36" s="77">
        <v>0.53237999999999996</v>
      </c>
      <c r="P36" s="77">
        <v>0.50670000000000004</v>
      </c>
      <c r="Q36" s="77">
        <v>0.48807</v>
      </c>
      <c r="R36" s="77">
        <v>0.54337000000000002</v>
      </c>
      <c r="T36">
        <v>434</v>
      </c>
      <c r="U36">
        <f t="shared" si="0"/>
        <v>1.3610800000000001</v>
      </c>
      <c r="V36">
        <f t="shared" si="1"/>
        <v>0.97763999999999995</v>
      </c>
      <c r="W36">
        <f t="shared" si="2"/>
        <v>1.5020199999999999</v>
      </c>
      <c r="X36">
        <f t="shared" si="3"/>
        <v>1.14306</v>
      </c>
      <c r="Y36">
        <f t="shared" si="4"/>
        <v>1.1712</v>
      </c>
      <c r="Z36">
        <f t="shared" si="5"/>
        <v>1.1432800000000001</v>
      </c>
      <c r="AA36">
        <f t="shared" si="6"/>
        <v>1.1893400000000001</v>
      </c>
      <c r="AB36">
        <f t="shared" si="7"/>
        <v>1.0727599999999999</v>
      </c>
      <c r="AC36">
        <f t="shared" si="8"/>
        <v>1.21746</v>
      </c>
      <c r="AD36">
        <f t="shared" si="9"/>
        <v>1.1924999999999999</v>
      </c>
      <c r="AE36">
        <f t="shared" si="10"/>
        <v>1.24396</v>
      </c>
      <c r="AF36">
        <f t="shared" si="11"/>
        <v>1.2618199999999999</v>
      </c>
      <c r="AG36">
        <f t="shared" si="12"/>
        <v>1.0647599999999999</v>
      </c>
      <c r="AH36">
        <f t="shared" si="13"/>
        <v>1.0134000000000001</v>
      </c>
      <c r="AI36">
        <f t="shared" si="14"/>
        <v>0.97614000000000001</v>
      </c>
      <c r="AJ36">
        <f t="shared" si="15"/>
        <v>1.08674</v>
      </c>
      <c r="EC36">
        <v>434</v>
      </c>
      <c r="ED36">
        <v>1.3610800000000001</v>
      </c>
      <c r="EE36">
        <v>0.97763999999999995</v>
      </c>
      <c r="EF36">
        <v>1.5020199999999999</v>
      </c>
      <c r="EG36">
        <v>1.14306</v>
      </c>
      <c r="EH36">
        <v>1.1712</v>
      </c>
      <c r="EI36">
        <v>1.1432800000000001</v>
      </c>
      <c r="EJ36">
        <v>1.1893400000000001</v>
      </c>
      <c r="EK36">
        <v>1.0727599999999999</v>
      </c>
      <c r="EL36">
        <v>1.21746</v>
      </c>
      <c r="EM36">
        <v>1.1924999999999999</v>
      </c>
      <c r="EN36">
        <v>1.24396</v>
      </c>
      <c r="EO36">
        <v>1.2618199999999999</v>
      </c>
      <c r="EP36">
        <v>1.0647599999999999</v>
      </c>
      <c r="EQ36">
        <v>1.0134000000000001</v>
      </c>
      <c r="ER36">
        <v>0.97614000000000001</v>
      </c>
      <c r="ES36">
        <v>1.08674</v>
      </c>
    </row>
    <row r="37" spans="1:149" x14ac:dyDescent="0.35">
      <c r="A37" s="77"/>
      <c r="B37" s="77">
        <v>435</v>
      </c>
      <c r="C37" s="77">
        <v>0.68393999999999999</v>
      </c>
      <c r="D37" s="77">
        <v>0.49136000000000002</v>
      </c>
      <c r="E37" s="77">
        <v>0.75465000000000004</v>
      </c>
      <c r="F37" s="77">
        <v>0.57443</v>
      </c>
      <c r="G37" s="77">
        <v>0.58748</v>
      </c>
      <c r="H37" s="77">
        <v>0.57355</v>
      </c>
      <c r="I37" s="77">
        <v>0.59684999999999999</v>
      </c>
      <c r="J37" s="77">
        <v>0.53783999999999998</v>
      </c>
      <c r="K37" s="77">
        <v>0.61068999999999996</v>
      </c>
      <c r="L37" s="77">
        <v>0.59797999999999996</v>
      </c>
      <c r="M37" s="77">
        <v>0.62407000000000001</v>
      </c>
      <c r="N37" s="77">
        <v>0.63315999999999995</v>
      </c>
      <c r="O37" s="77">
        <v>0.53319000000000005</v>
      </c>
      <c r="P37" s="77">
        <v>0.50724999999999998</v>
      </c>
      <c r="Q37" s="77">
        <v>0.48846000000000001</v>
      </c>
      <c r="R37" s="77">
        <v>0.54400999999999999</v>
      </c>
      <c r="T37">
        <v>435</v>
      </c>
      <c r="U37">
        <f t="shared" si="0"/>
        <v>1.36788</v>
      </c>
      <c r="V37">
        <f t="shared" si="1"/>
        <v>0.98272000000000004</v>
      </c>
      <c r="W37">
        <f t="shared" si="2"/>
        <v>1.5093000000000001</v>
      </c>
      <c r="X37">
        <f t="shared" si="3"/>
        <v>1.14886</v>
      </c>
      <c r="Y37">
        <f t="shared" si="4"/>
        <v>1.17496</v>
      </c>
      <c r="Z37">
        <f t="shared" si="5"/>
        <v>1.1471</v>
      </c>
      <c r="AA37">
        <f t="shared" si="6"/>
        <v>1.1937</v>
      </c>
      <c r="AB37">
        <f t="shared" si="7"/>
        <v>1.07568</v>
      </c>
      <c r="AC37">
        <f t="shared" si="8"/>
        <v>1.2213799999999999</v>
      </c>
      <c r="AD37">
        <f t="shared" si="9"/>
        <v>1.1959599999999999</v>
      </c>
      <c r="AE37">
        <f t="shared" si="10"/>
        <v>1.24814</v>
      </c>
      <c r="AF37">
        <f t="shared" si="11"/>
        <v>1.2663199999999999</v>
      </c>
      <c r="AG37">
        <f t="shared" si="12"/>
        <v>1.0663800000000001</v>
      </c>
      <c r="AH37">
        <f t="shared" si="13"/>
        <v>1.0145</v>
      </c>
      <c r="AI37">
        <f t="shared" si="14"/>
        <v>0.97692000000000001</v>
      </c>
      <c r="AJ37">
        <f t="shared" si="15"/>
        <v>1.08802</v>
      </c>
      <c r="EC37">
        <v>435</v>
      </c>
      <c r="ED37">
        <v>1.36788</v>
      </c>
      <c r="EE37">
        <v>0.98272000000000004</v>
      </c>
      <c r="EF37">
        <v>1.5093000000000001</v>
      </c>
      <c r="EG37">
        <v>1.14886</v>
      </c>
      <c r="EH37">
        <v>1.17496</v>
      </c>
      <c r="EI37">
        <v>1.1471</v>
      </c>
      <c r="EJ37">
        <v>1.1937</v>
      </c>
      <c r="EK37">
        <v>1.07568</v>
      </c>
      <c r="EL37">
        <v>1.2213799999999999</v>
      </c>
      <c r="EM37">
        <v>1.1959599999999999</v>
      </c>
      <c r="EN37">
        <v>1.24814</v>
      </c>
      <c r="EO37">
        <v>1.2663199999999999</v>
      </c>
      <c r="EP37">
        <v>1.0663800000000001</v>
      </c>
      <c r="EQ37">
        <v>1.0145</v>
      </c>
      <c r="ER37">
        <v>0.97692000000000001</v>
      </c>
      <c r="ES37">
        <v>1.08802</v>
      </c>
    </row>
    <row r="38" spans="1:149" x14ac:dyDescent="0.35">
      <c r="A38" s="77"/>
      <c r="B38" s="77">
        <v>436</v>
      </c>
      <c r="C38" s="77">
        <v>0.68706999999999996</v>
      </c>
      <c r="D38" s="77">
        <v>0.49356</v>
      </c>
      <c r="E38" s="77">
        <v>0.75817999999999997</v>
      </c>
      <c r="F38" s="77">
        <v>0.57721</v>
      </c>
      <c r="G38" s="77">
        <v>0.58891000000000004</v>
      </c>
      <c r="H38" s="77">
        <v>0.57518000000000002</v>
      </c>
      <c r="I38" s="77">
        <v>0.59833999999999998</v>
      </c>
      <c r="J38" s="77">
        <v>0.53956999999999999</v>
      </c>
      <c r="K38" s="77">
        <v>0.61267000000000005</v>
      </c>
      <c r="L38" s="77">
        <v>0.59972000000000003</v>
      </c>
      <c r="M38" s="77">
        <v>0.62561</v>
      </c>
      <c r="N38" s="77">
        <v>0.63497999999999999</v>
      </c>
      <c r="O38" s="77">
        <v>0.53354999999999997</v>
      </c>
      <c r="P38" s="77">
        <v>0.50797999999999999</v>
      </c>
      <c r="Q38" s="77">
        <v>0.48901</v>
      </c>
      <c r="R38" s="77">
        <v>0.54449000000000003</v>
      </c>
      <c r="T38">
        <v>436</v>
      </c>
      <c r="U38">
        <f t="shared" si="0"/>
        <v>1.3741399999999999</v>
      </c>
      <c r="V38">
        <f t="shared" si="1"/>
        <v>0.98712</v>
      </c>
      <c r="W38">
        <f t="shared" si="2"/>
        <v>1.5163599999999999</v>
      </c>
      <c r="X38">
        <f t="shared" si="3"/>
        <v>1.15442</v>
      </c>
      <c r="Y38">
        <f t="shared" si="4"/>
        <v>1.1778200000000001</v>
      </c>
      <c r="Z38">
        <f t="shared" si="5"/>
        <v>1.15036</v>
      </c>
      <c r="AA38">
        <f t="shared" si="6"/>
        <v>1.19668</v>
      </c>
      <c r="AB38">
        <f t="shared" si="7"/>
        <v>1.07914</v>
      </c>
      <c r="AC38">
        <f t="shared" si="8"/>
        <v>1.2253400000000001</v>
      </c>
      <c r="AD38">
        <f t="shared" si="9"/>
        <v>1.1994400000000001</v>
      </c>
      <c r="AE38">
        <f t="shared" si="10"/>
        <v>1.25122</v>
      </c>
      <c r="AF38">
        <f t="shared" si="11"/>
        <v>1.26996</v>
      </c>
      <c r="AG38">
        <f t="shared" si="12"/>
        <v>1.0670999999999999</v>
      </c>
      <c r="AH38">
        <f t="shared" si="13"/>
        <v>1.01596</v>
      </c>
      <c r="AI38">
        <f t="shared" si="14"/>
        <v>0.97802</v>
      </c>
      <c r="AJ38">
        <f t="shared" si="15"/>
        <v>1.0889800000000001</v>
      </c>
      <c r="EC38">
        <v>436</v>
      </c>
      <c r="ED38">
        <v>1.3741399999999999</v>
      </c>
      <c r="EE38">
        <v>0.98712</v>
      </c>
      <c r="EF38">
        <v>1.5163599999999999</v>
      </c>
      <c r="EG38">
        <v>1.15442</v>
      </c>
      <c r="EH38">
        <v>1.1778200000000001</v>
      </c>
      <c r="EI38">
        <v>1.15036</v>
      </c>
      <c r="EJ38">
        <v>1.19668</v>
      </c>
      <c r="EK38">
        <v>1.07914</v>
      </c>
      <c r="EL38">
        <v>1.2253400000000001</v>
      </c>
      <c r="EM38">
        <v>1.1994400000000001</v>
      </c>
      <c r="EN38">
        <v>1.25122</v>
      </c>
      <c r="EO38">
        <v>1.26996</v>
      </c>
      <c r="EP38">
        <v>1.0670999999999999</v>
      </c>
      <c r="EQ38">
        <v>1.01596</v>
      </c>
      <c r="ER38">
        <v>0.97802</v>
      </c>
      <c r="ES38">
        <v>1.0889800000000001</v>
      </c>
    </row>
    <row r="39" spans="1:149" x14ac:dyDescent="0.35">
      <c r="A39" s="77"/>
      <c r="B39" s="77">
        <v>437</v>
      </c>
      <c r="C39" s="77">
        <v>0.69013999999999998</v>
      </c>
      <c r="D39" s="77">
        <v>0.49558999999999997</v>
      </c>
      <c r="E39" s="77">
        <v>0.76153999999999999</v>
      </c>
      <c r="F39" s="77">
        <v>0.57974000000000003</v>
      </c>
      <c r="G39" s="77">
        <v>0.59047000000000005</v>
      </c>
      <c r="H39" s="77">
        <v>0.57691999999999999</v>
      </c>
      <c r="I39" s="77">
        <v>0.60004999999999997</v>
      </c>
      <c r="J39" s="77">
        <v>0.54059999999999997</v>
      </c>
      <c r="K39" s="77">
        <v>0.61434999999999995</v>
      </c>
      <c r="L39" s="77">
        <v>0.60118000000000005</v>
      </c>
      <c r="M39" s="77">
        <v>0.62739999999999996</v>
      </c>
      <c r="N39" s="77">
        <v>0.63660000000000005</v>
      </c>
      <c r="O39" s="77">
        <v>0.53429000000000004</v>
      </c>
      <c r="P39" s="77">
        <v>0.50849999999999995</v>
      </c>
      <c r="Q39" s="77">
        <v>0.48936000000000002</v>
      </c>
      <c r="R39" s="77">
        <v>0.54503000000000001</v>
      </c>
      <c r="T39">
        <v>437</v>
      </c>
      <c r="U39">
        <f t="shared" si="0"/>
        <v>1.38028</v>
      </c>
      <c r="V39">
        <f t="shared" si="1"/>
        <v>0.99117999999999995</v>
      </c>
      <c r="W39">
        <f t="shared" si="2"/>
        <v>1.52308</v>
      </c>
      <c r="X39">
        <f t="shared" si="3"/>
        <v>1.1594800000000001</v>
      </c>
      <c r="Y39">
        <f t="shared" si="4"/>
        <v>1.1809400000000001</v>
      </c>
      <c r="Z39">
        <f t="shared" si="5"/>
        <v>1.15384</v>
      </c>
      <c r="AA39">
        <f t="shared" si="6"/>
        <v>1.2000999999999999</v>
      </c>
      <c r="AB39">
        <f t="shared" si="7"/>
        <v>1.0811999999999999</v>
      </c>
      <c r="AC39">
        <f t="shared" si="8"/>
        <v>1.2286999999999999</v>
      </c>
      <c r="AD39">
        <f t="shared" si="9"/>
        <v>1.2023600000000001</v>
      </c>
      <c r="AE39">
        <f t="shared" si="10"/>
        <v>1.2547999999999999</v>
      </c>
      <c r="AF39">
        <f t="shared" si="11"/>
        <v>1.2732000000000001</v>
      </c>
      <c r="AG39">
        <f t="shared" si="12"/>
        <v>1.0685800000000001</v>
      </c>
      <c r="AH39">
        <f t="shared" si="13"/>
        <v>1.0169999999999999</v>
      </c>
      <c r="AI39">
        <f t="shared" si="14"/>
        <v>0.97872000000000003</v>
      </c>
      <c r="AJ39">
        <f t="shared" si="15"/>
        <v>1.09006</v>
      </c>
      <c r="EC39">
        <v>437</v>
      </c>
      <c r="ED39">
        <v>1.38028</v>
      </c>
      <c r="EE39">
        <v>0.99117999999999995</v>
      </c>
      <c r="EF39">
        <v>1.52308</v>
      </c>
      <c r="EG39">
        <v>1.1594800000000001</v>
      </c>
      <c r="EH39">
        <v>1.1809400000000001</v>
      </c>
      <c r="EI39">
        <v>1.15384</v>
      </c>
      <c r="EJ39">
        <v>1.2000999999999999</v>
      </c>
      <c r="EK39">
        <v>1.0811999999999999</v>
      </c>
      <c r="EL39">
        <v>1.2286999999999999</v>
      </c>
      <c r="EM39">
        <v>1.2023600000000001</v>
      </c>
      <c r="EN39">
        <v>1.2547999999999999</v>
      </c>
      <c r="EO39">
        <v>1.2732000000000001</v>
      </c>
      <c r="EP39">
        <v>1.0685800000000001</v>
      </c>
      <c r="EQ39">
        <v>1.0169999999999999</v>
      </c>
      <c r="ER39">
        <v>0.97872000000000003</v>
      </c>
      <c r="ES39">
        <v>1.09006</v>
      </c>
    </row>
    <row r="40" spans="1:149" x14ac:dyDescent="0.35">
      <c r="A40" s="77"/>
      <c r="B40" s="77">
        <v>438</v>
      </c>
      <c r="C40" s="77">
        <v>0.69279000000000002</v>
      </c>
      <c r="D40" s="77">
        <v>0.49767</v>
      </c>
      <c r="E40" s="77">
        <v>0.76439999999999997</v>
      </c>
      <c r="F40" s="77">
        <v>0.58223000000000003</v>
      </c>
      <c r="G40" s="77">
        <v>0.59175</v>
      </c>
      <c r="H40" s="77">
        <v>0.57826</v>
      </c>
      <c r="I40" s="77">
        <v>0.60133000000000003</v>
      </c>
      <c r="J40" s="77">
        <v>0.54166000000000003</v>
      </c>
      <c r="K40" s="77">
        <v>0.61565000000000003</v>
      </c>
      <c r="L40" s="77">
        <v>0.60238999999999998</v>
      </c>
      <c r="M40" s="77">
        <v>0.62858999999999998</v>
      </c>
      <c r="N40" s="77">
        <v>0.63800000000000001</v>
      </c>
      <c r="O40" s="77">
        <v>0.53437999999999997</v>
      </c>
      <c r="P40" s="77">
        <v>0.50875999999999999</v>
      </c>
      <c r="Q40" s="77">
        <v>0.48979</v>
      </c>
      <c r="R40" s="77">
        <v>0.54532999999999998</v>
      </c>
      <c r="T40">
        <v>438</v>
      </c>
      <c r="U40">
        <f t="shared" si="0"/>
        <v>1.38558</v>
      </c>
      <c r="V40">
        <f t="shared" si="1"/>
        <v>0.99534</v>
      </c>
      <c r="W40">
        <f t="shared" si="2"/>
        <v>1.5287999999999999</v>
      </c>
      <c r="X40">
        <f t="shared" si="3"/>
        <v>1.1644600000000001</v>
      </c>
      <c r="Y40">
        <f t="shared" si="4"/>
        <v>1.1835</v>
      </c>
      <c r="Z40">
        <f t="shared" si="5"/>
        <v>1.15652</v>
      </c>
      <c r="AA40">
        <f t="shared" si="6"/>
        <v>1.2026600000000001</v>
      </c>
      <c r="AB40">
        <f t="shared" si="7"/>
        <v>1.0833200000000001</v>
      </c>
      <c r="AC40">
        <f t="shared" si="8"/>
        <v>1.2313000000000001</v>
      </c>
      <c r="AD40">
        <f t="shared" si="9"/>
        <v>1.20478</v>
      </c>
      <c r="AE40">
        <f t="shared" si="10"/>
        <v>1.25718</v>
      </c>
      <c r="AF40">
        <f t="shared" si="11"/>
        <v>1.276</v>
      </c>
      <c r="AG40">
        <f t="shared" si="12"/>
        <v>1.0687599999999999</v>
      </c>
      <c r="AH40">
        <f t="shared" si="13"/>
        <v>1.01752</v>
      </c>
      <c r="AI40">
        <f t="shared" si="14"/>
        <v>0.97958000000000001</v>
      </c>
      <c r="AJ40">
        <f t="shared" si="15"/>
        <v>1.09066</v>
      </c>
      <c r="EC40">
        <v>438</v>
      </c>
      <c r="ED40">
        <v>1.38558</v>
      </c>
      <c r="EE40">
        <v>0.99534</v>
      </c>
      <c r="EF40">
        <v>1.5287999999999999</v>
      </c>
      <c r="EG40">
        <v>1.1644600000000001</v>
      </c>
      <c r="EH40">
        <v>1.1835</v>
      </c>
      <c r="EI40">
        <v>1.15652</v>
      </c>
      <c r="EJ40">
        <v>1.2026600000000001</v>
      </c>
      <c r="EK40">
        <v>1.0833200000000001</v>
      </c>
      <c r="EL40">
        <v>1.2313000000000001</v>
      </c>
      <c r="EM40">
        <v>1.20478</v>
      </c>
      <c r="EN40">
        <v>1.25718</v>
      </c>
      <c r="EO40">
        <v>1.276</v>
      </c>
      <c r="EP40">
        <v>1.0687599999999999</v>
      </c>
      <c r="EQ40">
        <v>1.01752</v>
      </c>
      <c r="ER40">
        <v>0.97958000000000001</v>
      </c>
      <c r="ES40">
        <v>1.09066</v>
      </c>
    </row>
    <row r="41" spans="1:149" x14ac:dyDescent="0.35">
      <c r="A41" s="77"/>
      <c r="B41" s="77">
        <v>439</v>
      </c>
      <c r="C41" s="77">
        <v>0.69504999999999995</v>
      </c>
      <c r="D41" s="77">
        <v>0.49933</v>
      </c>
      <c r="E41" s="77">
        <v>0.76692000000000005</v>
      </c>
      <c r="F41" s="77">
        <v>0.58414999999999995</v>
      </c>
      <c r="G41" s="77">
        <v>0.59262000000000004</v>
      </c>
      <c r="H41" s="77">
        <v>0.57933000000000001</v>
      </c>
      <c r="I41" s="77">
        <v>0.60228000000000004</v>
      </c>
      <c r="J41" s="77">
        <v>0.54242000000000001</v>
      </c>
      <c r="K41" s="77">
        <v>0.61643999999999999</v>
      </c>
      <c r="L41" s="77">
        <v>0.60336000000000001</v>
      </c>
      <c r="M41" s="77">
        <v>0.62951999999999997</v>
      </c>
      <c r="N41" s="77">
        <v>0.63902000000000003</v>
      </c>
      <c r="O41" s="77">
        <v>0.53473000000000004</v>
      </c>
      <c r="P41" s="77">
        <v>0.50885000000000002</v>
      </c>
      <c r="Q41" s="77">
        <v>0.48992999999999998</v>
      </c>
      <c r="R41" s="77">
        <v>0.54545999999999994</v>
      </c>
      <c r="T41">
        <v>439</v>
      </c>
      <c r="U41">
        <f t="shared" si="0"/>
        <v>1.3900999999999999</v>
      </c>
      <c r="V41">
        <f t="shared" si="1"/>
        <v>0.99865999999999999</v>
      </c>
      <c r="W41">
        <f t="shared" si="2"/>
        <v>1.5338400000000001</v>
      </c>
      <c r="X41">
        <f t="shared" si="3"/>
        <v>1.1682999999999999</v>
      </c>
      <c r="Y41">
        <f t="shared" si="4"/>
        <v>1.1852400000000001</v>
      </c>
      <c r="Z41">
        <f t="shared" si="5"/>
        <v>1.15866</v>
      </c>
      <c r="AA41">
        <f t="shared" si="6"/>
        <v>1.2045600000000001</v>
      </c>
      <c r="AB41">
        <f t="shared" si="7"/>
        <v>1.08484</v>
      </c>
      <c r="AC41">
        <f t="shared" si="8"/>
        <v>1.23288</v>
      </c>
      <c r="AD41">
        <f t="shared" si="9"/>
        <v>1.20672</v>
      </c>
      <c r="AE41">
        <f t="shared" si="10"/>
        <v>1.2590399999999999</v>
      </c>
      <c r="AF41">
        <f t="shared" si="11"/>
        <v>1.2780400000000001</v>
      </c>
      <c r="AG41">
        <f t="shared" si="12"/>
        <v>1.0694600000000001</v>
      </c>
      <c r="AH41">
        <f t="shared" si="13"/>
        <v>1.0177</v>
      </c>
      <c r="AI41">
        <f t="shared" si="14"/>
        <v>0.97985999999999995</v>
      </c>
      <c r="AJ41">
        <f t="shared" si="15"/>
        <v>1.0909199999999999</v>
      </c>
      <c r="EC41">
        <v>439</v>
      </c>
      <c r="ED41">
        <v>1.3900999999999999</v>
      </c>
      <c r="EE41">
        <v>0.99865999999999999</v>
      </c>
      <c r="EF41">
        <v>1.5338400000000001</v>
      </c>
      <c r="EG41">
        <v>1.1682999999999999</v>
      </c>
      <c r="EH41">
        <v>1.1852400000000001</v>
      </c>
      <c r="EI41">
        <v>1.15866</v>
      </c>
      <c r="EJ41">
        <v>1.2045600000000001</v>
      </c>
      <c r="EK41">
        <v>1.08484</v>
      </c>
      <c r="EL41">
        <v>1.23288</v>
      </c>
      <c r="EM41">
        <v>1.20672</v>
      </c>
      <c r="EN41">
        <v>1.2590399999999999</v>
      </c>
      <c r="EO41">
        <v>1.2780400000000001</v>
      </c>
      <c r="EP41">
        <v>1.0694600000000001</v>
      </c>
      <c r="EQ41">
        <v>1.0177</v>
      </c>
      <c r="ER41">
        <v>0.97985999999999995</v>
      </c>
      <c r="ES41">
        <v>1.0909199999999999</v>
      </c>
    </row>
    <row r="42" spans="1:149" x14ac:dyDescent="0.35">
      <c r="A42" s="77"/>
      <c r="B42" s="77">
        <v>440</v>
      </c>
      <c r="C42" s="77">
        <v>0.69676000000000005</v>
      </c>
      <c r="D42" s="77">
        <v>0.50049999999999994</v>
      </c>
      <c r="E42" s="77">
        <v>0.76898</v>
      </c>
      <c r="F42" s="77">
        <v>0.58594000000000002</v>
      </c>
      <c r="G42" s="77">
        <v>0.59328000000000003</v>
      </c>
      <c r="H42" s="77">
        <v>0.57996000000000003</v>
      </c>
      <c r="I42" s="77">
        <v>0.60284000000000004</v>
      </c>
      <c r="J42" s="77">
        <v>0.54298000000000002</v>
      </c>
      <c r="K42" s="77">
        <v>0.61707999999999996</v>
      </c>
      <c r="L42" s="77">
        <v>0.60385</v>
      </c>
      <c r="M42" s="77">
        <v>0.63009999999999999</v>
      </c>
      <c r="N42" s="77">
        <v>0.63956000000000002</v>
      </c>
      <c r="O42" s="77">
        <v>0.53481000000000001</v>
      </c>
      <c r="P42" s="77">
        <v>0.50892999999999999</v>
      </c>
      <c r="Q42" s="77">
        <v>0.48997000000000002</v>
      </c>
      <c r="R42" s="77">
        <v>0.54564999999999997</v>
      </c>
      <c r="T42">
        <v>440</v>
      </c>
      <c r="U42">
        <f t="shared" si="0"/>
        <v>1.3935200000000001</v>
      </c>
      <c r="V42">
        <f t="shared" si="1"/>
        <v>1.0009999999999999</v>
      </c>
      <c r="W42">
        <f t="shared" si="2"/>
        <v>1.53796</v>
      </c>
      <c r="X42">
        <f t="shared" si="3"/>
        <v>1.17188</v>
      </c>
      <c r="Y42">
        <f t="shared" si="4"/>
        <v>1.1865600000000001</v>
      </c>
      <c r="Z42">
        <f t="shared" si="5"/>
        <v>1.1599200000000001</v>
      </c>
      <c r="AA42">
        <f t="shared" si="6"/>
        <v>1.2056800000000001</v>
      </c>
      <c r="AB42">
        <f t="shared" si="7"/>
        <v>1.08596</v>
      </c>
      <c r="AC42">
        <f t="shared" si="8"/>
        <v>1.2341599999999999</v>
      </c>
      <c r="AD42">
        <f t="shared" si="9"/>
        <v>1.2077</v>
      </c>
      <c r="AE42">
        <f t="shared" si="10"/>
        <v>1.2602</v>
      </c>
      <c r="AF42">
        <f t="shared" si="11"/>
        <v>1.27912</v>
      </c>
      <c r="AG42">
        <f t="shared" si="12"/>
        <v>1.06962</v>
      </c>
      <c r="AH42">
        <f t="shared" si="13"/>
        <v>1.01786</v>
      </c>
      <c r="AI42">
        <f t="shared" si="14"/>
        <v>0.97994000000000003</v>
      </c>
      <c r="AJ42">
        <f t="shared" si="15"/>
        <v>1.0912999999999999</v>
      </c>
      <c r="EC42">
        <v>440</v>
      </c>
      <c r="ED42">
        <v>1.3935200000000001</v>
      </c>
      <c r="EE42">
        <v>1.0009999999999999</v>
      </c>
      <c r="EF42">
        <v>1.53796</v>
      </c>
      <c r="EG42">
        <v>1.17188</v>
      </c>
      <c r="EH42">
        <v>1.1865600000000001</v>
      </c>
      <c r="EI42">
        <v>1.1599200000000001</v>
      </c>
      <c r="EJ42">
        <v>1.2056800000000001</v>
      </c>
      <c r="EK42">
        <v>1.08596</v>
      </c>
      <c r="EL42">
        <v>1.2341599999999999</v>
      </c>
      <c r="EM42">
        <v>1.2077</v>
      </c>
      <c r="EN42">
        <v>1.2602</v>
      </c>
      <c r="EO42">
        <v>1.27912</v>
      </c>
      <c r="EP42">
        <v>1.06962</v>
      </c>
      <c r="EQ42">
        <v>1.01786</v>
      </c>
      <c r="ER42">
        <v>0.97994000000000003</v>
      </c>
      <c r="ES42">
        <v>1.0912999999999999</v>
      </c>
    </row>
    <row r="43" spans="1:149" x14ac:dyDescent="0.35">
      <c r="A43" s="77"/>
      <c r="B43" s="77">
        <v>441</v>
      </c>
      <c r="C43" s="77">
        <v>0.69832000000000005</v>
      </c>
      <c r="D43" s="77">
        <v>0.50165999999999999</v>
      </c>
      <c r="E43" s="77">
        <v>0.77051000000000003</v>
      </c>
      <c r="F43" s="77">
        <v>0.58699000000000001</v>
      </c>
      <c r="G43" s="77">
        <v>0.59348999999999996</v>
      </c>
      <c r="H43" s="77">
        <v>0.58040000000000003</v>
      </c>
      <c r="I43" s="77">
        <v>0.60306999999999999</v>
      </c>
      <c r="J43" s="77">
        <v>0.54325999999999997</v>
      </c>
      <c r="K43" s="77">
        <v>0.61707999999999996</v>
      </c>
      <c r="L43" s="77">
        <v>0.60402999999999996</v>
      </c>
      <c r="M43" s="77">
        <v>0.63039000000000001</v>
      </c>
      <c r="N43" s="77">
        <v>0.63958999999999999</v>
      </c>
      <c r="O43" s="77">
        <v>0.53490000000000004</v>
      </c>
      <c r="P43" s="77">
        <v>0.50890000000000002</v>
      </c>
      <c r="Q43" s="77">
        <v>0.49013000000000001</v>
      </c>
      <c r="R43" s="77">
        <v>0.54568000000000005</v>
      </c>
      <c r="T43">
        <v>441</v>
      </c>
      <c r="U43">
        <f t="shared" si="0"/>
        <v>1.3966400000000001</v>
      </c>
      <c r="V43">
        <f t="shared" si="1"/>
        <v>1.00332</v>
      </c>
      <c r="W43">
        <f t="shared" si="2"/>
        <v>1.5410200000000001</v>
      </c>
      <c r="X43">
        <f t="shared" si="3"/>
        <v>1.17398</v>
      </c>
      <c r="Y43">
        <f t="shared" si="4"/>
        <v>1.1869799999999999</v>
      </c>
      <c r="Z43">
        <f t="shared" si="5"/>
        <v>1.1608000000000001</v>
      </c>
      <c r="AA43">
        <f t="shared" si="6"/>
        <v>1.20614</v>
      </c>
      <c r="AB43">
        <f t="shared" si="7"/>
        <v>1.0865199999999999</v>
      </c>
      <c r="AC43">
        <f t="shared" si="8"/>
        <v>1.2341599999999999</v>
      </c>
      <c r="AD43">
        <f t="shared" si="9"/>
        <v>1.2080599999999999</v>
      </c>
      <c r="AE43">
        <f t="shared" si="10"/>
        <v>1.26078</v>
      </c>
      <c r="AF43">
        <f t="shared" si="11"/>
        <v>1.27918</v>
      </c>
      <c r="AG43">
        <f t="shared" si="12"/>
        <v>1.0698000000000001</v>
      </c>
      <c r="AH43">
        <f t="shared" si="13"/>
        <v>1.0178</v>
      </c>
      <c r="AI43">
        <f t="shared" si="14"/>
        <v>0.98026000000000002</v>
      </c>
      <c r="AJ43">
        <f t="shared" si="15"/>
        <v>1.0913600000000001</v>
      </c>
      <c r="EC43">
        <v>441</v>
      </c>
      <c r="ED43">
        <v>1.3966400000000001</v>
      </c>
      <c r="EE43">
        <v>1.00332</v>
      </c>
      <c r="EF43">
        <v>1.5410200000000001</v>
      </c>
      <c r="EG43">
        <v>1.17398</v>
      </c>
      <c r="EH43">
        <v>1.1869799999999999</v>
      </c>
      <c r="EI43">
        <v>1.1608000000000001</v>
      </c>
      <c r="EJ43">
        <v>1.20614</v>
      </c>
      <c r="EK43">
        <v>1.0865199999999999</v>
      </c>
      <c r="EL43">
        <v>1.2341599999999999</v>
      </c>
      <c r="EM43">
        <v>1.2080599999999999</v>
      </c>
      <c r="EN43">
        <v>1.26078</v>
      </c>
      <c r="EO43">
        <v>1.27918</v>
      </c>
      <c r="EP43">
        <v>1.0698000000000001</v>
      </c>
      <c r="EQ43">
        <v>1.0178</v>
      </c>
      <c r="ER43">
        <v>0.98026000000000002</v>
      </c>
      <c r="ES43">
        <v>1.0913600000000001</v>
      </c>
    </row>
    <row r="44" spans="1:149" x14ac:dyDescent="0.35">
      <c r="A44" s="77"/>
      <c r="B44" s="77">
        <v>442</v>
      </c>
      <c r="C44" s="77">
        <v>0.69891000000000003</v>
      </c>
      <c r="D44" s="77">
        <v>0.50222999999999995</v>
      </c>
      <c r="E44" s="77">
        <v>0.77112999999999998</v>
      </c>
      <c r="F44" s="77">
        <v>0.58789000000000002</v>
      </c>
      <c r="G44" s="77">
        <v>0.59328000000000003</v>
      </c>
      <c r="H44" s="77">
        <v>0.58013999999999999</v>
      </c>
      <c r="I44" s="77">
        <v>0.60282999999999998</v>
      </c>
      <c r="J44" s="77">
        <v>0.54298000000000002</v>
      </c>
      <c r="K44" s="77">
        <v>0.61673999999999995</v>
      </c>
      <c r="L44" s="77">
        <v>0.60379000000000005</v>
      </c>
      <c r="M44" s="77">
        <v>0.63</v>
      </c>
      <c r="N44" s="77">
        <v>0.63939999999999997</v>
      </c>
      <c r="O44" s="77">
        <v>0.53473999999999999</v>
      </c>
      <c r="P44" s="77">
        <v>0.50875999999999999</v>
      </c>
      <c r="Q44" s="77">
        <v>0.48975999999999997</v>
      </c>
      <c r="R44" s="77">
        <v>0.54540999999999995</v>
      </c>
      <c r="T44">
        <v>442</v>
      </c>
      <c r="U44">
        <f t="shared" si="0"/>
        <v>1.3978200000000001</v>
      </c>
      <c r="V44">
        <f t="shared" si="1"/>
        <v>1.0044599999999999</v>
      </c>
      <c r="W44">
        <f t="shared" si="2"/>
        <v>1.54226</v>
      </c>
      <c r="X44">
        <f t="shared" si="3"/>
        <v>1.17578</v>
      </c>
      <c r="Y44">
        <f t="shared" si="4"/>
        <v>1.1865600000000001</v>
      </c>
      <c r="Z44">
        <f t="shared" si="5"/>
        <v>1.16028</v>
      </c>
      <c r="AA44">
        <f t="shared" si="6"/>
        <v>1.20566</v>
      </c>
      <c r="AB44">
        <f t="shared" si="7"/>
        <v>1.08596</v>
      </c>
      <c r="AC44">
        <f t="shared" si="8"/>
        <v>1.2334799999999999</v>
      </c>
      <c r="AD44">
        <f t="shared" si="9"/>
        <v>1.2075800000000001</v>
      </c>
      <c r="AE44">
        <f t="shared" si="10"/>
        <v>1.26</v>
      </c>
      <c r="AF44">
        <f t="shared" si="11"/>
        <v>1.2787999999999999</v>
      </c>
      <c r="AG44">
        <f t="shared" si="12"/>
        <v>1.06948</v>
      </c>
      <c r="AH44">
        <f t="shared" si="13"/>
        <v>1.01752</v>
      </c>
      <c r="AI44">
        <f t="shared" si="14"/>
        <v>0.97951999999999995</v>
      </c>
      <c r="AJ44">
        <f t="shared" si="15"/>
        <v>1.0908199999999999</v>
      </c>
      <c r="EC44">
        <v>442</v>
      </c>
      <c r="ED44">
        <v>1.3978200000000001</v>
      </c>
      <c r="EE44">
        <v>1.0044599999999999</v>
      </c>
      <c r="EF44">
        <v>1.54226</v>
      </c>
      <c r="EG44">
        <v>1.17578</v>
      </c>
      <c r="EH44">
        <v>1.1865600000000001</v>
      </c>
      <c r="EI44">
        <v>1.16028</v>
      </c>
      <c r="EJ44">
        <v>1.20566</v>
      </c>
      <c r="EK44">
        <v>1.08596</v>
      </c>
      <c r="EL44">
        <v>1.2334799999999999</v>
      </c>
      <c r="EM44">
        <v>1.2075800000000001</v>
      </c>
      <c r="EN44">
        <v>1.26</v>
      </c>
      <c r="EO44">
        <v>1.2787999999999999</v>
      </c>
      <c r="EP44">
        <v>1.06948</v>
      </c>
      <c r="EQ44">
        <v>1.01752</v>
      </c>
      <c r="ER44">
        <v>0.97951999999999995</v>
      </c>
      <c r="ES44">
        <v>1.0908199999999999</v>
      </c>
    </row>
    <row r="45" spans="1:149" x14ac:dyDescent="0.35">
      <c r="A45" s="77"/>
      <c r="B45" s="77">
        <v>443</v>
      </c>
      <c r="C45" s="77">
        <v>0.69882</v>
      </c>
      <c r="D45" s="77">
        <v>0.50244</v>
      </c>
      <c r="E45" s="77">
        <v>0.77103999999999995</v>
      </c>
      <c r="F45" s="77">
        <v>0.58791000000000004</v>
      </c>
      <c r="G45" s="77">
        <v>0.59265000000000001</v>
      </c>
      <c r="H45" s="77">
        <v>0.57952999999999999</v>
      </c>
      <c r="I45" s="77">
        <v>0.60226000000000002</v>
      </c>
      <c r="J45" s="77">
        <v>0.54257</v>
      </c>
      <c r="K45" s="77">
        <v>0.61606000000000005</v>
      </c>
      <c r="L45" s="77">
        <v>0.60294999999999999</v>
      </c>
      <c r="M45" s="77">
        <v>0.62921000000000005</v>
      </c>
      <c r="N45" s="77">
        <v>0.63851999999999998</v>
      </c>
      <c r="O45" s="77">
        <v>0.53434999999999999</v>
      </c>
      <c r="P45" s="77">
        <v>0.50821000000000005</v>
      </c>
      <c r="Q45" s="77">
        <v>0.48949999999999999</v>
      </c>
      <c r="R45" s="77">
        <v>0.54508999999999996</v>
      </c>
      <c r="T45">
        <v>443</v>
      </c>
      <c r="U45">
        <f t="shared" si="0"/>
        <v>1.39764</v>
      </c>
      <c r="V45">
        <f t="shared" si="1"/>
        <v>1.00488</v>
      </c>
      <c r="W45">
        <f t="shared" si="2"/>
        <v>1.5420799999999999</v>
      </c>
      <c r="X45">
        <f t="shared" si="3"/>
        <v>1.1758200000000001</v>
      </c>
      <c r="Y45">
        <f t="shared" si="4"/>
        <v>1.1853</v>
      </c>
      <c r="Z45">
        <f t="shared" si="5"/>
        <v>1.15906</v>
      </c>
      <c r="AA45">
        <f t="shared" si="6"/>
        <v>1.20452</v>
      </c>
      <c r="AB45">
        <f t="shared" si="7"/>
        <v>1.08514</v>
      </c>
      <c r="AC45">
        <f t="shared" si="8"/>
        <v>1.2321200000000001</v>
      </c>
      <c r="AD45">
        <f t="shared" si="9"/>
        <v>1.2059</v>
      </c>
      <c r="AE45">
        <f t="shared" si="10"/>
        <v>1.2584200000000001</v>
      </c>
      <c r="AF45">
        <f t="shared" si="11"/>
        <v>1.27704</v>
      </c>
      <c r="AG45">
        <f t="shared" si="12"/>
        <v>1.0687</v>
      </c>
      <c r="AH45">
        <f t="shared" si="13"/>
        <v>1.0164200000000001</v>
      </c>
      <c r="AI45">
        <f t="shared" si="14"/>
        <v>0.97899999999999998</v>
      </c>
      <c r="AJ45">
        <f t="shared" si="15"/>
        <v>1.0901799999999999</v>
      </c>
      <c r="EC45">
        <v>443</v>
      </c>
      <c r="ED45">
        <v>1.39764</v>
      </c>
      <c r="EE45">
        <v>1.00488</v>
      </c>
      <c r="EF45">
        <v>1.5420799999999999</v>
      </c>
      <c r="EG45">
        <v>1.1758200000000001</v>
      </c>
      <c r="EH45">
        <v>1.1853</v>
      </c>
      <c r="EI45">
        <v>1.15906</v>
      </c>
      <c r="EJ45">
        <v>1.20452</v>
      </c>
      <c r="EK45">
        <v>1.08514</v>
      </c>
      <c r="EL45">
        <v>1.2321200000000001</v>
      </c>
      <c r="EM45">
        <v>1.2059</v>
      </c>
      <c r="EN45">
        <v>1.2584200000000001</v>
      </c>
      <c r="EO45">
        <v>1.27704</v>
      </c>
      <c r="EP45">
        <v>1.0687</v>
      </c>
      <c r="EQ45">
        <v>1.0164200000000001</v>
      </c>
      <c r="ER45">
        <v>0.97899999999999998</v>
      </c>
      <c r="ES45">
        <v>1.0901799999999999</v>
      </c>
    </row>
    <row r="46" spans="1:149" x14ac:dyDescent="0.35">
      <c r="A46" s="77"/>
      <c r="B46" s="77">
        <v>444</v>
      </c>
      <c r="C46" s="77">
        <v>0.69833000000000001</v>
      </c>
      <c r="D46" s="77">
        <v>0.50190999999999997</v>
      </c>
      <c r="E46" s="77">
        <v>0.77014000000000005</v>
      </c>
      <c r="F46" s="77">
        <v>0.58738999999999997</v>
      </c>
      <c r="G46" s="77">
        <v>0.59177999999999997</v>
      </c>
      <c r="H46" s="77">
        <v>0.57860999999999996</v>
      </c>
      <c r="I46" s="77">
        <v>0.60126999999999997</v>
      </c>
      <c r="J46" s="77">
        <v>0.54171999999999998</v>
      </c>
      <c r="K46" s="77">
        <v>0.61470000000000002</v>
      </c>
      <c r="L46" s="77">
        <v>0.60187000000000002</v>
      </c>
      <c r="M46" s="77">
        <v>0.62790999999999997</v>
      </c>
      <c r="N46" s="77">
        <v>0.63751000000000002</v>
      </c>
      <c r="O46" s="77">
        <v>0.53356999999999999</v>
      </c>
      <c r="P46" s="77">
        <v>0.50778000000000001</v>
      </c>
      <c r="Q46" s="77">
        <v>0.48907</v>
      </c>
      <c r="R46" s="77">
        <v>0.54434000000000005</v>
      </c>
      <c r="T46">
        <v>444</v>
      </c>
      <c r="U46">
        <f t="shared" si="0"/>
        <v>1.39666</v>
      </c>
      <c r="V46">
        <f t="shared" si="1"/>
        <v>1.0038199999999999</v>
      </c>
      <c r="W46">
        <f t="shared" si="2"/>
        <v>1.5402800000000001</v>
      </c>
      <c r="X46">
        <f t="shared" si="3"/>
        <v>1.1747799999999999</v>
      </c>
      <c r="Y46">
        <f t="shared" si="4"/>
        <v>1.1835599999999999</v>
      </c>
      <c r="Z46">
        <f t="shared" si="5"/>
        <v>1.1572199999999999</v>
      </c>
      <c r="AA46">
        <f t="shared" si="6"/>
        <v>1.2025399999999999</v>
      </c>
      <c r="AB46">
        <f t="shared" si="7"/>
        <v>1.08344</v>
      </c>
      <c r="AC46">
        <f t="shared" si="8"/>
        <v>1.2294</v>
      </c>
      <c r="AD46">
        <f t="shared" si="9"/>
        <v>1.20374</v>
      </c>
      <c r="AE46">
        <f t="shared" si="10"/>
        <v>1.2558199999999999</v>
      </c>
      <c r="AF46">
        <f t="shared" si="11"/>
        <v>1.27502</v>
      </c>
      <c r="AG46">
        <f t="shared" si="12"/>
        <v>1.06714</v>
      </c>
      <c r="AH46">
        <f t="shared" si="13"/>
        <v>1.01556</v>
      </c>
      <c r="AI46">
        <f t="shared" si="14"/>
        <v>0.97814000000000001</v>
      </c>
      <c r="AJ46">
        <f t="shared" si="15"/>
        <v>1.0886800000000001</v>
      </c>
      <c r="EC46">
        <v>444</v>
      </c>
      <c r="ED46">
        <v>1.39666</v>
      </c>
      <c r="EE46">
        <v>1.0038199999999999</v>
      </c>
      <c r="EF46">
        <v>1.5402800000000001</v>
      </c>
      <c r="EG46">
        <v>1.1747799999999999</v>
      </c>
      <c r="EH46">
        <v>1.1835599999999999</v>
      </c>
      <c r="EI46">
        <v>1.1572199999999999</v>
      </c>
      <c r="EJ46">
        <v>1.2025399999999999</v>
      </c>
      <c r="EK46">
        <v>1.08344</v>
      </c>
      <c r="EL46">
        <v>1.2294</v>
      </c>
      <c r="EM46">
        <v>1.20374</v>
      </c>
      <c r="EN46">
        <v>1.2558199999999999</v>
      </c>
      <c r="EO46">
        <v>1.27502</v>
      </c>
      <c r="EP46">
        <v>1.06714</v>
      </c>
      <c r="EQ46">
        <v>1.01556</v>
      </c>
      <c r="ER46">
        <v>0.97814000000000001</v>
      </c>
      <c r="ES46">
        <v>1.0886800000000001</v>
      </c>
    </row>
    <row r="47" spans="1:149" x14ac:dyDescent="0.35">
      <c r="A47" s="77"/>
      <c r="B47" s="77">
        <v>445</v>
      </c>
      <c r="C47" s="77">
        <v>0.69699</v>
      </c>
      <c r="D47" s="77">
        <v>0.50087000000000004</v>
      </c>
      <c r="E47" s="77">
        <v>0.76797000000000004</v>
      </c>
      <c r="F47" s="77">
        <v>0.58613999999999999</v>
      </c>
      <c r="G47" s="77">
        <v>0.59018999999999999</v>
      </c>
      <c r="H47" s="77">
        <v>0.57699999999999996</v>
      </c>
      <c r="I47" s="77">
        <v>0.59962000000000004</v>
      </c>
      <c r="J47" s="77">
        <v>0.54054000000000002</v>
      </c>
      <c r="K47" s="77">
        <v>0.61278999999999995</v>
      </c>
      <c r="L47" s="77">
        <v>0.60013000000000005</v>
      </c>
      <c r="M47" s="77">
        <v>0.62609999999999999</v>
      </c>
      <c r="N47" s="77">
        <v>0.63539000000000001</v>
      </c>
      <c r="O47" s="77">
        <v>0.53247</v>
      </c>
      <c r="P47" s="77">
        <v>0.50673999999999997</v>
      </c>
      <c r="Q47" s="77">
        <v>0.48830000000000001</v>
      </c>
      <c r="R47" s="77">
        <v>0.54344000000000003</v>
      </c>
      <c r="T47">
        <v>445</v>
      </c>
      <c r="U47">
        <f t="shared" si="0"/>
        <v>1.39398</v>
      </c>
      <c r="V47">
        <f t="shared" si="1"/>
        <v>1.0017400000000001</v>
      </c>
      <c r="W47">
        <f t="shared" si="2"/>
        <v>1.5359400000000001</v>
      </c>
      <c r="X47">
        <f t="shared" si="3"/>
        <v>1.17228</v>
      </c>
      <c r="Y47">
        <f t="shared" si="4"/>
        <v>1.18038</v>
      </c>
      <c r="Z47">
        <f t="shared" si="5"/>
        <v>1.1539999999999999</v>
      </c>
      <c r="AA47">
        <f t="shared" si="6"/>
        <v>1.1992400000000001</v>
      </c>
      <c r="AB47">
        <f t="shared" si="7"/>
        <v>1.08108</v>
      </c>
      <c r="AC47">
        <f t="shared" si="8"/>
        <v>1.2255799999999999</v>
      </c>
      <c r="AD47">
        <f t="shared" si="9"/>
        <v>1.2002600000000001</v>
      </c>
      <c r="AE47">
        <f t="shared" si="10"/>
        <v>1.2522</v>
      </c>
      <c r="AF47">
        <f t="shared" si="11"/>
        <v>1.27078</v>
      </c>
      <c r="AG47">
        <f t="shared" si="12"/>
        <v>1.06494</v>
      </c>
      <c r="AH47">
        <f t="shared" si="13"/>
        <v>1.0134799999999999</v>
      </c>
      <c r="AI47">
        <f t="shared" si="14"/>
        <v>0.97660000000000002</v>
      </c>
      <c r="AJ47">
        <f t="shared" si="15"/>
        <v>1.0868800000000001</v>
      </c>
      <c r="EC47">
        <v>445</v>
      </c>
      <c r="ED47">
        <v>1.39398</v>
      </c>
      <c r="EE47">
        <v>1.0017400000000001</v>
      </c>
      <c r="EF47">
        <v>1.5359400000000001</v>
      </c>
      <c r="EG47">
        <v>1.17228</v>
      </c>
      <c r="EH47">
        <v>1.18038</v>
      </c>
      <c r="EI47">
        <v>1.1539999999999999</v>
      </c>
      <c r="EJ47">
        <v>1.1992400000000001</v>
      </c>
      <c r="EK47">
        <v>1.08108</v>
      </c>
      <c r="EL47">
        <v>1.2255799999999999</v>
      </c>
      <c r="EM47">
        <v>1.2002600000000001</v>
      </c>
      <c r="EN47">
        <v>1.2522</v>
      </c>
      <c r="EO47">
        <v>1.27078</v>
      </c>
      <c r="EP47">
        <v>1.06494</v>
      </c>
      <c r="EQ47">
        <v>1.0134799999999999</v>
      </c>
      <c r="ER47">
        <v>0.97660000000000002</v>
      </c>
      <c r="ES47">
        <v>1.0868800000000001</v>
      </c>
    </row>
    <row r="48" spans="1:149" x14ac:dyDescent="0.35">
      <c r="A48" s="77"/>
      <c r="B48" s="77">
        <v>446</v>
      </c>
      <c r="C48" s="77">
        <v>0.69460999999999995</v>
      </c>
      <c r="D48" s="77">
        <v>0.49947000000000003</v>
      </c>
      <c r="E48" s="77">
        <v>0.76546000000000003</v>
      </c>
      <c r="F48" s="77">
        <v>0.58440999999999999</v>
      </c>
      <c r="G48" s="77">
        <v>0.58833000000000002</v>
      </c>
      <c r="H48" s="77">
        <v>0.57484000000000002</v>
      </c>
      <c r="I48" s="77">
        <v>0.59772000000000003</v>
      </c>
      <c r="J48" s="77">
        <v>0.53908</v>
      </c>
      <c r="K48" s="77">
        <v>0.61038000000000003</v>
      </c>
      <c r="L48" s="77">
        <v>0.59807999999999995</v>
      </c>
      <c r="M48" s="77">
        <v>0.62383</v>
      </c>
      <c r="N48" s="77">
        <v>0.63302999999999998</v>
      </c>
      <c r="O48" s="77">
        <v>0.53171000000000002</v>
      </c>
      <c r="P48" s="77">
        <v>0.50609000000000004</v>
      </c>
      <c r="Q48" s="77">
        <v>0.48742999999999997</v>
      </c>
      <c r="R48" s="77">
        <v>0.54239999999999999</v>
      </c>
      <c r="T48">
        <v>446</v>
      </c>
      <c r="U48">
        <f t="shared" si="0"/>
        <v>1.3892199999999999</v>
      </c>
      <c r="V48">
        <f t="shared" si="1"/>
        <v>0.99894000000000005</v>
      </c>
      <c r="W48">
        <f t="shared" si="2"/>
        <v>1.5309200000000001</v>
      </c>
      <c r="X48">
        <f t="shared" si="3"/>
        <v>1.16882</v>
      </c>
      <c r="Y48">
        <f t="shared" si="4"/>
        <v>1.17666</v>
      </c>
      <c r="Z48">
        <f t="shared" si="5"/>
        <v>1.14968</v>
      </c>
      <c r="AA48">
        <f t="shared" si="6"/>
        <v>1.1954400000000001</v>
      </c>
      <c r="AB48">
        <f t="shared" si="7"/>
        <v>1.07816</v>
      </c>
      <c r="AC48">
        <f t="shared" si="8"/>
        <v>1.2207600000000001</v>
      </c>
      <c r="AD48">
        <f t="shared" si="9"/>
        <v>1.1961599999999999</v>
      </c>
      <c r="AE48">
        <f t="shared" si="10"/>
        <v>1.24766</v>
      </c>
      <c r="AF48">
        <f t="shared" si="11"/>
        <v>1.26606</v>
      </c>
      <c r="AG48">
        <f t="shared" si="12"/>
        <v>1.06342</v>
      </c>
      <c r="AH48">
        <f t="shared" si="13"/>
        <v>1.0121800000000001</v>
      </c>
      <c r="AI48">
        <f t="shared" si="14"/>
        <v>0.97485999999999995</v>
      </c>
      <c r="AJ48">
        <f t="shared" si="15"/>
        <v>1.0848</v>
      </c>
      <c r="EC48">
        <v>446</v>
      </c>
      <c r="ED48">
        <v>1.3892199999999999</v>
      </c>
      <c r="EE48">
        <v>0.99894000000000005</v>
      </c>
      <c r="EF48">
        <v>1.5309200000000001</v>
      </c>
      <c r="EG48">
        <v>1.16882</v>
      </c>
      <c r="EH48">
        <v>1.17666</v>
      </c>
      <c r="EI48">
        <v>1.14968</v>
      </c>
      <c r="EJ48">
        <v>1.1954400000000001</v>
      </c>
      <c r="EK48">
        <v>1.07816</v>
      </c>
      <c r="EL48">
        <v>1.2207600000000001</v>
      </c>
      <c r="EM48">
        <v>1.1961599999999999</v>
      </c>
      <c r="EN48">
        <v>1.24766</v>
      </c>
      <c r="EO48">
        <v>1.26606</v>
      </c>
      <c r="EP48">
        <v>1.06342</v>
      </c>
      <c r="EQ48">
        <v>1.0121800000000001</v>
      </c>
      <c r="ER48">
        <v>0.97485999999999995</v>
      </c>
      <c r="ES48">
        <v>1.0848</v>
      </c>
    </row>
    <row r="49" spans="1:149" x14ac:dyDescent="0.35">
      <c r="A49" s="77"/>
      <c r="B49" s="77">
        <v>447</v>
      </c>
      <c r="C49" s="77">
        <v>0.69186000000000003</v>
      </c>
      <c r="D49" s="77">
        <v>0.49758999999999998</v>
      </c>
      <c r="E49" s="77">
        <v>0.76200999999999997</v>
      </c>
      <c r="F49" s="77">
        <v>0.58211000000000002</v>
      </c>
      <c r="G49" s="77">
        <v>0.58626999999999996</v>
      </c>
      <c r="H49" s="77">
        <v>0.57265999999999995</v>
      </c>
      <c r="I49" s="77">
        <v>0.59531000000000001</v>
      </c>
      <c r="J49" s="77">
        <v>0.53722999999999999</v>
      </c>
      <c r="K49" s="77">
        <v>0.60757000000000005</v>
      </c>
      <c r="L49" s="77">
        <v>0.59555000000000002</v>
      </c>
      <c r="M49" s="77">
        <v>0.62102000000000002</v>
      </c>
      <c r="N49" s="77">
        <v>0.63004000000000004</v>
      </c>
      <c r="O49" s="77">
        <v>0.53085000000000004</v>
      </c>
      <c r="P49" s="77">
        <v>0.50529000000000002</v>
      </c>
      <c r="Q49" s="77">
        <v>0.48668</v>
      </c>
      <c r="R49" s="77">
        <v>0.54146000000000005</v>
      </c>
      <c r="T49">
        <v>447</v>
      </c>
      <c r="U49">
        <f t="shared" si="0"/>
        <v>1.3837200000000001</v>
      </c>
      <c r="V49">
        <f t="shared" si="1"/>
        <v>0.99517999999999995</v>
      </c>
      <c r="W49">
        <f t="shared" si="2"/>
        <v>1.5240199999999999</v>
      </c>
      <c r="X49">
        <f t="shared" si="3"/>
        <v>1.16422</v>
      </c>
      <c r="Y49">
        <f t="shared" si="4"/>
        <v>1.1725399999999999</v>
      </c>
      <c r="Z49">
        <f t="shared" si="5"/>
        <v>1.1453199999999999</v>
      </c>
      <c r="AA49">
        <f t="shared" si="6"/>
        <v>1.19062</v>
      </c>
      <c r="AB49">
        <f t="shared" si="7"/>
        <v>1.07446</v>
      </c>
      <c r="AC49">
        <f t="shared" si="8"/>
        <v>1.2151400000000001</v>
      </c>
      <c r="AD49">
        <f t="shared" si="9"/>
        <v>1.1911</v>
      </c>
      <c r="AE49">
        <f t="shared" si="10"/>
        <v>1.24204</v>
      </c>
      <c r="AF49">
        <f t="shared" si="11"/>
        <v>1.2600800000000001</v>
      </c>
      <c r="AG49">
        <f t="shared" si="12"/>
        <v>1.0617000000000001</v>
      </c>
      <c r="AH49">
        <f t="shared" si="13"/>
        <v>1.01058</v>
      </c>
      <c r="AI49">
        <f t="shared" si="14"/>
        <v>0.97336</v>
      </c>
      <c r="AJ49">
        <f t="shared" si="15"/>
        <v>1.0829200000000001</v>
      </c>
      <c r="EC49">
        <v>447</v>
      </c>
      <c r="ED49">
        <v>1.3837200000000001</v>
      </c>
      <c r="EE49">
        <v>0.99517999999999995</v>
      </c>
      <c r="EF49">
        <v>1.5240199999999999</v>
      </c>
      <c r="EG49">
        <v>1.16422</v>
      </c>
      <c r="EH49">
        <v>1.1725399999999999</v>
      </c>
      <c r="EI49">
        <v>1.1453199999999999</v>
      </c>
      <c r="EJ49">
        <v>1.19062</v>
      </c>
      <c r="EK49">
        <v>1.07446</v>
      </c>
      <c r="EL49">
        <v>1.2151400000000001</v>
      </c>
      <c r="EM49">
        <v>1.1911</v>
      </c>
      <c r="EN49">
        <v>1.24204</v>
      </c>
      <c r="EO49">
        <v>1.2600800000000001</v>
      </c>
      <c r="EP49">
        <v>1.0617000000000001</v>
      </c>
      <c r="EQ49">
        <v>1.01058</v>
      </c>
      <c r="ER49">
        <v>0.97336</v>
      </c>
      <c r="ES49">
        <v>1.0829200000000001</v>
      </c>
    </row>
    <row r="50" spans="1:149" x14ac:dyDescent="0.35">
      <c r="A50" s="77"/>
      <c r="B50" s="77">
        <v>448</v>
      </c>
      <c r="C50" s="77">
        <v>0.68833999999999995</v>
      </c>
      <c r="D50" s="77">
        <v>0.49531999999999998</v>
      </c>
      <c r="E50" s="77">
        <v>0.75795000000000001</v>
      </c>
      <c r="F50" s="77">
        <v>0.57918999999999998</v>
      </c>
      <c r="G50" s="77">
        <v>0.58352999999999999</v>
      </c>
      <c r="H50" s="77">
        <v>0.57003999999999999</v>
      </c>
      <c r="I50" s="77">
        <v>0.59260999999999997</v>
      </c>
      <c r="J50" s="77">
        <v>0.53505999999999998</v>
      </c>
      <c r="K50" s="77">
        <v>0.60438999999999998</v>
      </c>
      <c r="L50" s="77">
        <v>0.59286000000000005</v>
      </c>
      <c r="M50" s="77">
        <v>0.61814999999999998</v>
      </c>
      <c r="N50" s="77">
        <v>0.62707999999999997</v>
      </c>
      <c r="O50" s="77">
        <v>0.52956000000000003</v>
      </c>
      <c r="P50" s="77">
        <v>0.50421000000000005</v>
      </c>
      <c r="Q50" s="77">
        <v>0.48576000000000003</v>
      </c>
      <c r="R50" s="77">
        <v>0.54040999999999995</v>
      </c>
      <c r="T50">
        <v>448</v>
      </c>
      <c r="U50">
        <f t="shared" si="0"/>
        <v>1.3766799999999999</v>
      </c>
      <c r="V50">
        <f t="shared" si="1"/>
        <v>0.99063999999999997</v>
      </c>
      <c r="W50">
        <f t="shared" si="2"/>
        <v>1.5159</v>
      </c>
      <c r="X50">
        <f t="shared" si="3"/>
        <v>1.15838</v>
      </c>
      <c r="Y50">
        <f t="shared" si="4"/>
        <v>1.16706</v>
      </c>
      <c r="Z50">
        <f t="shared" si="5"/>
        <v>1.14008</v>
      </c>
      <c r="AA50">
        <f t="shared" si="6"/>
        <v>1.1852199999999999</v>
      </c>
      <c r="AB50">
        <f t="shared" si="7"/>
        <v>1.07012</v>
      </c>
      <c r="AC50">
        <f t="shared" si="8"/>
        <v>1.20878</v>
      </c>
      <c r="AD50">
        <f t="shared" si="9"/>
        <v>1.1857200000000001</v>
      </c>
      <c r="AE50">
        <f t="shared" si="10"/>
        <v>1.2363</v>
      </c>
      <c r="AF50">
        <f t="shared" si="11"/>
        <v>1.2541599999999999</v>
      </c>
      <c r="AG50">
        <f t="shared" si="12"/>
        <v>1.0591200000000001</v>
      </c>
      <c r="AH50">
        <f t="shared" si="13"/>
        <v>1.0084200000000001</v>
      </c>
      <c r="AI50">
        <f t="shared" si="14"/>
        <v>0.97152000000000005</v>
      </c>
      <c r="AJ50">
        <f t="shared" si="15"/>
        <v>1.0808199999999999</v>
      </c>
      <c r="EC50">
        <v>448</v>
      </c>
      <c r="ED50">
        <v>1.3766799999999999</v>
      </c>
      <c r="EE50">
        <v>0.99063999999999997</v>
      </c>
      <c r="EF50">
        <v>1.5159</v>
      </c>
      <c r="EG50">
        <v>1.15838</v>
      </c>
      <c r="EH50">
        <v>1.16706</v>
      </c>
      <c r="EI50">
        <v>1.14008</v>
      </c>
      <c r="EJ50">
        <v>1.1852199999999999</v>
      </c>
      <c r="EK50">
        <v>1.07012</v>
      </c>
      <c r="EL50">
        <v>1.20878</v>
      </c>
      <c r="EM50">
        <v>1.1857200000000001</v>
      </c>
      <c r="EN50">
        <v>1.2363</v>
      </c>
      <c r="EO50">
        <v>1.2541599999999999</v>
      </c>
      <c r="EP50">
        <v>1.0591200000000001</v>
      </c>
      <c r="EQ50">
        <v>1.0084200000000001</v>
      </c>
      <c r="ER50">
        <v>0.97152000000000005</v>
      </c>
      <c r="ES50">
        <v>1.0808199999999999</v>
      </c>
    </row>
    <row r="51" spans="1:149" x14ac:dyDescent="0.35">
      <c r="A51" s="77"/>
      <c r="B51" s="77">
        <v>449</v>
      </c>
      <c r="C51" s="77">
        <v>0.68450999999999995</v>
      </c>
      <c r="D51" s="77">
        <v>0.49242999999999998</v>
      </c>
      <c r="E51" s="77">
        <v>0.75339999999999996</v>
      </c>
      <c r="F51" s="77">
        <v>0.57576000000000005</v>
      </c>
      <c r="G51" s="77">
        <v>0.58069999999999999</v>
      </c>
      <c r="H51" s="77">
        <v>0.56699999999999995</v>
      </c>
      <c r="I51" s="77">
        <v>0.58960000000000001</v>
      </c>
      <c r="J51" s="77">
        <v>0.53278000000000003</v>
      </c>
      <c r="K51" s="77">
        <v>0.60082999999999998</v>
      </c>
      <c r="L51" s="77">
        <v>0.58986000000000005</v>
      </c>
      <c r="M51" s="77">
        <v>0.61487999999999998</v>
      </c>
      <c r="N51" s="77">
        <v>0.62346000000000001</v>
      </c>
      <c r="O51" s="77">
        <v>0.52822999999999998</v>
      </c>
      <c r="P51" s="77">
        <v>0.50322999999999996</v>
      </c>
      <c r="Q51" s="77">
        <v>0.48487999999999998</v>
      </c>
      <c r="R51" s="77">
        <v>0.53913999999999995</v>
      </c>
      <c r="T51">
        <v>449</v>
      </c>
      <c r="U51">
        <f t="shared" si="0"/>
        <v>1.3690199999999999</v>
      </c>
      <c r="V51">
        <f t="shared" si="1"/>
        <v>0.98485999999999996</v>
      </c>
      <c r="W51">
        <f t="shared" si="2"/>
        <v>1.5067999999999999</v>
      </c>
      <c r="X51">
        <f t="shared" si="3"/>
        <v>1.1515200000000001</v>
      </c>
      <c r="Y51">
        <f t="shared" si="4"/>
        <v>1.1614</v>
      </c>
      <c r="Z51">
        <f t="shared" si="5"/>
        <v>1.1339999999999999</v>
      </c>
      <c r="AA51">
        <f t="shared" si="6"/>
        <v>1.1792</v>
      </c>
      <c r="AB51">
        <f t="shared" si="7"/>
        <v>1.0655600000000001</v>
      </c>
      <c r="AC51">
        <f t="shared" si="8"/>
        <v>1.20166</v>
      </c>
      <c r="AD51">
        <f t="shared" si="9"/>
        <v>1.1797200000000001</v>
      </c>
      <c r="AE51">
        <f t="shared" si="10"/>
        <v>1.22976</v>
      </c>
      <c r="AF51">
        <f t="shared" si="11"/>
        <v>1.24692</v>
      </c>
      <c r="AG51">
        <f t="shared" si="12"/>
        <v>1.05646</v>
      </c>
      <c r="AH51">
        <f t="shared" si="13"/>
        <v>1.0064599999999999</v>
      </c>
      <c r="AI51">
        <f t="shared" si="14"/>
        <v>0.96975999999999996</v>
      </c>
      <c r="AJ51">
        <f t="shared" si="15"/>
        <v>1.0782799999999999</v>
      </c>
      <c r="EC51">
        <v>449</v>
      </c>
      <c r="ED51">
        <v>1.3690199999999999</v>
      </c>
      <c r="EE51">
        <v>0.98485999999999996</v>
      </c>
      <c r="EF51">
        <v>1.5067999999999999</v>
      </c>
      <c r="EG51">
        <v>1.1515200000000001</v>
      </c>
      <c r="EH51">
        <v>1.1614</v>
      </c>
      <c r="EI51">
        <v>1.1339999999999999</v>
      </c>
      <c r="EJ51">
        <v>1.1792</v>
      </c>
      <c r="EK51">
        <v>1.0655600000000001</v>
      </c>
      <c r="EL51">
        <v>1.20166</v>
      </c>
      <c r="EM51">
        <v>1.1797200000000001</v>
      </c>
      <c r="EN51">
        <v>1.22976</v>
      </c>
      <c r="EO51">
        <v>1.24692</v>
      </c>
      <c r="EP51">
        <v>1.05646</v>
      </c>
      <c r="EQ51">
        <v>1.0064599999999999</v>
      </c>
      <c r="ER51">
        <v>0.96975999999999996</v>
      </c>
      <c r="ES51">
        <v>1.0782799999999999</v>
      </c>
    </row>
    <row r="52" spans="1:149" x14ac:dyDescent="0.35">
      <c r="A52" s="77"/>
      <c r="B52" s="77">
        <v>450</v>
      </c>
      <c r="C52" s="77">
        <v>0.68028</v>
      </c>
      <c r="D52" s="77">
        <v>0.48960999999999999</v>
      </c>
      <c r="E52" s="77">
        <v>0.74853999999999998</v>
      </c>
      <c r="F52" s="77">
        <v>0.57208000000000003</v>
      </c>
      <c r="G52" s="77">
        <v>0.57787999999999995</v>
      </c>
      <c r="H52" s="77">
        <v>0.56396000000000002</v>
      </c>
      <c r="I52" s="77">
        <v>0.58665</v>
      </c>
      <c r="J52" s="77">
        <v>0.53036000000000005</v>
      </c>
      <c r="K52" s="77">
        <v>0.59721000000000002</v>
      </c>
      <c r="L52" s="77">
        <v>0.58669000000000004</v>
      </c>
      <c r="M52" s="77">
        <v>0.61133999999999999</v>
      </c>
      <c r="N52" s="77">
        <v>0.61995</v>
      </c>
      <c r="O52" s="77">
        <v>0.52710000000000001</v>
      </c>
      <c r="P52" s="77">
        <v>0.50209000000000004</v>
      </c>
      <c r="Q52" s="77">
        <v>0.48394999999999999</v>
      </c>
      <c r="R52" s="77">
        <v>0.53783000000000003</v>
      </c>
      <c r="T52">
        <v>450</v>
      </c>
      <c r="U52">
        <f t="shared" si="0"/>
        <v>1.36056</v>
      </c>
      <c r="V52">
        <f t="shared" si="1"/>
        <v>0.97921999999999998</v>
      </c>
      <c r="W52">
        <f t="shared" si="2"/>
        <v>1.49708</v>
      </c>
      <c r="X52">
        <f t="shared" si="3"/>
        <v>1.1441600000000001</v>
      </c>
      <c r="Y52">
        <f t="shared" si="4"/>
        <v>1.1557599999999999</v>
      </c>
      <c r="Z52">
        <f t="shared" si="5"/>
        <v>1.12792</v>
      </c>
      <c r="AA52">
        <f t="shared" si="6"/>
        <v>1.1733</v>
      </c>
      <c r="AB52">
        <f t="shared" si="7"/>
        <v>1.0607200000000001</v>
      </c>
      <c r="AC52">
        <f t="shared" si="8"/>
        <v>1.19442</v>
      </c>
      <c r="AD52">
        <f t="shared" si="9"/>
        <v>1.1733800000000001</v>
      </c>
      <c r="AE52">
        <f t="shared" si="10"/>
        <v>1.22268</v>
      </c>
      <c r="AF52">
        <f t="shared" si="11"/>
        <v>1.2399</v>
      </c>
      <c r="AG52">
        <f t="shared" si="12"/>
        <v>1.0542</v>
      </c>
      <c r="AH52">
        <f t="shared" si="13"/>
        <v>1.0041800000000001</v>
      </c>
      <c r="AI52">
        <f t="shared" si="14"/>
        <v>0.96789999999999998</v>
      </c>
      <c r="AJ52">
        <f t="shared" si="15"/>
        <v>1.0756600000000001</v>
      </c>
      <c r="EC52">
        <v>450</v>
      </c>
      <c r="ED52">
        <v>1.36056</v>
      </c>
      <c r="EE52">
        <v>0.97921999999999998</v>
      </c>
      <c r="EF52">
        <v>1.49708</v>
      </c>
      <c r="EG52">
        <v>1.1441600000000001</v>
      </c>
      <c r="EH52">
        <v>1.1557599999999999</v>
      </c>
      <c r="EI52">
        <v>1.12792</v>
      </c>
      <c r="EJ52">
        <v>1.1733</v>
      </c>
      <c r="EK52">
        <v>1.0607200000000001</v>
      </c>
      <c r="EL52">
        <v>1.19442</v>
      </c>
      <c r="EM52">
        <v>1.1733800000000001</v>
      </c>
      <c r="EN52">
        <v>1.22268</v>
      </c>
      <c r="EO52">
        <v>1.2399</v>
      </c>
      <c r="EP52">
        <v>1.0542</v>
      </c>
      <c r="EQ52">
        <v>1.0041800000000001</v>
      </c>
      <c r="ER52">
        <v>0.96789999999999998</v>
      </c>
      <c r="ES52">
        <v>1.0756600000000001</v>
      </c>
    </row>
    <row r="53" spans="1:149" x14ac:dyDescent="0.35">
      <c r="A53" s="77"/>
      <c r="B53" s="77">
        <v>451</v>
      </c>
      <c r="C53" s="77">
        <v>0.67574000000000001</v>
      </c>
      <c r="D53" s="77">
        <v>0.48653999999999997</v>
      </c>
      <c r="E53" s="77">
        <v>0.74348000000000003</v>
      </c>
      <c r="F53" s="77">
        <v>0.56859000000000004</v>
      </c>
      <c r="G53" s="77">
        <v>0.57538</v>
      </c>
      <c r="H53" s="77">
        <v>0.56105000000000005</v>
      </c>
      <c r="I53" s="77">
        <v>0.58369000000000004</v>
      </c>
      <c r="J53" s="77">
        <v>0.52830999999999995</v>
      </c>
      <c r="K53" s="77">
        <v>0.59386000000000005</v>
      </c>
      <c r="L53" s="77">
        <v>0.58362999999999998</v>
      </c>
      <c r="M53" s="77">
        <v>0.60819999999999996</v>
      </c>
      <c r="N53" s="77">
        <v>0.61629999999999996</v>
      </c>
      <c r="O53" s="77">
        <v>0.52590999999999999</v>
      </c>
      <c r="P53" s="77">
        <v>0.50104000000000004</v>
      </c>
      <c r="Q53" s="77">
        <v>0.48279</v>
      </c>
      <c r="R53" s="77">
        <v>0.53673000000000004</v>
      </c>
      <c r="T53">
        <v>451</v>
      </c>
      <c r="U53">
        <f t="shared" si="0"/>
        <v>1.35148</v>
      </c>
      <c r="V53">
        <f t="shared" si="1"/>
        <v>0.97307999999999995</v>
      </c>
      <c r="W53">
        <f t="shared" si="2"/>
        <v>1.4869600000000001</v>
      </c>
      <c r="X53">
        <f t="shared" si="3"/>
        <v>1.1371800000000001</v>
      </c>
      <c r="Y53">
        <f t="shared" si="4"/>
        <v>1.15076</v>
      </c>
      <c r="Z53">
        <f t="shared" si="5"/>
        <v>1.1221000000000001</v>
      </c>
      <c r="AA53">
        <f t="shared" si="6"/>
        <v>1.1673800000000001</v>
      </c>
      <c r="AB53">
        <f t="shared" si="7"/>
        <v>1.0566199999999999</v>
      </c>
      <c r="AC53">
        <f t="shared" si="8"/>
        <v>1.1877200000000001</v>
      </c>
      <c r="AD53">
        <f t="shared" si="9"/>
        <v>1.16726</v>
      </c>
      <c r="AE53">
        <f t="shared" si="10"/>
        <v>1.2163999999999999</v>
      </c>
      <c r="AF53">
        <f t="shared" si="11"/>
        <v>1.2325999999999999</v>
      </c>
      <c r="AG53">
        <f t="shared" si="12"/>
        <v>1.05182</v>
      </c>
      <c r="AH53">
        <f t="shared" si="13"/>
        <v>1.0020800000000001</v>
      </c>
      <c r="AI53">
        <f t="shared" si="14"/>
        <v>0.96557999999999999</v>
      </c>
      <c r="AJ53">
        <f t="shared" si="15"/>
        <v>1.0734600000000001</v>
      </c>
      <c r="EC53">
        <v>451</v>
      </c>
      <c r="ED53">
        <v>1.35148</v>
      </c>
      <c r="EE53">
        <v>0.97307999999999995</v>
      </c>
      <c r="EF53">
        <v>1.4869600000000001</v>
      </c>
      <c r="EG53">
        <v>1.1371800000000001</v>
      </c>
      <c r="EH53">
        <v>1.15076</v>
      </c>
      <c r="EI53">
        <v>1.1221000000000001</v>
      </c>
      <c r="EJ53">
        <v>1.1673800000000001</v>
      </c>
      <c r="EK53">
        <v>1.0566199999999999</v>
      </c>
      <c r="EL53">
        <v>1.1877200000000001</v>
      </c>
      <c r="EM53">
        <v>1.16726</v>
      </c>
      <c r="EN53">
        <v>1.2163999999999999</v>
      </c>
      <c r="EO53">
        <v>1.2325999999999999</v>
      </c>
      <c r="EP53">
        <v>1.05182</v>
      </c>
      <c r="EQ53">
        <v>1.0020800000000001</v>
      </c>
      <c r="ER53">
        <v>0.96557999999999999</v>
      </c>
      <c r="ES53">
        <v>1.0734600000000001</v>
      </c>
    </row>
    <row r="54" spans="1:149" x14ac:dyDescent="0.35">
      <c r="A54" s="77"/>
      <c r="B54" s="77">
        <v>452</v>
      </c>
      <c r="C54" s="77">
        <v>0.67142999999999997</v>
      </c>
      <c r="D54" s="77">
        <v>0.48376000000000002</v>
      </c>
      <c r="E54" s="77">
        <v>0.73868</v>
      </c>
      <c r="F54" s="77">
        <v>0.56488000000000005</v>
      </c>
      <c r="G54" s="77">
        <v>0.57265999999999995</v>
      </c>
      <c r="H54" s="77">
        <v>0.55806</v>
      </c>
      <c r="I54" s="77">
        <v>0.58082999999999996</v>
      </c>
      <c r="J54" s="77">
        <v>0.52590999999999999</v>
      </c>
      <c r="K54" s="77">
        <v>0.59038999999999997</v>
      </c>
      <c r="L54" s="77">
        <v>0.58043999999999996</v>
      </c>
      <c r="M54" s="77">
        <v>0.60487000000000002</v>
      </c>
      <c r="N54" s="77">
        <v>0.61299000000000003</v>
      </c>
      <c r="O54" s="77">
        <v>0.52483000000000002</v>
      </c>
      <c r="P54" s="77">
        <v>0.50002999999999997</v>
      </c>
      <c r="Q54" s="77">
        <v>0.48196</v>
      </c>
      <c r="R54" s="77">
        <v>0.53569</v>
      </c>
      <c r="T54">
        <v>452</v>
      </c>
      <c r="U54">
        <f t="shared" si="0"/>
        <v>1.3428599999999999</v>
      </c>
      <c r="V54">
        <f t="shared" si="1"/>
        <v>0.96752000000000005</v>
      </c>
      <c r="W54">
        <f t="shared" si="2"/>
        <v>1.47736</v>
      </c>
      <c r="X54">
        <f t="shared" si="3"/>
        <v>1.1297600000000001</v>
      </c>
      <c r="Y54">
        <f t="shared" si="4"/>
        <v>1.1453199999999999</v>
      </c>
      <c r="Z54">
        <f t="shared" si="5"/>
        <v>1.11612</v>
      </c>
      <c r="AA54">
        <f t="shared" si="6"/>
        <v>1.1616599999999999</v>
      </c>
      <c r="AB54">
        <f t="shared" si="7"/>
        <v>1.05182</v>
      </c>
      <c r="AC54">
        <f t="shared" si="8"/>
        <v>1.1807799999999999</v>
      </c>
      <c r="AD54">
        <f t="shared" si="9"/>
        <v>1.1608799999999999</v>
      </c>
      <c r="AE54">
        <f t="shared" si="10"/>
        <v>1.20974</v>
      </c>
      <c r="AF54">
        <f t="shared" si="11"/>
        <v>1.2259800000000001</v>
      </c>
      <c r="AG54">
        <f t="shared" si="12"/>
        <v>1.04966</v>
      </c>
      <c r="AH54">
        <f t="shared" si="13"/>
        <v>1.0000599999999999</v>
      </c>
      <c r="AI54">
        <f t="shared" si="14"/>
        <v>0.96392</v>
      </c>
      <c r="AJ54">
        <f t="shared" si="15"/>
        <v>1.07138</v>
      </c>
      <c r="EC54">
        <v>452</v>
      </c>
      <c r="ED54">
        <v>1.3428599999999999</v>
      </c>
      <c r="EE54">
        <v>0.96752000000000005</v>
      </c>
      <c r="EF54">
        <v>1.47736</v>
      </c>
      <c r="EG54">
        <v>1.1297600000000001</v>
      </c>
      <c r="EH54">
        <v>1.1453199999999999</v>
      </c>
      <c r="EI54">
        <v>1.11612</v>
      </c>
      <c r="EJ54">
        <v>1.1616599999999999</v>
      </c>
      <c r="EK54">
        <v>1.05182</v>
      </c>
      <c r="EL54">
        <v>1.1807799999999999</v>
      </c>
      <c r="EM54">
        <v>1.1608799999999999</v>
      </c>
      <c r="EN54">
        <v>1.20974</v>
      </c>
      <c r="EO54">
        <v>1.2259800000000001</v>
      </c>
      <c r="EP54">
        <v>1.04966</v>
      </c>
      <c r="EQ54">
        <v>1.0000599999999999</v>
      </c>
      <c r="ER54">
        <v>0.96392</v>
      </c>
      <c r="ES54">
        <v>1.07138</v>
      </c>
    </row>
    <row r="55" spans="1:149" x14ac:dyDescent="0.35">
      <c r="A55" s="77"/>
      <c r="B55" s="77">
        <v>453</v>
      </c>
      <c r="C55" s="77">
        <v>0.66776000000000002</v>
      </c>
      <c r="D55" s="77">
        <v>0.48104999999999998</v>
      </c>
      <c r="E55" s="77">
        <v>0.73431000000000002</v>
      </c>
      <c r="F55" s="77">
        <v>0.56174000000000002</v>
      </c>
      <c r="G55" s="77">
        <v>0.57023999999999997</v>
      </c>
      <c r="H55" s="77">
        <v>0.55545</v>
      </c>
      <c r="I55" s="77">
        <v>0.57826</v>
      </c>
      <c r="J55" s="77">
        <v>0.52388000000000001</v>
      </c>
      <c r="K55" s="77">
        <v>0.58748999999999996</v>
      </c>
      <c r="L55" s="77">
        <v>0.57767000000000002</v>
      </c>
      <c r="M55" s="77">
        <v>0.60213000000000005</v>
      </c>
      <c r="N55" s="77">
        <v>0.60982000000000003</v>
      </c>
      <c r="O55" s="77">
        <v>0.52371000000000001</v>
      </c>
      <c r="P55" s="77">
        <v>0.49909999999999999</v>
      </c>
      <c r="Q55" s="77">
        <v>0.48096</v>
      </c>
      <c r="R55" s="77">
        <v>0.53456000000000004</v>
      </c>
      <c r="T55">
        <v>453</v>
      </c>
      <c r="U55">
        <f t="shared" si="0"/>
        <v>1.33552</v>
      </c>
      <c r="V55">
        <f t="shared" si="1"/>
        <v>0.96209999999999996</v>
      </c>
      <c r="W55">
        <f t="shared" si="2"/>
        <v>1.46862</v>
      </c>
      <c r="X55">
        <f t="shared" si="3"/>
        <v>1.12348</v>
      </c>
      <c r="Y55">
        <f t="shared" si="4"/>
        <v>1.1404799999999999</v>
      </c>
      <c r="Z55">
        <f t="shared" si="5"/>
        <v>1.1109</v>
      </c>
      <c r="AA55">
        <f t="shared" si="6"/>
        <v>1.15652</v>
      </c>
      <c r="AB55">
        <f t="shared" si="7"/>
        <v>1.04776</v>
      </c>
      <c r="AC55">
        <f t="shared" si="8"/>
        <v>1.1749799999999999</v>
      </c>
      <c r="AD55">
        <f t="shared" si="9"/>
        <v>1.15534</v>
      </c>
      <c r="AE55">
        <f t="shared" si="10"/>
        <v>1.2042600000000001</v>
      </c>
      <c r="AF55">
        <f t="shared" si="11"/>
        <v>1.2196400000000001</v>
      </c>
      <c r="AG55">
        <f t="shared" si="12"/>
        <v>1.04742</v>
      </c>
      <c r="AH55">
        <f t="shared" si="13"/>
        <v>0.99819999999999998</v>
      </c>
      <c r="AI55">
        <f t="shared" si="14"/>
        <v>0.96192</v>
      </c>
      <c r="AJ55">
        <f t="shared" si="15"/>
        <v>1.0691200000000001</v>
      </c>
      <c r="EC55">
        <v>453</v>
      </c>
      <c r="ED55">
        <v>1.33552</v>
      </c>
      <c r="EE55">
        <v>0.96209999999999996</v>
      </c>
      <c r="EF55">
        <v>1.46862</v>
      </c>
      <c r="EG55">
        <v>1.12348</v>
      </c>
      <c r="EH55">
        <v>1.1404799999999999</v>
      </c>
      <c r="EI55">
        <v>1.1109</v>
      </c>
      <c r="EJ55">
        <v>1.15652</v>
      </c>
      <c r="EK55">
        <v>1.04776</v>
      </c>
      <c r="EL55">
        <v>1.1749799999999999</v>
      </c>
      <c r="EM55">
        <v>1.15534</v>
      </c>
      <c r="EN55">
        <v>1.2042600000000001</v>
      </c>
      <c r="EO55">
        <v>1.2196400000000001</v>
      </c>
      <c r="EP55">
        <v>1.04742</v>
      </c>
      <c r="EQ55">
        <v>0.99819999999999998</v>
      </c>
      <c r="ER55">
        <v>0.96192</v>
      </c>
      <c r="ES55">
        <v>1.0691200000000001</v>
      </c>
    </row>
    <row r="56" spans="1:149" x14ac:dyDescent="0.35">
      <c r="A56" s="77"/>
      <c r="B56" s="77">
        <v>454</v>
      </c>
      <c r="C56" s="77">
        <v>0.66415000000000002</v>
      </c>
      <c r="D56" s="77">
        <v>0.47865000000000002</v>
      </c>
      <c r="E56" s="77">
        <v>0.73009000000000002</v>
      </c>
      <c r="F56" s="77">
        <v>0.55857999999999997</v>
      </c>
      <c r="G56" s="77">
        <v>0.56810000000000005</v>
      </c>
      <c r="H56" s="77">
        <v>0.55322000000000005</v>
      </c>
      <c r="I56" s="77">
        <v>0.57599</v>
      </c>
      <c r="J56" s="77">
        <v>0.52210999999999996</v>
      </c>
      <c r="K56" s="77">
        <v>0.58474999999999999</v>
      </c>
      <c r="L56" s="77">
        <v>0.57543999999999995</v>
      </c>
      <c r="M56" s="77">
        <v>0.59977999999999998</v>
      </c>
      <c r="N56" s="77">
        <v>0.60711999999999999</v>
      </c>
      <c r="O56" s="77">
        <v>0.52292000000000005</v>
      </c>
      <c r="P56" s="77">
        <v>0.49831999999999999</v>
      </c>
      <c r="Q56" s="77">
        <v>0.48036000000000001</v>
      </c>
      <c r="R56" s="77">
        <v>0.53351999999999999</v>
      </c>
      <c r="T56">
        <v>454</v>
      </c>
      <c r="U56">
        <f t="shared" si="0"/>
        <v>1.3283</v>
      </c>
      <c r="V56">
        <f t="shared" si="1"/>
        <v>0.95730000000000004</v>
      </c>
      <c r="W56">
        <f t="shared" si="2"/>
        <v>1.46018</v>
      </c>
      <c r="X56">
        <f t="shared" si="3"/>
        <v>1.1171599999999999</v>
      </c>
      <c r="Y56">
        <f t="shared" si="4"/>
        <v>1.1362000000000001</v>
      </c>
      <c r="Z56">
        <f t="shared" si="5"/>
        <v>1.1064400000000001</v>
      </c>
      <c r="AA56">
        <f t="shared" si="6"/>
        <v>1.15198</v>
      </c>
      <c r="AB56">
        <f t="shared" si="7"/>
        <v>1.0442199999999999</v>
      </c>
      <c r="AC56">
        <f t="shared" si="8"/>
        <v>1.1695</v>
      </c>
      <c r="AD56">
        <f t="shared" si="9"/>
        <v>1.1508799999999999</v>
      </c>
      <c r="AE56">
        <f t="shared" si="10"/>
        <v>1.19956</v>
      </c>
      <c r="AF56">
        <f t="shared" si="11"/>
        <v>1.21424</v>
      </c>
      <c r="AG56">
        <f t="shared" si="12"/>
        <v>1.0458400000000001</v>
      </c>
      <c r="AH56">
        <f t="shared" si="13"/>
        <v>0.99663999999999997</v>
      </c>
      <c r="AI56">
        <f t="shared" si="14"/>
        <v>0.96072000000000002</v>
      </c>
      <c r="AJ56">
        <f t="shared" si="15"/>
        <v>1.06704</v>
      </c>
      <c r="EC56">
        <v>454</v>
      </c>
      <c r="ED56">
        <v>1.3283</v>
      </c>
      <c r="EE56">
        <v>0.95730000000000004</v>
      </c>
      <c r="EF56">
        <v>1.46018</v>
      </c>
      <c r="EG56">
        <v>1.1171599999999999</v>
      </c>
      <c r="EH56">
        <v>1.1362000000000001</v>
      </c>
      <c r="EI56">
        <v>1.1064400000000001</v>
      </c>
      <c r="EJ56">
        <v>1.15198</v>
      </c>
      <c r="EK56">
        <v>1.0442199999999999</v>
      </c>
      <c r="EL56">
        <v>1.1695</v>
      </c>
      <c r="EM56">
        <v>1.1508799999999999</v>
      </c>
      <c r="EN56">
        <v>1.19956</v>
      </c>
      <c r="EO56">
        <v>1.21424</v>
      </c>
      <c r="EP56">
        <v>1.0458400000000001</v>
      </c>
      <c r="EQ56">
        <v>0.99663999999999997</v>
      </c>
      <c r="ER56">
        <v>0.96072000000000002</v>
      </c>
      <c r="ES56">
        <v>1.06704</v>
      </c>
    </row>
    <row r="57" spans="1:149" x14ac:dyDescent="0.35">
      <c r="A57" s="77"/>
      <c r="B57" s="77">
        <v>455</v>
      </c>
      <c r="C57" s="77">
        <v>0.66054999999999997</v>
      </c>
      <c r="D57" s="77">
        <v>0.47609000000000001</v>
      </c>
      <c r="E57" s="77">
        <v>0.72633000000000003</v>
      </c>
      <c r="F57" s="77">
        <v>0.55564999999999998</v>
      </c>
      <c r="G57" s="77">
        <v>0.56603999999999999</v>
      </c>
      <c r="H57" s="77">
        <v>0.55089999999999995</v>
      </c>
      <c r="I57" s="77">
        <v>0.57384000000000002</v>
      </c>
      <c r="J57" s="77">
        <v>0.52054</v>
      </c>
      <c r="K57" s="77">
        <v>0.58206000000000002</v>
      </c>
      <c r="L57" s="77">
        <v>0.57326999999999995</v>
      </c>
      <c r="M57" s="77">
        <v>0.59723999999999999</v>
      </c>
      <c r="N57" s="77">
        <v>0.60453999999999997</v>
      </c>
      <c r="O57" s="77">
        <v>0.52197000000000005</v>
      </c>
      <c r="P57" s="77">
        <v>0.49751000000000001</v>
      </c>
      <c r="Q57" s="77">
        <v>0.47968</v>
      </c>
      <c r="R57" s="77">
        <v>0.53264</v>
      </c>
      <c r="T57">
        <v>455</v>
      </c>
      <c r="U57">
        <f t="shared" si="0"/>
        <v>1.3210999999999999</v>
      </c>
      <c r="V57">
        <f t="shared" si="1"/>
        <v>0.95218000000000003</v>
      </c>
      <c r="W57">
        <f t="shared" si="2"/>
        <v>1.4526600000000001</v>
      </c>
      <c r="X57">
        <f t="shared" si="3"/>
        <v>1.1113</v>
      </c>
      <c r="Y57">
        <f t="shared" si="4"/>
        <v>1.13208</v>
      </c>
      <c r="Z57">
        <f t="shared" si="5"/>
        <v>1.1017999999999999</v>
      </c>
      <c r="AA57">
        <f t="shared" si="6"/>
        <v>1.14768</v>
      </c>
      <c r="AB57">
        <f t="shared" si="7"/>
        <v>1.04108</v>
      </c>
      <c r="AC57">
        <f t="shared" si="8"/>
        <v>1.16412</v>
      </c>
      <c r="AD57">
        <f t="shared" si="9"/>
        <v>1.1465399999999999</v>
      </c>
      <c r="AE57">
        <f t="shared" si="10"/>
        <v>1.19448</v>
      </c>
      <c r="AF57">
        <f t="shared" si="11"/>
        <v>1.2090799999999999</v>
      </c>
      <c r="AG57">
        <f t="shared" si="12"/>
        <v>1.0439400000000001</v>
      </c>
      <c r="AH57">
        <f t="shared" si="13"/>
        <v>0.99502000000000002</v>
      </c>
      <c r="AI57">
        <f t="shared" si="14"/>
        <v>0.95935999999999999</v>
      </c>
      <c r="AJ57">
        <f t="shared" si="15"/>
        <v>1.06528</v>
      </c>
      <c r="EC57">
        <v>455</v>
      </c>
      <c r="ED57">
        <v>1.3210999999999999</v>
      </c>
      <c r="EE57">
        <v>0.95218000000000003</v>
      </c>
      <c r="EF57">
        <v>1.4526600000000001</v>
      </c>
      <c r="EG57">
        <v>1.1113</v>
      </c>
      <c r="EH57">
        <v>1.13208</v>
      </c>
      <c r="EI57">
        <v>1.1017999999999999</v>
      </c>
      <c r="EJ57">
        <v>1.14768</v>
      </c>
      <c r="EK57">
        <v>1.04108</v>
      </c>
      <c r="EL57">
        <v>1.16412</v>
      </c>
      <c r="EM57">
        <v>1.1465399999999999</v>
      </c>
      <c r="EN57">
        <v>1.19448</v>
      </c>
      <c r="EO57">
        <v>1.2090799999999999</v>
      </c>
      <c r="EP57">
        <v>1.0439400000000001</v>
      </c>
      <c r="EQ57">
        <v>0.99502000000000002</v>
      </c>
      <c r="ER57">
        <v>0.95935999999999999</v>
      </c>
      <c r="ES57">
        <v>1.06528</v>
      </c>
    </row>
    <row r="58" spans="1:149" x14ac:dyDescent="0.35">
      <c r="A58" s="77"/>
      <c r="B58" s="77">
        <v>456</v>
      </c>
      <c r="C58" s="77">
        <v>0.65737999999999996</v>
      </c>
      <c r="D58" s="77">
        <v>0.47375</v>
      </c>
      <c r="E58" s="77">
        <v>0.72241</v>
      </c>
      <c r="F58" s="77">
        <v>0.55291999999999997</v>
      </c>
      <c r="G58" s="77">
        <v>0.56411999999999995</v>
      </c>
      <c r="H58" s="77">
        <v>0.54879999999999995</v>
      </c>
      <c r="I58" s="77">
        <v>0.57181000000000004</v>
      </c>
      <c r="J58" s="77">
        <v>0.51871</v>
      </c>
      <c r="K58" s="77">
        <v>0.57952999999999999</v>
      </c>
      <c r="L58" s="77">
        <v>0.57108000000000003</v>
      </c>
      <c r="M58" s="77">
        <v>0.59487999999999996</v>
      </c>
      <c r="N58" s="77">
        <v>0.60197000000000001</v>
      </c>
      <c r="O58" s="77">
        <v>0.52112999999999998</v>
      </c>
      <c r="P58" s="77">
        <v>0.49678</v>
      </c>
      <c r="Q58" s="77">
        <v>0.47905999999999999</v>
      </c>
      <c r="R58" s="77">
        <v>0.53188000000000002</v>
      </c>
      <c r="T58">
        <v>456</v>
      </c>
      <c r="U58">
        <f t="shared" si="0"/>
        <v>1.3147599999999999</v>
      </c>
      <c r="V58">
        <f t="shared" si="1"/>
        <v>0.94750000000000001</v>
      </c>
      <c r="W58">
        <f t="shared" si="2"/>
        <v>1.44482</v>
      </c>
      <c r="X58">
        <f t="shared" si="3"/>
        <v>1.1058399999999999</v>
      </c>
      <c r="Y58">
        <f t="shared" si="4"/>
        <v>1.1282399999999999</v>
      </c>
      <c r="Z58">
        <f t="shared" si="5"/>
        <v>1.0975999999999999</v>
      </c>
      <c r="AA58">
        <f t="shared" si="6"/>
        <v>1.1436200000000001</v>
      </c>
      <c r="AB58">
        <f t="shared" si="7"/>
        <v>1.03742</v>
      </c>
      <c r="AC58">
        <f t="shared" si="8"/>
        <v>1.15906</v>
      </c>
      <c r="AD58">
        <f t="shared" si="9"/>
        <v>1.1421600000000001</v>
      </c>
      <c r="AE58">
        <f t="shared" si="10"/>
        <v>1.1897599999999999</v>
      </c>
      <c r="AF58">
        <f t="shared" si="11"/>
        <v>1.20394</v>
      </c>
      <c r="AG58">
        <f t="shared" si="12"/>
        <v>1.04226</v>
      </c>
      <c r="AH58">
        <f t="shared" si="13"/>
        <v>0.99356</v>
      </c>
      <c r="AI58">
        <f t="shared" si="14"/>
        <v>0.95811999999999997</v>
      </c>
      <c r="AJ58">
        <f t="shared" si="15"/>
        <v>1.06376</v>
      </c>
      <c r="EC58">
        <v>456</v>
      </c>
      <c r="ED58">
        <v>1.3147599999999999</v>
      </c>
      <c r="EE58">
        <v>0.94750000000000001</v>
      </c>
      <c r="EF58">
        <v>1.44482</v>
      </c>
      <c r="EG58">
        <v>1.1058399999999999</v>
      </c>
      <c r="EH58">
        <v>1.1282399999999999</v>
      </c>
      <c r="EI58">
        <v>1.0975999999999999</v>
      </c>
      <c r="EJ58">
        <v>1.1436200000000001</v>
      </c>
      <c r="EK58">
        <v>1.03742</v>
      </c>
      <c r="EL58">
        <v>1.15906</v>
      </c>
      <c r="EM58">
        <v>1.1421600000000001</v>
      </c>
      <c r="EN58">
        <v>1.1897599999999999</v>
      </c>
      <c r="EO58">
        <v>1.20394</v>
      </c>
      <c r="EP58">
        <v>1.04226</v>
      </c>
      <c r="EQ58">
        <v>0.99356</v>
      </c>
      <c r="ER58">
        <v>0.95811999999999997</v>
      </c>
      <c r="ES58">
        <v>1.06376</v>
      </c>
    </row>
    <row r="59" spans="1:149" x14ac:dyDescent="0.35">
      <c r="A59" s="77"/>
      <c r="B59" s="77">
        <v>457</v>
      </c>
      <c r="C59" s="77">
        <v>0.65454000000000001</v>
      </c>
      <c r="D59" s="77">
        <v>0.47178999999999999</v>
      </c>
      <c r="E59" s="77">
        <v>0.71924999999999994</v>
      </c>
      <c r="F59" s="77">
        <v>0.55044999999999999</v>
      </c>
      <c r="G59" s="77">
        <v>0.5625</v>
      </c>
      <c r="H59" s="77">
        <v>0.54688999999999999</v>
      </c>
      <c r="I59" s="77">
        <v>0.57018000000000002</v>
      </c>
      <c r="J59" s="77">
        <v>0.51744000000000001</v>
      </c>
      <c r="K59" s="77">
        <v>0.57750000000000001</v>
      </c>
      <c r="L59" s="77">
        <v>0.56923999999999997</v>
      </c>
      <c r="M59" s="77">
        <v>0.59297</v>
      </c>
      <c r="N59" s="77">
        <v>0.59991000000000005</v>
      </c>
      <c r="O59" s="77">
        <v>0.52049000000000001</v>
      </c>
      <c r="P59" s="77">
        <v>0.49630999999999997</v>
      </c>
      <c r="Q59" s="77">
        <v>0.47847000000000001</v>
      </c>
      <c r="R59" s="77">
        <v>0.53127000000000002</v>
      </c>
      <c r="T59">
        <v>457</v>
      </c>
      <c r="U59">
        <f t="shared" si="0"/>
        <v>1.30908</v>
      </c>
      <c r="V59">
        <f t="shared" si="1"/>
        <v>0.94357999999999997</v>
      </c>
      <c r="W59">
        <f t="shared" si="2"/>
        <v>1.4384999999999999</v>
      </c>
      <c r="X59">
        <f t="shared" si="3"/>
        <v>1.1009</v>
      </c>
      <c r="Y59">
        <f t="shared" si="4"/>
        <v>1.125</v>
      </c>
      <c r="Z59">
        <f t="shared" si="5"/>
        <v>1.09378</v>
      </c>
      <c r="AA59">
        <f t="shared" si="6"/>
        <v>1.14036</v>
      </c>
      <c r="AB59">
        <f t="shared" si="7"/>
        <v>1.03488</v>
      </c>
      <c r="AC59">
        <f t="shared" si="8"/>
        <v>1.155</v>
      </c>
      <c r="AD59">
        <f t="shared" si="9"/>
        <v>1.1384799999999999</v>
      </c>
      <c r="AE59">
        <f t="shared" si="10"/>
        <v>1.18594</v>
      </c>
      <c r="AF59">
        <f t="shared" si="11"/>
        <v>1.1998200000000001</v>
      </c>
      <c r="AG59">
        <f t="shared" si="12"/>
        <v>1.04098</v>
      </c>
      <c r="AH59">
        <f t="shared" si="13"/>
        <v>0.99261999999999995</v>
      </c>
      <c r="AI59">
        <f t="shared" si="14"/>
        <v>0.95694000000000001</v>
      </c>
      <c r="AJ59">
        <f t="shared" si="15"/>
        <v>1.06254</v>
      </c>
      <c r="EC59">
        <v>457</v>
      </c>
      <c r="ED59">
        <v>1.30908</v>
      </c>
      <c r="EE59">
        <v>0.94357999999999997</v>
      </c>
      <c r="EF59">
        <v>1.4384999999999999</v>
      </c>
      <c r="EG59">
        <v>1.1009</v>
      </c>
      <c r="EH59">
        <v>1.125</v>
      </c>
      <c r="EI59">
        <v>1.09378</v>
      </c>
      <c r="EJ59">
        <v>1.14036</v>
      </c>
      <c r="EK59">
        <v>1.03488</v>
      </c>
      <c r="EL59">
        <v>1.155</v>
      </c>
      <c r="EM59">
        <v>1.1384799999999999</v>
      </c>
      <c r="EN59">
        <v>1.18594</v>
      </c>
      <c r="EO59">
        <v>1.1998200000000001</v>
      </c>
      <c r="EP59">
        <v>1.04098</v>
      </c>
      <c r="EQ59">
        <v>0.99261999999999995</v>
      </c>
      <c r="ER59">
        <v>0.95694000000000001</v>
      </c>
      <c r="ES59">
        <v>1.06254</v>
      </c>
    </row>
    <row r="60" spans="1:149" x14ac:dyDescent="0.35">
      <c r="A60" s="77"/>
      <c r="B60" s="77">
        <v>458</v>
      </c>
      <c r="C60" s="77">
        <v>0.65210000000000001</v>
      </c>
      <c r="D60" s="77">
        <v>0.47009000000000001</v>
      </c>
      <c r="E60" s="77">
        <v>0.71657999999999999</v>
      </c>
      <c r="F60" s="77">
        <v>0.5484</v>
      </c>
      <c r="G60" s="77">
        <v>0.56125999999999998</v>
      </c>
      <c r="H60" s="77">
        <v>0.54549000000000003</v>
      </c>
      <c r="I60" s="77">
        <v>0.56862000000000001</v>
      </c>
      <c r="J60" s="77">
        <v>0.51631000000000005</v>
      </c>
      <c r="K60" s="77">
        <v>0.57579000000000002</v>
      </c>
      <c r="L60" s="77">
        <v>0.56772</v>
      </c>
      <c r="M60" s="77">
        <v>0.59150999999999998</v>
      </c>
      <c r="N60" s="77">
        <v>0.59819</v>
      </c>
      <c r="O60" s="77">
        <v>0.51987000000000005</v>
      </c>
      <c r="P60" s="77">
        <v>0.49569999999999997</v>
      </c>
      <c r="Q60" s="77">
        <v>0.47805999999999998</v>
      </c>
      <c r="R60" s="77">
        <v>0.53061999999999998</v>
      </c>
      <c r="T60">
        <v>458</v>
      </c>
      <c r="U60">
        <f t="shared" si="0"/>
        <v>1.3042</v>
      </c>
      <c r="V60">
        <f t="shared" si="1"/>
        <v>0.94018000000000002</v>
      </c>
      <c r="W60">
        <f t="shared" si="2"/>
        <v>1.43316</v>
      </c>
      <c r="X60">
        <f t="shared" si="3"/>
        <v>1.0968</v>
      </c>
      <c r="Y60">
        <f t="shared" si="4"/>
        <v>1.12252</v>
      </c>
      <c r="Z60">
        <f t="shared" si="5"/>
        <v>1.0909800000000001</v>
      </c>
      <c r="AA60">
        <f t="shared" si="6"/>
        <v>1.13724</v>
      </c>
      <c r="AB60">
        <f t="shared" si="7"/>
        <v>1.0326200000000001</v>
      </c>
      <c r="AC60">
        <f t="shared" si="8"/>
        <v>1.15158</v>
      </c>
      <c r="AD60">
        <f t="shared" si="9"/>
        <v>1.13544</v>
      </c>
      <c r="AE60">
        <f t="shared" si="10"/>
        <v>1.18302</v>
      </c>
      <c r="AF60">
        <f t="shared" si="11"/>
        <v>1.19638</v>
      </c>
      <c r="AG60">
        <f t="shared" si="12"/>
        <v>1.0397400000000001</v>
      </c>
      <c r="AH60">
        <f t="shared" si="13"/>
        <v>0.99139999999999995</v>
      </c>
      <c r="AI60">
        <f t="shared" si="14"/>
        <v>0.95611999999999997</v>
      </c>
      <c r="AJ60">
        <f t="shared" si="15"/>
        <v>1.06124</v>
      </c>
      <c r="EC60">
        <v>458</v>
      </c>
      <c r="ED60">
        <v>1.3042</v>
      </c>
      <c r="EE60">
        <v>0.94018000000000002</v>
      </c>
      <c r="EF60">
        <v>1.43316</v>
      </c>
      <c r="EG60">
        <v>1.0968</v>
      </c>
      <c r="EH60">
        <v>1.12252</v>
      </c>
      <c r="EI60">
        <v>1.0909800000000001</v>
      </c>
      <c r="EJ60">
        <v>1.13724</v>
      </c>
      <c r="EK60">
        <v>1.0326200000000001</v>
      </c>
      <c r="EL60">
        <v>1.15158</v>
      </c>
      <c r="EM60">
        <v>1.13544</v>
      </c>
      <c r="EN60">
        <v>1.18302</v>
      </c>
      <c r="EO60">
        <v>1.19638</v>
      </c>
      <c r="EP60">
        <v>1.0397400000000001</v>
      </c>
      <c r="EQ60">
        <v>0.99139999999999995</v>
      </c>
      <c r="ER60">
        <v>0.95611999999999997</v>
      </c>
      <c r="ES60">
        <v>1.06124</v>
      </c>
    </row>
    <row r="61" spans="1:149" x14ac:dyDescent="0.35">
      <c r="A61" s="77"/>
      <c r="B61" s="77">
        <v>459</v>
      </c>
      <c r="C61" s="77">
        <v>0.65007000000000004</v>
      </c>
      <c r="D61" s="77">
        <v>0.46864</v>
      </c>
      <c r="E61" s="77">
        <v>0.71428999999999998</v>
      </c>
      <c r="F61" s="77">
        <v>0.54649000000000003</v>
      </c>
      <c r="G61" s="77">
        <v>0.56010000000000004</v>
      </c>
      <c r="H61" s="77">
        <v>0.54405000000000003</v>
      </c>
      <c r="I61" s="77">
        <v>0.56757999999999997</v>
      </c>
      <c r="J61" s="77">
        <v>0.51526000000000005</v>
      </c>
      <c r="K61" s="77">
        <v>0.57413000000000003</v>
      </c>
      <c r="L61" s="77">
        <v>0.56638999999999995</v>
      </c>
      <c r="M61" s="77">
        <v>0.58994999999999997</v>
      </c>
      <c r="N61" s="77">
        <v>0.59650000000000003</v>
      </c>
      <c r="O61" s="77">
        <v>0.51917999999999997</v>
      </c>
      <c r="P61" s="77">
        <v>0.49520999999999998</v>
      </c>
      <c r="Q61" s="77">
        <v>0.47750999999999999</v>
      </c>
      <c r="R61" s="77">
        <v>0.5302</v>
      </c>
      <c r="T61">
        <v>459</v>
      </c>
      <c r="U61">
        <f t="shared" si="0"/>
        <v>1.3001400000000001</v>
      </c>
      <c r="V61">
        <f t="shared" si="1"/>
        <v>0.93728</v>
      </c>
      <c r="W61">
        <f t="shared" si="2"/>
        <v>1.42858</v>
      </c>
      <c r="X61">
        <f t="shared" si="3"/>
        <v>1.0929800000000001</v>
      </c>
      <c r="Y61">
        <f t="shared" si="4"/>
        <v>1.1202000000000001</v>
      </c>
      <c r="Z61">
        <f t="shared" si="5"/>
        <v>1.0881000000000001</v>
      </c>
      <c r="AA61">
        <f t="shared" si="6"/>
        <v>1.1351599999999999</v>
      </c>
      <c r="AB61">
        <f t="shared" si="7"/>
        <v>1.0305200000000001</v>
      </c>
      <c r="AC61">
        <f t="shared" si="8"/>
        <v>1.1482600000000001</v>
      </c>
      <c r="AD61">
        <f t="shared" si="9"/>
        <v>1.1327799999999999</v>
      </c>
      <c r="AE61">
        <f t="shared" si="10"/>
        <v>1.1798999999999999</v>
      </c>
      <c r="AF61">
        <f t="shared" si="11"/>
        <v>1.1930000000000001</v>
      </c>
      <c r="AG61">
        <f t="shared" si="12"/>
        <v>1.0383599999999999</v>
      </c>
      <c r="AH61">
        <f t="shared" si="13"/>
        <v>0.99041999999999997</v>
      </c>
      <c r="AI61">
        <f t="shared" si="14"/>
        <v>0.95501999999999998</v>
      </c>
      <c r="AJ61">
        <f t="shared" si="15"/>
        <v>1.0604</v>
      </c>
      <c r="EC61">
        <v>459</v>
      </c>
      <c r="ED61">
        <v>1.3001400000000001</v>
      </c>
      <c r="EE61">
        <v>0.93728</v>
      </c>
      <c r="EF61">
        <v>1.42858</v>
      </c>
      <c r="EG61">
        <v>1.0929800000000001</v>
      </c>
      <c r="EH61">
        <v>1.1202000000000001</v>
      </c>
      <c r="EI61">
        <v>1.0881000000000001</v>
      </c>
      <c r="EJ61">
        <v>1.1351599999999999</v>
      </c>
      <c r="EK61">
        <v>1.0305200000000001</v>
      </c>
      <c r="EL61">
        <v>1.1482600000000001</v>
      </c>
      <c r="EM61">
        <v>1.1327799999999999</v>
      </c>
      <c r="EN61">
        <v>1.1798999999999999</v>
      </c>
      <c r="EO61">
        <v>1.1930000000000001</v>
      </c>
      <c r="EP61">
        <v>1.0383599999999999</v>
      </c>
      <c r="EQ61">
        <v>0.99041999999999997</v>
      </c>
      <c r="ER61">
        <v>0.95501999999999998</v>
      </c>
      <c r="ES61">
        <v>1.0604</v>
      </c>
    </row>
    <row r="62" spans="1:149" x14ac:dyDescent="0.35">
      <c r="A62" s="77"/>
      <c r="B62" s="77">
        <v>460</v>
      </c>
      <c r="C62" s="77">
        <v>0.64802999999999999</v>
      </c>
      <c r="D62" s="77">
        <v>0.46715000000000001</v>
      </c>
      <c r="E62" s="77">
        <v>0.71187</v>
      </c>
      <c r="F62" s="77">
        <v>0.54476999999999998</v>
      </c>
      <c r="G62" s="77">
        <v>0.55915999999999999</v>
      </c>
      <c r="H62" s="77">
        <v>0.54300999999999999</v>
      </c>
      <c r="I62" s="77">
        <v>0.56630000000000003</v>
      </c>
      <c r="J62" s="77">
        <v>0.51449999999999996</v>
      </c>
      <c r="K62" s="77">
        <v>0.57267999999999997</v>
      </c>
      <c r="L62" s="77">
        <v>0.56508000000000003</v>
      </c>
      <c r="M62" s="77">
        <v>0.58858999999999995</v>
      </c>
      <c r="N62" s="77">
        <v>0.59521000000000002</v>
      </c>
      <c r="O62" s="77">
        <v>0.51859999999999995</v>
      </c>
      <c r="P62" s="77">
        <v>0.49448999999999999</v>
      </c>
      <c r="Q62" s="77">
        <v>0.47697000000000001</v>
      </c>
      <c r="R62" s="77">
        <v>0.52956999999999999</v>
      </c>
      <c r="T62">
        <v>460</v>
      </c>
      <c r="U62">
        <f t="shared" si="0"/>
        <v>1.29606</v>
      </c>
      <c r="V62">
        <f t="shared" si="1"/>
        <v>0.93430000000000002</v>
      </c>
      <c r="W62">
        <f t="shared" si="2"/>
        <v>1.42374</v>
      </c>
      <c r="X62">
        <f t="shared" si="3"/>
        <v>1.08954</v>
      </c>
      <c r="Y62">
        <f t="shared" si="4"/>
        <v>1.11832</v>
      </c>
      <c r="Z62">
        <f t="shared" si="5"/>
        <v>1.08602</v>
      </c>
      <c r="AA62">
        <f t="shared" si="6"/>
        <v>1.1326000000000001</v>
      </c>
      <c r="AB62">
        <f t="shared" si="7"/>
        <v>1.0289999999999999</v>
      </c>
      <c r="AC62">
        <f t="shared" si="8"/>
        <v>1.1453599999999999</v>
      </c>
      <c r="AD62">
        <f t="shared" si="9"/>
        <v>1.1301600000000001</v>
      </c>
      <c r="AE62">
        <f t="shared" si="10"/>
        <v>1.1771799999999999</v>
      </c>
      <c r="AF62">
        <f t="shared" si="11"/>
        <v>1.19042</v>
      </c>
      <c r="AG62">
        <f t="shared" si="12"/>
        <v>1.0371999999999999</v>
      </c>
      <c r="AH62">
        <f t="shared" si="13"/>
        <v>0.98897999999999997</v>
      </c>
      <c r="AI62">
        <f t="shared" si="14"/>
        <v>0.95394000000000001</v>
      </c>
      <c r="AJ62">
        <f t="shared" si="15"/>
        <v>1.05914</v>
      </c>
      <c r="EC62">
        <v>460</v>
      </c>
      <c r="ED62">
        <v>1.29606</v>
      </c>
      <c r="EE62">
        <v>0.93430000000000002</v>
      </c>
      <c r="EF62">
        <v>1.42374</v>
      </c>
      <c r="EG62">
        <v>1.08954</v>
      </c>
      <c r="EH62">
        <v>1.11832</v>
      </c>
      <c r="EI62">
        <v>1.08602</v>
      </c>
      <c r="EJ62">
        <v>1.1326000000000001</v>
      </c>
      <c r="EK62">
        <v>1.0289999999999999</v>
      </c>
      <c r="EL62">
        <v>1.1453599999999999</v>
      </c>
      <c r="EM62">
        <v>1.1301600000000001</v>
      </c>
      <c r="EN62">
        <v>1.1771799999999999</v>
      </c>
      <c r="EO62">
        <v>1.19042</v>
      </c>
      <c r="EP62">
        <v>1.0371999999999999</v>
      </c>
      <c r="EQ62">
        <v>0.98897999999999997</v>
      </c>
      <c r="ER62">
        <v>0.95394000000000001</v>
      </c>
      <c r="ES62">
        <v>1.05914</v>
      </c>
    </row>
    <row r="63" spans="1:149" x14ac:dyDescent="0.35">
      <c r="A63" s="77"/>
      <c r="B63" s="77">
        <v>461</v>
      </c>
      <c r="C63" s="77">
        <v>0.64629999999999999</v>
      </c>
      <c r="D63" s="77">
        <v>0.46603</v>
      </c>
      <c r="E63" s="77">
        <v>0.70989999999999998</v>
      </c>
      <c r="F63" s="77">
        <v>0.54327000000000003</v>
      </c>
      <c r="G63" s="77">
        <v>0.55810999999999999</v>
      </c>
      <c r="H63" s="77">
        <v>0.54198999999999997</v>
      </c>
      <c r="I63" s="77">
        <v>0.56550999999999996</v>
      </c>
      <c r="J63" s="77">
        <v>0.51349999999999996</v>
      </c>
      <c r="K63" s="77">
        <v>0.57147000000000003</v>
      </c>
      <c r="L63" s="77">
        <v>0.56403000000000003</v>
      </c>
      <c r="M63" s="77">
        <v>0.58748</v>
      </c>
      <c r="N63" s="77">
        <v>0.59387000000000001</v>
      </c>
      <c r="O63" s="77">
        <v>0.51802000000000004</v>
      </c>
      <c r="P63" s="77">
        <v>0.49413000000000001</v>
      </c>
      <c r="Q63" s="77">
        <v>0.47653000000000001</v>
      </c>
      <c r="R63" s="77">
        <v>0.52903999999999995</v>
      </c>
      <c r="T63">
        <v>461</v>
      </c>
      <c r="U63">
        <f t="shared" si="0"/>
        <v>1.2926</v>
      </c>
      <c r="V63">
        <f t="shared" si="1"/>
        <v>0.93206</v>
      </c>
      <c r="W63">
        <f t="shared" si="2"/>
        <v>1.4198</v>
      </c>
      <c r="X63">
        <f t="shared" si="3"/>
        <v>1.0865400000000001</v>
      </c>
      <c r="Y63">
        <f t="shared" si="4"/>
        <v>1.11622</v>
      </c>
      <c r="Z63">
        <f t="shared" si="5"/>
        <v>1.0839799999999999</v>
      </c>
      <c r="AA63">
        <f t="shared" si="6"/>
        <v>1.1310199999999999</v>
      </c>
      <c r="AB63">
        <f t="shared" si="7"/>
        <v>1.0269999999999999</v>
      </c>
      <c r="AC63">
        <f t="shared" si="8"/>
        <v>1.1429400000000001</v>
      </c>
      <c r="AD63">
        <f t="shared" si="9"/>
        <v>1.1280600000000001</v>
      </c>
      <c r="AE63">
        <f t="shared" si="10"/>
        <v>1.17496</v>
      </c>
      <c r="AF63">
        <f t="shared" si="11"/>
        <v>1.18774</v>
      </c>
      <c r="AG63">
        <f t="shared" si="12"/>
        <v>1.0360400000000001</v>
      </c>
      <c r="AH63">
        <f t="shared" si="13"/>
        <v>0.98826000000000003</v>
      </c>
      <c r="AI63">
        <f t="shared" si="14"/>
        <v>0.95306000000000002</v>
      </c>
      <c r="AJ63">
        <f t="shared" si="15"/>
        <v>1.0580799999999999</v>
      </c>
      <c r="EC63">
        <v>461</v>
      </c>
      <c r="ED63">
        <v>1.2926</v>
      </c>
      <c r="EE63">
        <v>0.93206</v>
      </c>
      <c r="EF63">
        <v>1.4198</v>
      </c>
      <c r="EG63">
        <v>1.0865400000000001</v>
      </c>
      <c r="EH63">
        <v>1.11622</v>
      </c>
      <c r="EI63">
        <v>1.0839799999999999</v>
      </c>
      <c r="EJ63">
        <v>1.1310199999999999</v>
      </c>
      <c r="EK63">
        <v>1.0269999999999999</v>
      </c>
      <c r="EL63">
        <v>1.1429400000000001</v>
      </c>
      <c r="EM63">
        <v>1.1280600000000001</v>
      </c>
      <c r="EN63">
        <v>1.17496</v>
      </c>
      <c r="EO63">
        <v>1.18774</v>
      </c>
      <c r="EP63">
        <v>1.0360400000000001</v>
      </c>
      <c r="EQ63">
        <v>0.98826000000000003</v>
      </c>
      <c r="ER63">
        <v>0.95306000000000002</v>
      </c>
      <c r="ES63">
        <v>1.0580799999999999</v>
      </c>
    </row>
    <row r="64" spans="1:149" x14ac:dyDescent="0.35">
      <c r="A64" s="77"/>
      <c r="B64" s="77">
        <v>462</v>
      </c>
      <c r="C64" s="77">
        <v>0.64449000000000001</v>
      </c>
      <c r="D64" s="77">
        <v>0.46472000000000002</v>
      </c>
      <c r="E64" s="77">
        <v>0.70809999999999995</v>
      </c>
      <c r="F64" s="77">
        <v>0.54190000000000005</v>
      </c>
      <c r="G64" s="77">
        <v>0.55735999999999997</v>
      </c>
      <c r="H64" s="77">
        <v>0.54103000000000001</v>
      </c>
      <c r="I64" s="77">
        <v>0.56459000000000004</v>
      </c>
      <c r="J64" s="77">
        <v>0.51275999999999999</v>
      </c>
      <c r="K64" s="77">
        <v>0.57030999999999998</v>
      </c>
      <c r="L64" s="77">
        <v>0.56306</v>
      </c>
      <c r="M64" s="77">
        <v>0.58643000000000001</v>
      </c>
      <c r="N64" s="77">
        <v>0.59284999999999999</v>
      </c>
      <c r="O64" s="77">
        <v>0.51739999999999997</v>
      </c>
      <c r="P64" s="77">
        <v>0.49347999999999997</v>
      </c>
      <c r="Q64" s="77">
        <v>0.47603000000000001</v>
      </c>
      <c r="R64" s="77">
        <v>0.52844000000000002</v>
      </c>
      <c r="T64">
        <v>462</v>
      </c>
      <c r="U64">
        <f t="shared" si="0"/>
        <v>1.28898</v>
      </c>
      <c r="V64">
        <f t="shared" si="1"/>
        <v>0.92944000000000004</v>
      </c>
      <c r="W64">
        <f t="shared" si="2"/>
        <v>1.4161999999999999</v>
      </c>
      <c r="X64">
        <f t="shared" si="3"/>
        <v>1.0838000000000001</v>
      </c>
      <c r="Y64">
        <f t="shared" si="4"/>
        <v>1.1147199999999999</v>
      </c>
      <c r="Z64">
        <f t="shared" si="5"/>
        <v>1.08206</v>
      </c>
      <c r="AA64">
        <f t="shared" si="6"/>
        <v>1.1291800000000001</v>
      </c>
      <c r="AB64">
        <f t="shared" si="7"/>
        <v>1.02552</v>
      </c>
      <c r="AC64">
        <f t="shared" si="8"/>
        <v>1.14062</v>
      </c>
      <c r="AD64">
        <f t="shared" si="9"/>
        <v>1.12612</v>
      </c>
      <c r="AE64">
        <f t="shared" si="10"/>
        <v>1.17286</v>
      </c>
      <c r="AF64">
        <f t="shared" si="11"/>
        <v>1.1857</v>
      </c>
      <c r="AG64">
        <f t="shared" si="12"/>
        <v>1.0347999999999999</v>
      </c>
      <c r="AH64">
        <f t="shared" si="13"/>
        <v>0.98695999999999995</v>
      </c>
      <c r="AI64">
        <f t="shared" si="14"/>
        <v>0.95206000000000002</v>
      </c>
      <c r="AJ64">
        <f t="shared" si="15"/>
        <v>1.05688</v>
      </c>
      <c r="EC64">
        <v>462</v>
      </c>
      <c r="ED64">
        <v>1.28898</v>
      </c>
      <c r="EE64">
        <v>0.92944000000000004</v>
      </c>
      <c r="EF64">
        <v>1.4161999999999999</v>
      </c>
      <c r="EG64">
        <v>1.0838000000000001</v>
      </c>
      <c r="EH64">
        <v>1.1147199999999999</v>
      </c>
      <c r="EI64">
        <v>1.08206</v>
      </c>
      <c r="EJ64">
        <v>1.1291800000000001</v>
      </c>
      <c r="EK64">
        <v>1.02552</v>
      </c>
      <c r="EL64">
        <v>1.14062</v>
      </c>
      <c r="EM64">
        <v>1.12612</v>
      </c>
      <c r="EN64">
        <v>1.17286</v>
      </c>
      <c r="EO64">
        <v>1.1857</v>
      </c>
      <c r="EP64">
        <v>1.0347999999999999</v>
      </c>
      <c r="EQ64">
        <v>0.98695999999999995</v>
      </c>
      <c r="ER64">
        <v>0.95206000000000002</v>
      </c>
      <c r="ES64">
        <v>1.05688</v>
      </c>
    </row>
    <row r="65" spans="1:149" x14ac:dyDescent="0.35">
      <c r="A65" s="77"/>
      <c r="B65" s="77">
        <v>463</v>
      </c>
      <c r="C65" s="77">
        <v>0.64287000000000005</v>
      </c>
      <c r="D65" s="77">
        <v>0.46334999999999998</v>
      </c>
      <c r="E65" s="77">
        <v>0.70618999999999998</v>
      </c>
      <c r="F65" s="77">
        <v>0.54037000000000002</v>
      </c>
      <c r="G65" s="77">
        <v>0.55645999999999995</v>
      </c>
      <c r="H65" s="77">
        <v>0.54020999999999997</v>
      </c>
      <c r="I65" s="77">
        <v>0.56364000000000003</v>
      </c>
      <c r="J65" s="77">
        <v>0.51215999999999995</v>
      </c>
      <c r="K65" s="77">
        <v>0.56913999999999998</v>
      </c>
      <c r="L65" s="77">
        <v>0.56218999999999997</v>
      </c>
      <c r="M65" s="77">
        <v>0.58548999999999995</v>
      </c>
      <c r="N65" s="77">
        <v>0.59189000000000003</v>
      </c>
      <c r="O65" s="77">
        <v>0.51681999999999995</v>
      </c>
      <c r="P65" s="77">
        <v>0.49297999999999997</v>
      </c>
      <c r="Q65" s="77">
        <v>0.47548000000000001</v>
      </c>
      <c r="R65" s="77">
        <v>0.52785000000000004</v>
      </c>
      <c r="T65">
        <v>463</v>
      </c>
      <c r="U65">
        <f t="shared" si="0"/>
        <v>1.2857400000000001</v>
      </c>
      <c r="V65">
        <f t="shared" si="1"/>
        <v>0.92669999999999997</v>
      </c>
      <c r="W65">
        <f t="shared" si="2"/>
        <v>1.41238</v>
      </c>
      <c r="X65">
        <f t="shared" si="3"/>
        <v>1.08074</v>
      </c>
      <c r="Y65">
        <f t="shared" si="4"/>
        <v>1.1129199999999999</v>
      </c>
      <c r="Z65">
        <f t="shared" si="5"/>
        <v>1.0804199999999999</v>
      </c>
      <c r="AA65">
        <f t="shared" si="6"/>
        <v>1.1272800000000001</v>
      </c>
      <c r="AB65">
        <f t="shared" si="7"/>
        <v>1.0243199999999999</v>
      </c>
      <c r="AC65">
        <f t="shared" si="8"/>
        <v>1.13828</v>
      </c>
      <c r="AD65">
        <f t="shared" si="9"/>
        <v>1.1243799999999999</v>
      </c>
      <c r="AE65">
        <f t="shared" si="10"/>
        <v>1.1709799999999999</v>
      </c>
      <c r="AF65">
        <f t="shared" si="11"/>
        <v>1.1837800000000001</v>
      </c>
      <c r="AG65">
        <f t="shared" si="12"/>
        <v>1.0336399999999999</v>
      </c>
      <c r="AH65">
        <f t="shared" si="13"/>
        <v>0.98595999999999995</v>
      </c>
      <c r="AI65">
        <f t="shared" si="14"/>
        <v>0.95096000000000003</v>
      </c>
      <c r="AJ65">
        <f t="shared" si="15"/>
        <v>1.0557000000000001</v>
      </c>
      <c r="EC65">
        <v>463</v>
      </c>
      <c r="ED65">
        <v>1.2857400000000001</v>
      </c>
      <c r="EE65">
        <v>0.92669999999999997</v>
      </c>
      <c r="EF65">
        <v>1.41238</v>
      </c>
      <c r="EG65">
        <v>1.08074</v>
      </c>
      <c r="EH65">
        <v>1.1129199999999999</v>
      </c>
      <c r="EI65">
        <v>1.0804199999999999</v>
      </c>
      <c r="EJ65">
        <v>1.1272800000000001</v>
      </c>
      <c r="EK65">
        <v>1.0243199999999999</v>
      </c>
      <c r="EL65">
        <v>1.13828</v>
      </c>
      <c r="EM65">
        <v>1.1243799999999999</v>
      </c>
      <c r="EN65">
        <v>1.1709799999999999</v>
      </c>
      <c r="EO65">
        <v>1.1837800000000001</v>
      </c>
      <c r="EP65">
        <v>1.0336399999999999</v>
      </c>
      <c r="EQ65">
        <v>0.98595999999999995</v>
      </c>
      <c r="ER65">
        <v>0.95096000000000003</v>
      </c>
      <c r="ES65">
        <v>1.0557000000000001</v>
      </c>
    </row>
    <row r="66" spans="1:149" x14ac:dyDescent="0.35">
      <c r="A66" s="77"/>
      <c r="B66" s="77">
        <v>464</v>
      </c>
      <c r="C66" s="77">
        <v>0.64119000000000004</v>
      </c>
      <c r="D66" s="77">
        <v>0.46222999999999997</v>
      </c>
      <c r="E66" s="77">
        <v>0.70421</v>
      </c>
      <c r="F66" s="77">
        <v>0.53888000000000003</v>
      </c>
      <c r="G66" s="77">
        <v>0.55564999999999998</v>
      </c>
      <c r="H66" s="77">
        <v>0.53915000000000002</v>
      </c>
      <c r="I66" s="77">
        <v>0.56267999999999996</v>
      </c>
      <c r="J66" s="77">
        <v>0.51134000000000002</v>
      </c>
      <c r="K66" s="77">
        <v>0.56840999999999997</v>
      </c>
      <c r="L66" s="77">
        <v>0.56118999999999997</v>
      </c>
      <c r="M66" s="77">
        <v>0.58447000000000005</v>
      </c>
      <c r="N66" s="77">
        <v>0.59072999999999998</v>
      </c>
      <c r="O66" s="77">
        <v>0.51627000000000001</v>
      </c>
      <c r="P66" s="77">
        <v>0.49246000000000001</v>
      </c>
      <c r="Q66" s="77">
        <v>0.47499000000000002</v>
      </c>
      <c r="R66" s="77">
        <v>0.52725</v>
      </c>
      <c r="T66">
        <v>464</v>
      </c>
      <c r="U66">
        <f t="shared" si="0"/>
        <v>1.2823800000000001</v>
      </c>
      <c r="V66">
        <f t="shared" si="1"/>
        <v>0.92445999999999995</v>
      </c>
      <c r="W66">
        <f t="shared" si="2"/>
        <v>1.40842</v>
      </c>
      <c r="X66">
        <f t="shared" si="3"/>
        <v>1.0777600000000001</v>
      </c>
      <c r="Y66">
        <f t="shared" si="4"/>
        <v>1.1113</v>
      </c>
      <c r="Z66">
        <f t="shared" si="5"/>
        <v>1.0783</v>
      </c>
      <c r="AA66">
        <f t="shared" si="6"/>
        <v>1.1253599999999999</v>
      </c>
      <c r="AB66">
        <f t="shared" si="7"/>
        <v>1.02268</v>
      </c>
      <c r="AC66">
        <f t="shared" si="8"/>
        <v>1.1368199999999999</v>
      </c>
      <c r="AD66">
        <f t="shared" si="9"/>
        <v>1.1223799999999999</v>
      </c>
      <c r="AE66">
        <f t="shared" si="10"/>
        <v>1.1689400000000001</v>
      </c>
      <c r="AF66">
        <f t="shared" si="11"/>
        <v>1.18146</v>
      </c>
      <c r="AG66">
        <f t="shared" si="12"/>
        <v>1.03254</v>
      </c>
      <c r="AH66">
        <f t="shared" si="13"/>
        <v>0.98492000000000002</v>
      </c>
      <c r="AI66">
        <f t="shared" si="14"/>
        <v>0.94998000000000005</v>
      </c>
      <c r="AJ66">
        <f t="shared" si="15"/>
        <v>1.0545</v>
      </c>
      <c r="EC66">
        <v>464</v>
      </c>
      <c r="ED66">
        <v>1.2823800000000001</v>
      </c>
      <c r="EE66">
        <v>0.92445999999999995</v>
      </c>
      <c r="EF66">
        <v>1.40842</v>
      </c>
      <c r="EG66">
        <v>1.0777600000000001</v>
      </c>
      <c r="EH66">
        <v>1.1113</v>
      </c>
      <c r="EI66">
        <v>1.0783</v>
      </c>
      <c r="EJ66">
        <v>1.1253599999999999</v>
      </c>
      <c r="EK66">
        <v>1.02268</v>
      </c>
      <c r="EL66">
        <v>1.1368199999999999</v>
      </c>
      <c r="EM66">
        <v>1.1223799999999999</v>
      </c>
      <c r="EN66">
        <v>1.1689400000000001</v>
      </c>
      <c r="EO66">
        <v>1.18146</v>
      </c>
      <c r="EP66">
        <v>1.03254</v>
      </c>
      <c r="EQ66">
        <v>0.98492000000000002</v>
      </c>
      <c r="ER66">
        <v>0.94998000000000005</v>
      </c>
      <c r="ES66">
        <v>1.0545</v>
      </c>
    </row>
    <row r="67" spans="1:149" x14ac:dyDescent="0.35">
      <c r="A67" s="77"/>
      <c r="B67" s="77">
        <v>465</v>
      </c>
      <c r="C67" s="77">
        <v>0.63956999999999997</v>
      </c>
      <c r="D67" s="77">
        <v>0.46088000000000001</v>
      </c>
      <c r="E67" s="77">
        <v>0.70235999999999998</v>
      </c>
      <c r="F67" s="77">
        <v>0.53742999999999996</v>
      </c>
      <c r="G67" s="77">
        <v>0.55479000000000001</v>
      </c>
      <c r="H67" s="77">
        <v>0.53830999999999996</v>
      </c>
      <c r="I67" s="77">
        <v>0.56183000000000005</v>
      </c>
      <c r="J67" s="77">
        <v>0.51063999999999998</v>
      </c>
      <c r="K67" s="77">
        <v>0.56723000000000001</v>
      </c>
      <c r="L67" s="77">
        <v>0.56028999999999995</v>
      </c>
      <c r="M67" s="77">
        <v>0.58355999999999997</v>
      </c>
      <c r="N67" s="77">
        <v>0.58979999999999999</v>
      </c>
      <c r="O67" s="77">
        <v>0.51546999999999998</v>
      </c>
      <c r="P67" s="77">
        <v>0.49186999999999997</v>
      </c>
      <c r="Q67" s="77">
        <v>0.47443999999999997</v>
      </c>
      <c r="R67" s="77">
        <v>0.52656999999999998</v>
      </c>
      <c r="T67">
        <v>465</v>
      </c>
      <c r="U67">
        <f t="shared" ref="U67:U130" si="16">C67*2</f>
        <v>1.2791399999999999</v>
      </c>
      <c r="V67">
        <f t="shared" ref="V67:V130" si="17">D67*2</f>
        <v>0.92176000000000002</v>
      </c>
      <c r="W67">
        <f t="shared" ref="W67:W130" si="18">E67*2</f>
        <v>1.40472</v>
      </c>
      <c r="X67">
        <f t="shared" ref="X67:X130" si="19">F67*2</f>
        <v>1.0748599999999999</v>
      </c>
      <c r="Y67">
        <f t="shared" ref="Y67:Y130" si="20">G67*2</f>
        <v>1.10958</v>
      </c>
      <c r="Z67">
        <f t="shared" ref="Z67:Z130" si="21">H67*2</f>
        <v>1.0766199999999999</v>
      </c>
      <c r="AA67">
        <f t="shared" ref="AA67:AA130" si="22">I67*2</f>
        <v>1.1236600000000001</v>
      </c>
      <c r="AB67">
        <f t="shared" ref="AB67:AB130" si="23">J67*2</f>
        <v>1.02128</v>
      </c>
      <c r="AC67">
        <f t="shared" ref="AC67:AC130" si="24">K67*2</f>
        <v>1.13446</v>
      </c>
      <c r="AD67">
        <f t="shared" ref="AD67:AD130" si="25">L67*2</f>
        <v>1.1205799999999999</v>
      </c>
      <c r="AE67">
        <f t="shared" ref="AE67:AE130" si="26">M67*2</f>
        <v>1.1671199999999999</v>
      </c>
      <c r="AF67">
        <f t="shared" ref="AF67:AF130" si="27">N67*2</f>
        <v>1.1796</v>
      </c>
      <c r="AG67">
        <f t="shared" ref="AG67:AG130" si="28">O67*2</f>
        <v>1.03094</v>
      </c>
      <c r="AH67">
        <f t="shared" ref="AH67:AH130" si="29">P67*2</f>
        <v>0.98373999999999995</v>
      </c>
      <c r="AI67">
        <f t="shared" ref="AI67:AI130" si="30">Q67*2</f>
        <v>0.94887999999999995</v>
      </c>
      <c r="AJ67">
        <f t="shared" ref="AJ67:AJ130" si="31">R67*2</f>
        <v>1.05314</v>
      </c>
      <c r="EC67">
        <v>465</v>
      </c>
      <c r="ED67">
        <v>1.2791399999999999</v>
      </c>
      <c r="EE67">
        <v>0.92176000000000002</v>
      </c>
      <c r="EF67">
        <v>1.40472</v>
      </c>
      <c r="EG67">
        <v>1.0748599999999999</v>
      </c>
      <c r="EH67">
        <v>1.10958</v>
      </c>
      <c r="EI67">
        <v>1.0766199999999999</v>
      </c>
      <c r="EJ67">
        <v>1.1236600000000001</v>
      </c>
      <c r="EK67">
        <v>1.02128</v>
      </c>
      <c r="EL67">
        <v>1.13446</v>
      </c>
      <c r="EM67">
        <v>1.1205799999999999</v>
      </c>
      <c r="EN67">
        <v>1.1671199999999999</v>
      </c>
      <c r="EO67">
        <v>1.1796</v>
      </c>
      <c r="EP67">
        <v>1.03094</v>
      </c>
      <c r="EQ67">
        <v>0.98373999999999995</v>
      </c>
      <c r="ER67">
        <v>0.94887999999999995</v>
      </c>
      <c r="ES67">
        <v>1.05314</v>
      </c>
    </row>
    <row r="68" spans="1:149" x14ac:dyDescent="0.35">
      <c r="A68" s="77"/>
      <c r="B68" s="77">
        <v>466</v>
      </c>
      <c r="C68" s="77">
        <v>0.63812000000000002</v>
      </c>
      <c r="D68" s="77">
        <v>0.45984999999999998</v>
      </c>
      <c r="E68" s="77">
        <v>0.70050000000000001</v>
      </c>
      <c r="F68" s="77">
        <v>0.53607000000000005</v>
      </c>
      <c r="G68" s="77">
        <v>0.55388000000000004</v>
      </c>
      <c r="H68" s="77">
        <v>0.53732000000000002</v>
      </c>
      <c r="I68" s="77">
        <v>0.56093000000000004</v>
      </c>
      <c r="J68" s="77">
        <v>0.50992999999999999</v>
      </c>
      <c r="K68" s="77">
        <v>0.56628000000000001</v>
      </c>
      <c r="L68" s="77">
        <v>0.55935999999999997</v>
      </c>
      <c r="M68" s="77">
        <v>0.58260000000000001</v>
      </c>
      <c r="N68" s="77">
        <v>0.58887999999999996</v>
      </c>
      <c r="O68" s="77">
        <v>0.51493999999999995</v>
      </c>
      <c r="P68" s="77">
        <v>0.49131999999999998</v>
      </c>
      <c r="Q68" s="77">
        <v>0.47377000000000002</v>
      </c>
      <c r="R68" s="77">
        <v>0.52585999999999999</v>
      </c>
      <c r="T68">
        <v>466</v>
      </c>
      <c r="U68">
        <f t="shared" si="16"/>
        <v>1.27624</v>
      </c>
      <c r="V68">
        <f t="shared" si="17"/>
        <v>0.91969999999999996</v>
      </c>
      <c r="W68">
        <f t="shared" si="18"/>
        <v>1.401</v>
      </c>
      <c r="X68">
        <f t="shared" si="19"/>
        <v>1.0721400000000001</v>
      </c>
      <c r="Y68">
        <f t="shared" si="20"/>
        <v>1.1077600000000001</v>
      </c>
      <c r="Z68">
        <f t="shared" si="21"/>
        <v>1.07464</v>
      </c>
      <c r="AA68">
        <f t="shared" si="22"/>
        <v>1.1218600000000001</v>
      </c>
      <c r="AB68">
        <f t="shared" si="23"/>
        <v>1.01986</v>
      </c>
      <c r="AC68">
        <f t="shared" si="24"/>
        <v>1.13256</v>
      </c>
      <c r="AD68">
        <f t="shared" si="25"/>
        <v>1.1187199999999999</v>
      </c>
      <c r="AE68">
        <f t="shared" si="26"/>
        <v>1.1652</v>
      </c>
      <c r="AF68">
        <f t="shared" si="27"/>
        <v>1.1777599999999999</v>
      </c>
      <c r="AG68">
        <f t="shared" si="28"/>
        <v>1.0298799999999999</v>
      </c>
      <c r="AH68">
        <f t="shared" si="29"/>
        <v>0.98263999999999996</v>
      </c>
      <c r="AI68">
        <f t="shared" si="30"/>
        <v>0.94754000000000005</v>
      </c>
      <c r="AJ68">
        <f t="shared" si="31"/>
        <v>1.05172</v>
      </c>
      <c r="EC68">
        <v>466</v>
      </c>
      <c r="ED68">
        <v>1.27624</v>
      </c>
      <c r="EE68">
        <v>0.91969999999999996</v>
      </c>
      <c r="EF68">
        <v>1.401</v>
      </c>
      <c r="EG68">
        <v>1.0721400000000001</v>
      </c>
      <c r="EH68">
        <v>1.1077600000000001</v>
      </c>
      <c r="EI68">
        <v>1.07464</v>
      </c>
      <c r="EJ68">
        <v>1.1218600000000001</v>
      </c>
      <c r="EK68">
        <v>1.01986</v>
      </c>
      <c r="EL68">
        <v>1.13256</v>
      </c>
      <c r="EM68">
        <v>1.1187199999999999</v>
      </c>
      <c r="EN68">
        <v>1.1652</v>
      </c>
      <c r="EO68">
        <v>1.1777599999999999</v>
      </c>
      <c r="EP68">
        <v>1.0298799999999999</v>
      </c>
      <c r="EQ68">
        <v>0.98263999999999996</v>
      </c>
      <c r="ER68">
        <v>0.94754000000000005</v>
      </c>
      <c r="ES68">
        <v>1.05172</v>
      </c>
    </row>
    <row r="69" spans="1:149" x14ac:dyDescent="0.35">
      <c r="A69" s="77"/>
      <c r="B69" s="77">
        <v>467</v>
      </c>
      <c r="C69" s="77">
        <v>0.63646000000000003</v>
      </c>
      <c r="D69" s="77">
        <v>0.45859</v>
      </c>
      <c r="E69" s="77">
        <v>0.69872000000000001</v>
      </c>
      <c r="F69" s="77">
        <v>0.53461999999999998</v>
      </c>
      <c r="G69" s="77">
        <v>0.55301</v>
      </c>
      <c r="H69" s="77">
        <v>0.53651000000000004</v>
      </c>
      <c r="I69" s="77">
        <v>0.55996999999999997</v>
      </c>
      <c r="J69" s="77">
        <v>0.50915999999999995</v>
      </c>
      <c r="K69" s="77">
        <v>0.56525000000000003</v>
      </c>
      <c r="L69" s="77">
        <v>0.5585</v>
      </c>
      <c r="M69" s="77">
        <v>0.58157000000000003</v>
      </c>
      <c r="N69" s="77">
        <v>0.58787999999999996</v>
      </c>
      <c r="O69" s="77">
        <v>0.51419000000000004</v>
      </c>
      <c r="P69" s="77">
        <v>0.49059999999999998</v>
      </c>
      <c r="Q69" s="77">
        <v>0.47325</v>
      </c>
      <c r="R69" s="77">
        <v>0.52524999999999999</v>
      </c>
      <c r="T69">
        <v>467</v>
      </c>
      <c r="U69">
        <f t="shared" si="16"/>
        <v>1.2729200000000001</v>
      </c>
      <c r="V69">
        <f t="shared" si="17"/>
        <v>0.91718</v>
      </c>
      <c r="W69">
        <f t="shared" si="18"/>
        <v>1.39744</v>
      </c>
      <c r="X69">
        <f t="shared" si="19"/>
        <v>1.06924</v>
      </c>
      <c r="Y69">
        <f t="shared" si="20"/>
        <v>1.10602</v>
      </c>
      <c r="Z69">
        <f t="shared" si="21"/>
        <v>1.0730200000000001</v>
      </c>
      <c r="AA69">
        <f t="shared" si="22"/>
        <v>1.1199399999999999</v>
      </c>
      <c r="AB69">
        <f t="shared" si="23"/>
        <v>1.0183199999999999</v>
      </c>
      <c r="AC69">
        <f t="shared" si="24"/>
        <v>1.1305000000000001</v>
      </c>
      <c r="AD69">
        <f t="shared" si="25"/>
        <v>1.117</v>
      </c>
      <c r="AE69">
        <f t="shared" si="26"/>
        <v>1.1631400000000001</v>
      </c>
      <c r="AF69">
        <f t="shared" si="27"/>
        <v>1.1757599999999999</v>
      </c>
      <c r="AG69">
        <f t="shared" si="28"/>
        <v>1.0283800000000001</v>
      </c>
      <c r="AH69">
        <f t="shared" si="29"/>
        <v>0.98119999999999996</v>
      </c>
      <c r="AI69">
        <f t="shared" si="30"/>
        <v>0.94650000000000001</v>
      </c>
      <c r="AJ69">
        <f t="shared" si="31"/>
        <v>1.0505</v>
      </c>
      <c r="EC69">
        <v>467</v>
      </c>
      <c r="ED69">
        <v>1.2729200000000001</v>
      </c>
      <c r="EE69">
        <v>0.91718</v>
      </c>
      <c r="EF69">
        <v>1.39744</v>
      </c>
      <c r="EG69">
        <v>1.06924</v>
      </c>
      <c r="EH69">
        <v>1.10602</v>
      </c>
      <c r="EI69">
        <v>1.0730200000000001</v>
      </c>
      <c r="EJ69">
        <v>1.1199399999999999</v>
      </c>
      <c r="EK69">
        <v>1.0183199999999999</v>
      </c>
      <c r="EL69">
        <v>1.1305000000000001</v>
      </c>
      <c r="EM69">
        <v>1.117</v>
      </c>
      <c r="EN69">
        <v>1.1631400000000001</v>
      </c>
      <c r="EO69">
        <v>1.1757599999999999</v>
      </c>
      <c r="EP69">
        <v>1.0283800000000001</v>
      </c>
      <c r="EQ69">
        <v>0.98119999999999996</v>
      </c>
      <c r="ER69">
        <v>0.94650000000000001</v>
      </c>
      <c r="ES69">
        <v>1.0505</v>
      </c>
    </row>
    <row r="70" spans="1:149" x14ac:dyDescent="0.35">
      <c r="A70" s="77"/>
      <c r="B70" s="77">
        <v>468</v>
      </c>
      <c r="C70" s="77">
        <v>0.63463000000000003</v>
      </c>
      <c r="D70" s="77">
        <v>0.45715</v>
      </c>
      <c r="E70" s="77">
        <v>0.69655</v>
      </c>
      <c r="F70" s="77">
        <v>0.53313999999999995</v>
      </c>
      <c r="G70" s="77">
        <v>0.55208000000000002</v>
      </c>
      <c r="H70" s="77">
        <v>0.53549000000000002</v>
      </c>
      <c r="I70" s="77">
        <v>0.55916999999999994</v>
      </c>
      <c r="J70" s="77">
        <v>0.50846999999999998</v>
      </c>
      <c r="K70" s="77">
        <v>0.56432000000000004</v>
      </c>
      <c r="L70" s="77">
        <v>0.55745999999999996</v>
      </c>
      <c r="M70" s="77">
        <v>0.58060999999999996</v>
      </c>
      <c r="N70" s="77">
        <v>0.58687999999999996</v>
      </c>
      <c r="O70" s="77">
        <v>0.51341000000000003</v>
      </c>
      <c r="P70" s="77">
        <v>0.48997000000000002</v>
      </c>
      <c r="Q70" s="77">
        <v>0.47271999999999997</v>
      </c>
      <c r="R70" s="77">
        <v>0.52431000000000005</v>
      </c>
      <c r="T70">
        <v>468</v>
      </c>
      <c r="U70">
        <f t="shared" si="16"/>
        <v>1.2692600000000001</v>
      </c>
      <c r="V70">
        <f t="shared" si="17"/>
        <v>0.9143</v>
      </c>
      <c r="W70">
        <f t="shared" si="18"/>
        <v>1.3931</v>
      </c>
      <c r="X70">
        <f t="shared" si="19"/>
        <v>1.0662799999999999</v>
      </c>
      <c r="Y70">
        <f t="shared" si="20"/>
        <v>1.10416</v>
      </c>
      <c r="Z70">
        <f t="shared" si="21"/>
        <v>1.07098</v>
      </c>
      <c r="AA70">
        <f t="shared" si="22"/>
        <v>1.1183399999999999</v>
      </c>
      <c r="AB70">
        <f t="shared" si="23"/>
        <v>1.01694</v>
      </c>
      <c r="AC70">
        <f t="shared" si="24"/>
        <v>1.1286400000000001</v>
      </c>
      <c r="AD70">
        <f t="shared" si="25"/>
        <v>1.1149199999999999</v>
      </c>
      <c r="AE70">
        <f t="shared" si="26"/>
        <v>1.1612199999999999</v>
      </c>
      <c r="AF70">
        <f t="shared" si="27"/>
        <v>1.1737599999999999</v>
      </c>
      <c r="AG70">
        <f t="shared" si="28"/>
        <v>1.0268200000000001</v>
      </c>
      <c r="AH70">
        <f t="shared" si="29"/>
        <v>0.97994000000000003</v>
      </c>
      <c r="AI70">
        <f t="shared" si="30"/>
        <v>0.94543999999999995</v>
      </c>
      <c r="AJ70">
        <f t="shared" si="31"/>
        <v>1.0486200000000001</v>
      </c>
      <c r="EC70">
        <v>468</v>
      </c>
      <c r="ED70">
        <v>1.2692600000000001</v>
      </c>
      <c r="EE70">
        <v>0.9143</v>
      </c>
      <c r="EF70">
        <v>1.3931</v>
      </c>
      <c r="EG70">
        <v>1.0662799999999999</v>
      </c>
      <c r="EH70">
        <v>1.10416</v>
      </c>
      <c r="EI70">
        <v>1.07098</v>
      </c>
      <c r="EJ70">
        <v>1.1183399999999999</v>
      </c>
      <c r="EK70">
        <v>1.01694</v>
      </c>
      <c r="EL70">
        <v>1.1286400000000001</v>
      </c>
      <c r="EM70">
        <v>1.1149199999999999</v>
      </c>
      <c r="EN70">
        <v>1.1612199999999999</v>
      </c>
      <c r="EO70">
        <v>1.1737599999999999</v>
      </c>
      <c r="EP70">
        <v>1.0268200000000001</v>
      </c>
      <c r="EQ70">
        <v>0.97994000000000003</v>
      </c>
      <c r="ER70">
        <v>0.94543999999999995</v>
      </c>
      <c r="ES70">
        <v>1.0486200000000001</v>
      </c>
    </row>
    <row r="71" spans="1:149" x14ac:dyDescent="0.35">
      <c r="A71" s="77"/>
      <c r="B71" s="77">
        <v>469</v>
      </c>
      <c r="C71" s="77">
        <v>0.63271999999999995</v>
      </c>
      <c r="D71" s="77">
        <v>0.45590000000000003</v>
      </c>
      <c r="E71" s="77">
        <v>0.69452999999999998</v>
      </c>
      <c r="F71" s="77">
        <v>0.53147999999999995</v>
      </c>
      <c r="G71" s="77">
        <v>0.55103000000000002</v>
      </c>
      <c r="H71" s="77">
        <v>0.53441000000000005</v>
      </c>
      <c r="I71" s="77">
        <v>0.55800000000000005</v>
      </c>
      <c r="J71" s="77">
        <v>0.50770999999999999</v>
      </c>
      <c r="K71" s="77">
        <v>0.56328999999999996</v>
      </c>
      <c r="L71" s="77">
        <v>0.55657999999999996</v>
      </c>
      <c r="M71" s="77">
        <v>0.57950999999999997</v>
      </c>
      <c r="N71" s="77">
        <v>0.58574000000000004</v>
      </c>
      <c r="O71" s="77">
        <v>0.51241999999999999</v>
      </c>
      <c r="P71" s="77">
        <v>0.48920000000000002</v>
      </c>
      <c r="Q71" s="77">
        <v>0.47176000000000001</v>
      </c>
      <c r="R71" s="77">
        <v>0.52366999999999997</v>
      </c>
      <c r="T71">
        <v>469</v>
      </c>
      <c r="U71">
        <f t="shared" si="16"/>
        <v>1.2654399999999999</v>
      </c>
      <c r="V71">
        <f t="shared" si="17"/>
        <v>0.91180000000000005</v>
      </c>
      <c r="W71">
        <f t="shared" si="18"/>
        <v>1.38906</v>
      </c>
      <c r="X71">
        <f t="shared" si="19"/>
        <v>1.0629599999999999</v>
      </c>
      <c r="Y71">
        <f t="shared" si="20"/>
        <v>1.10206</v>
      </c>
      <c r="Z71">
        <f t="shared" si="21"/>
        <v>1.0688200000000001</v>
      </c>
      <c r="AA71">
        <f t="shared" si="22"/>
        <v>1.1160000000000001</v>
      </c>
      <c r="AB71">
        <f t="shared" si="23"/>
        <v>1.01542</v>
      </c>
      <c r="AC71">
        <f t="shared" si="24"/>
        <v>1.1265799999999999</v>
      </c>
      <c r="AD71">
        <f t="shared" si="25"/>
        <v>1.1131599999999999</v>
      </c>
      <c r="AE71">
        <f t="shared" si="26"/>
        <v>1.1590199999999999</v>
      </c>
      <c r="AF71">
        <f t="shared" si="27"/>
        <v>1.1714800000000001</v>
      </c>
      <c r="AG71">
        <f t="shared" si="28"/>
        <v>1.02484</v>
      </c>
      <c r="AH71">
        <f t="shared" si="29"/>
        <v>0.97840000000000005</v>
      </c>
      <c r="AI71">
        <f t="shared" si="30"/>
        <v>0.94352000000000003</v>
      </c>
      <c r="AJ71">
        <f t="shared" si="31"/>
        <v>1.0473399999999999</v>
      </c>
      <c r="EC71">
        <v>469</v>
      </c>
      <c r="ED71">
        <v>1.2654399999999999</v>
      </c>
      <c r="EE71">
        <v>0.91180000000000005</v>
      </c>
      <c r="EF71">
        <v>1.38906</v>
      </c>
      <c r="EG71">
        <v>1.0629599999999999</v>
      </c>
      <c r="EH71">
        <v>1.10206</v>
      </c>
      <c r="EI71">
        <v>1.0688200000000001</v>
      </c>
      <c r="EJ71">
        <v>1.1160000000000001</v>
      </c>
      <c r="EK71">
        <v>1.01542</v>
      </c>
      <c r="EL71">
        <v>1.1265799999999999</v>
      </c>
      <c r="EM71">
        <v>1.1131599999999999</v>
      </c>
      <c r="EN71">
        <v>1.1590199999999999</v>
      </c>
      <c r="EO71">
        <v>1.1714800000000001</v>
      </c>
      <c r="EP71">
        <v>1.02484</v>
      </c>
      <c r="EQ71">
        <v>0.97840000000000005</v>
      </c>
      <c r="ER71">
        <v>0.94352000000000003</v>
      </c>
      <c r="ES71">
        <v>1.0473399999999999</v>
      </c>
    </row>
    <row r="72" spans="1:149" x14ac:dyDescent="0.35">
      <c r="A72" s="77"/>
      <c r="B72" s="77">
        <v>470</v>
      </c>
      <c r="C72" s="77">
        <v>0.63121000000000005</v>
      </c>
      <c r="D72" s="77">
        <v>0.45482</v>
      </c>
      <c r="E72" s="77">
        <v>0.69264000000000003</v>
      </c>
      <c r="F72" s="77">
        <v>0.53008999999999995</v>
      </c>
      <c r="G72" s="77">
        <v>0.55027999999999999</v>
      </c>
      <c r="H72" s="77">
        <v>0.53361999999999998</v>
      </c>
      <c r="I72" s="77">
        <v>0.55720999999999998</v>
      </c>
      <c r="J72" s="77">
        <v>0.50705999999999996</v>
      </c>
      <c r="K72" s="77">
        <v>0.56257999999999997</v>
      </c>
      <c r="L72" s="77">
        <v>0.55581999999999998</v>
      </c>
      <c r="M72" s="77">
        <v>0.57886000000000004</v>
      </c>
      <c r="N72" s="77">
        <v>0.58501999999999998</v>
      </c>
      <c r="O72" s="77">
        <v>0.51183999999999996</v>
      </c>
      <c r="P72" s="77">
        <v>0.48851</v>
      </c>
      <c r="Q72" s="77">
        <v>0.47116000000000002</v>
      </c>
      <c r="R72" s="77">
        <v>0.52300999999999997</v>
      </c>
      <c r="T72">
        <v>470</v>
      </c>
      <c r="U72">
        <f t="shared" si="16"/>
        <v>1.2624200000000001</v>
      </c>
      <c r="V72">
        <f t="shared" si="17"/>
        <v>0.90964</v>
      </c>
      <c r="W72">
        <f t="shared" si="18"/>
        <v>1.3852800000000001</v>
      </c>
      <c r="X72">
        <f t="shared" si="19"/>
        <v>1.0601799999999999</v>
      </c>
      <c r="Y72">
        <f t="shared" si="20"/>
        <v>1.10056</v>
      </c>
      <c r="Z72">
        <f t="shared" si="21"/>
        <v>1.06724</v>
      </c>
      <c r="AA72">
        <f t="shared" si="22"/>
        <v>1.11442</v>
      </c>
      <c r="AB72">
        <f t="shared" si="23"/>
        <v>1.0141199999999999</v>
      </c>
      <c r="AC72">
        <f t="shared" si="24"/>
        <v>1.1251599999999999</v>
      </c>
      <c r="AD72">
        <f t="shared" si="25"/>
        <v>1.11164</v>
      </c>
      <c r="AE72">
        <f t="shared" si="26"/>
        <v>1.1577200000000001</v>
      </c>
      <c r="AF72">
        <f t="shared" si="27"/>
        <v>1.17004</v>
      </c>
      <c r="AG72">
        <f t="shared" si="28"/>
        <v>1.0236799999999999</v>
      </c>
      <c r="AH72">
        <f t="shared" si="29"/>
        <v>0.97702</v>
      </c>
      <c r="AI72">
        <f t="shared" si="30"/>
        <v>0.94232000000000005</v>
      </c>
      <c r="AJ72">
        <f t="shared" si="31"/>
        <v>1.0460199999999999</v>
      </c>
      <c r="EC72">
        <v>470</v>
      </c>
      <c r="ED72">
        <v>1.2624200000000001</v>
      </c>
      <c r="EE72">
        <v>0.90964</v>
      </c>
      <c r="EF72">
        <v>1.3852800000000001</v>
      </c>
      <c r="EG72">
        <v>1.0601799999999999</v>
      </c>
      <c r="EH72">
        <v>1.10056</v>
      </c>
      <c r="EI72">
        <v>1.06724</v>
      </c>
      <c r="EJ72">
        <v>1.11442</v>
      </c>
      <c r="EK72">
        <v>1.0141199999999999</v>
      </c>
      <c r="EL72">
        <v>1.1251599999999999</v>
      </c>
      <c r="EM72">
        <v>1.11164</v>
      </c>
      <c r="EN72">
        <v>1.1577200000000001</v>
      </c>
      <c r="EO72">
        <v>1.17004</v>
      </c>
      <c r="EP72">
        <v>1.0236799999999999</v>
      </c>
      <c r="EQ72">
        <v>0.97702</v>
      </c>
      <c r="ER72">
        <v>0.94232000000000005</v>
      </c>
      <c r="ES72">
        <v>1.0460199999999999</v>
      </c>
    </row>
    <row r="73" spans="1:149" x14ac:dyDescent="0.35">
      <c r="A73" s="77"/>
      <c r="B73" s="77">
        <v>471</v>
      </c>
      <c r="C73" s="77">
        <v>0.62926000000000004</v>
      </c>
      <c r="D73" s="77">
        <v>0.45323000000000002</v>
      </c>
      <c r="E73" s="77">
        <v>0.69042999999999999</v>
      </c>
      <c r="F73" s="77">
        <v>0.52846000000000004</v>
      </c>
      <c r="G73" s="77">
        <v>0.54925999999999997</v>
      </c>
      <c r="H73" s="77">
        <v>0.53252999999999995</v>
      </c>
      <c r="I73" s="77">
        <v>0.55620999999999998</v>
      </c>
      <c r="J73" s="77">
        <v>0.50619999999999998</v>
      </c>
      <c r="K73" s="77">
        <v>0.56150999999999995</v>
      </c>
      <c r="L73" s="77">
        <v>0.55498999999999998</v>
      </c>
      <c r="M73" s="77">
        <v>0.57777000000000001</v>
      </c>
      <c r="N73" s="77">
        <v>0.58394999999999997</v>
      </c>
      <c r="O73" s="77">
        <v>0.51107999999999998</v>
      </c>
      <c r="P73" s="77">
        <v>0.4879</v>
      </c>
      <c r="Q73" s="77">
        <v>0.47069</v>
      </c>
      <c r="R73" s="77">
        <v>0.52212999999999998</v>
      </c>
      <c r="T73">
        <v>471</v>
      </c>
      <c r="U73">
        <f t="shared" si="16"/>
        <v>1.2585200000000001</v>
      </c>
      <c r="V73">
        <f t="shared" si="17"/>
        <v>0.90646000000000004</v>
      </c>
      <c r="W73">
        <f t="shared" si="18"/>
        <v>1.38086</v>
      </c>
      <c r="X73">
        <f t="shared" si="19"/>
        <v>1.0569200000000001</v>
      </c>
      <c r="Y73">
        <f t="shared" si="20"/>
        <v>1.0985199999999999</v>
      </c>
      <c r="Z73">
        <f t="shared" si="21"/>
        <v>1.0650599999999999</v>
      </c>
      <c r="AA73">
        <f t="shared" si="22"/>
        <v>1.11242</v>
      </c>
      <c r="AB73">
        <f t="shared" si="23"/>
        <v>1.0124</v>
      </c>
      <c r="AC73">
        <f t="shared" si="24"/>
        <v>1.1230199999999999</v>
      </c>
      <c r="AD73">
        <f t="shared" si="25"/>
        <v>1.10998</v>
      </c>
      <c r="AE73">
        <f t="shared" si="26"/>
        <v>1.15554</v>
      </c>
      <c r="AF73">
        <f t="shared" si="27"/>
        <v>1.1678999999999999</v>
      </c>
      <c r="AG73">
        <f t="shared" si="28"/>
        <v>1.02216</v>
      </c>
      <c r="AH73">
        <f t="shared" si="29"/>
        <v>0.9758</v>
      </c>
      <c r="AI73">
        <f t="shared" si="30"/>
        <v>0.94137999999999999</v>
      </c>
      <c r="AJ73">
        <f t="shared" si="31"/>
        <v>1.04426</v>
      </c>
      <c r="EC73">
        <v>471</v>
      </c>
      <c r="ED73">
        <v>1.2585200000000001</v>
      </c>
      <c r="EE73">
        <v>0.90646000000000004</v>
      </c>
      <c r="EF73">
        <v>1.38086</v>
      </c>
      <c r="EG73">
        <v>1.0569200000000001</v>
      </c>
      <c r="EH73">
        <v>1.0985199999999999</v>
      </c>
      <c r="EI73">
        <v>1.0650599999999999</v>
      </c>
      <c r="EJ73">
        <v>1.11242</v>
      </c>
      <c r="EK73">
        <v>1.0124</v>
      </c>
      <c r="EL73">
        <v>1.1230199999999999</v>
      </c>
      <c r="EM73">
        <v>1.10998</v>
      </c>
      <c r="EN73">
        <v>1.15554</v>
      </c>
      <c r="EO73">
        <v>1.1678999999999999</v>
      </c>
      <c r="EP73">
        <v>1.02216</v>
      </c>
      <c r="EQ73">
        <v>0.9758</v>
      </c>
      <c r="ER73">
        <v>0.94137999999999999</v>
      </c>
      <c r="ES73">
        <v>1.04426</v>
      </c>
    </row>
    <row r="74" spans="1:149" x14ac:dyDescent="0.35">
      <c r="A74" s="77"/>
      <c r="B74" s="77">
        <v>472</v>
      </c>
      <c r="C74" s="77">
        <v>0.62736999999999998</v>
      </c>
      <c r="D74" s="77">
        <v>0.45195000000000002</v>
      </c>
      <c r="E74" s="77">
        <v>0.68832000000000004</v>
      </c>
      <c r="F74" s="77">
        <v>0.52681999999999995</v>
      </c>
      <c r="G74" s="77">
        <v>0.54842000000000002</v>
      </c>
      <c r="H74" s="77">
        <v>0.53151000000000004</v>
      </c>
      <c r="I74" s="77">
        <v>0.55522000000000005</v>
      </c>
      <c r="J74" s="77">
        <v>0.50531000000000004</v>
      </c>
      <c r="K74" s="77">
        <v>0.56067999999999996</v>
      </c>
      <c r="L74" s="77">
        <v>0.55401999999999996</v>
      </c>
      <c r="M74" s="77">
        <v>0.57684000000000002</v>
      </c>
      <c r="N74" s="77">
        <v>0.58289999999999997</v>
      </c>
      <c r="O74" s="77">
        <v>0.51031000000000004</v>
      </c>
      <c r="P74" s="77">
        <v>0.48708000000000001</v>
      </c>
      <c r="Q74" s="77">
        <v>0.4698</v>
      </c>
      <c r="R74" s="77">
        <v>0.52124000000000004</v>
      </c>
      <c r="T74">
        <v>472</v>
      </c>
      <c r="U74">
        <f t="shared" si="16"/>
        <v>1.25474</v>
      </c>
      <c r="V74">
        <f t="shared" si="17"/>
        <v>0.90390000000000004</v>
      </c>
      <c r="W74">
        <f t="shared" si="18"/>
        <v>1.3766400000000001</v>
      </c>
      <c r="X74">
        <f t="shared" si="19"/>
        <v>1.0536399999999999</v>
      </c>
      <c r="Y74">
        <f t="shared" si="20"/>
        <v>1.09684</v>
      </c>
      <c r="Z74">
        <f t="shared" si="21"/>
        <v>1.0630200000000001</v>
      </c>
      <c r="AA74">
        <f t="shared" si="22"/>
        <v>1.1104400000000001</v>
      </c>
      <c r="AB74">
        <f t="shared" si="23"/>
        <v>1.0106200000000001</v>
      </c>
      <c r="AC74">
        <f t="shared" si="24"/>
        <v>1.1213599999999999</v>
      </c>
      <c r="AD74">
        <f t="shared" si="25"/>
        <v>1.1080399999999999</v>
      </c>
      <c r="AE74">
        <f t="shared" si="26"/>
        <v>1.15368</v>
      </c>
      <c r="AF74">
        <f t="shared" si="27"/>
        <v>1.1657999999999999</v>
      </c>
      <c r="AG74">
        <f t="shared" si="28"/>
        <v>1.0206200000000001</v>
      </c>
      <c r="AH74">
        <f t="shared" si="29"/>
        <v>0.97416000000000003</v>
      </c>
      <c r="AI74">
        <f t="shared" si="30"/>
        <v>0.93959999999999999</v>
      </c>
      <c r="AJ74">
        <f t="shared" si="31"/>
        <v>1.0424800000000001</v>
      </c>
      <c r="EC74">
        <v>472</v>
      </c>
      <c r="ED74">
        <v>1.25474</v>
      </c>
      <c r="EE74">
        <v>0.90390000000000004</v>
      </c>
      <c r="EF74">
        <v>1.3766400000000001</v>
      </c>
      <c r="EG74">
        <v>1.0536399999999999</v>
      </c>
      <c r="EH74">
        <v>1.09684</v>
      </c>
      <c r="EI74">
        <v>1.0630200000000001</v>
      </c>
      <c r="EJ74">
        <v>1.1104400000000001</v>
      </c>
      <c r="EK74">
        <v>1.0106200000000001</v>
      </c>
      <c r="EL74">
        <v>1.1213599999999999</v>
      </c>
      <c r="EM74">
        <v>1.1080399999999999</v>
      </c>
      <c r="EN74">
        <v>1.15368</v>
      </c>
      <c r="EO74">
        <v>1.1657999999999999</v>
      </c>
      <c r="EP74">
        <v>1.0206200000000001</v>
      </c>
      <c r="EQ74">
        <v>0.97416000000000003</v>
      </c>
      <c r="ER74">
        <v>0.93959999999999999</v>
      </c>
      <c r="ES74">
        <v>1.0424800000000001</v>
      </c>
    </row>
    <row r="75" spans="1:149" x14ac:dyDescent="0.35">
      <c r="A75" s="77"/>
      <c r="B75" s="77">
        <v>473</v>
      </c>
      <c r="C75" s="77">
        <v>0.62561</v>
      </c>
      <c r="D75" s="77">
        <v>0.45057999999999998</v>
      </c>
      <c r="E75" s="77">
        <v>0.68625999999999998</v>
      </c>
      <c r="F75" s="77">
        <v>0.52517999999999998</v>
      </c>
      <c r="G75" s="77">
        <v>0.54740999999999995</v>
      </c>
      <c r="H75" s="77">
        <v>0.53059000000000001</v>
      </c>
      <c r="I75" s="77">
        <v>0.55427999999999999</v>
      </c>
      <c r="J75" s="77">
        <v>0.50446000000000002</v>
      </c>
      <c r="K75" s="77">
        <v>0.55972</v>
      </c>
      <c r="L75" s="77">
        <v>0.55303999999999998</v>
      </c>
      <c r="M75" s="77">
        <v>0.57582</v>
      </c>
      <c r="N75" s="77">
        <v>0.58209</v>
      </c>
      <c r="O75" s="77">
        <v>0.50944999999999996</v>
      </c>
      <c r="P75" s="77">
        <v>0.48632999999999998</v>
      </c>
      <c r="Q75" s="77">
        <v>0.46910000000000002</v>
      </c>
      <c r="R75" s="77">
        <v>0.52039999999999997</v>
      </c>
      <c r="T75">
        <v>473</v>
      </c>
      <c r="U75">
        <f t="shared" si="16"/>
        <v>1.25122</v>
      </c>
      <c r="V75">
        <f t="shared" si="17"/>
        <v>0.90115999999999996</v>
      </c>
      <c r="W75">
        <f t="shared" si="18"/>
        <v>1.37252</v>
      </c>
      <c r="X75">
        <f t="shared" si="19"/>
        <v>1.05036</v>
      </c>
      <c r="Y75">
        <f t="shared" si="20"/>
        <v>1.0948199999999999</v>
      </c>
      <c r="Z75">
        <f t="shared" si="21"/>
        <v>1.06118</v>
      </c>
      <c r="AA75">
        <f t="shared" si="22"/>
        <v>1.10856</v>
      </c>
      <c r="AB75">
        <f t="shared" si="23"/>
        <v>1.00892</v>
      </c>
      <c r="AC75">
        <f t="shared" si="24"/>
        <v>1.11944</v>
      </c>
      <c r="AD75">
        <f t="shared" si="25"/>
        <v>1.10608</v>
      </c>
      <c r="AE75">
        <f t="shared" si="26"/>
        <v>1.15164</v>
      </c>
      <c r="AF75">
        <f t="shared" si="27"/>
        <v>1.16418</v>
      </c>
      <c r="AG75">
        <f t="shared" si="28"/>
        <v>1.0188999999999999</v>
      </c>
      <c r="AH75">
        <f t="shared" si="29"/>
        <v>0.97265999999999997</v>
      </c>
      <c r="AI75">
        <f t="shared" si="30"/>
        <v>0.93820000000000003</v>
      </c>
      <c r="AJ75">
        <f t="shared" si="31"/>
        <v>1.0407999999999999</v>
      </c>
      <c r="EC75">
        <v>473</v>
      </c>
      <c r="ED75">
        <v>1.25122</v>
      </c>
      <c r="EE75">
        <v>0.90115999999999996</v>
      </c>
      <c r="EF75">
        <v>1.37252</v>
      </c>
      <c r="EG75">
        <v>1.05036</v>
      </c>
      <c r="EH75">
        <v>1.0948199999999999</v>
      </c>
      <c r="EI75">
        <v>1.06118</v>
      </c>
      <c r="EJ75">
        <v>1.10856</v>
      </c>
      <c r="EK75">
        <v>1.00892</v>
      </c>
      <c r="EL75">
        <v>1.11944</v>
      </c>
      <c r="EM75">
        <v>1.10608</v>
      </c>
      <c r="EN75">
        <v>1.15164</v>
      </c>
      <c r="EO75">
        <v>1.16418</v>
      </c>
      <c r="EP75">
        <v>1.0188999999999999</v>
      </c>
      <c r="EQ75">
        <v>0.97265999999999997</v>
      </c>
      <c r="ER75">
        <v>0.93820000000000003</v>
      </c>
      <c r="ES75">
        <v>1.0407999999999999</v>
      </c>
    </row>
    <row r="76" spans="1:149" x14ac:dyDescent="0.35">
      <c r="A76" s="77"/>
      <c r="B76" s="77">
        <v>474</v>
      </c>
      <c r="C76" s="77">
        <v>0.62390000000000001</v>
      </c>
      <c r="D76" s="77">
        <v>0.44930999999999999</v>
      </c>
      <c r="E76" s="77">
        <v>0.68418999999999996</v>
      </c>
      <c r="F76" s="77">
        <v>0.52378999999999998</v>
      </c>
      <c r="G76" s="77">
        <v>0.54652000000000001</v>
      </c>
      <c r="H76" s="77">
        <v>0.52963000000000005</v>
      </c>
      <c r="I76" s="77">
        <v>0.55337999999999998</v>
      </c>
      <c r="J76" s="77">
        <v>0.50371999999999995</v>
      </c>
      <c r="K76" s="77">
        <v>0.55884999999999996</v>
      </c>
      <c r="L76" s="77">
        <v>0.55235000000000001</v>
      </c>
      <c r="M76" s="77">
        <v>0.57494999999999996</v>
      </c>
      <c r="N76" s="77">
        <v>0.58121</v>
      </c>
      <c r="O76" s="77">
        <v>0.50878999999999996</v>
      </c>
      <c r="P76" s="77">
        <v>0.48577999999999999</v>
      </c>
      <c r="Q76" s="77">
        <v>0.46851999999999999</v>
      </c>
      <c r="R76" s="77">
        <v>0.51978999999999997</v>
      </c>
      <c r="T76">
        <v>474</v>
      </c>
      <c r="U76">
        <f t="shared" si="16"/>
        <v>1.2478</v>
      </c>
      <c r="V76">
        <f t="shared" si="17"/>
        <v>0.89861999999999997</v>
      </c>
      <c r="W76">
        <f t="shared" si="18"/>
        <v>1.3683799999999999</v>
      </c>
      <c r="X76">
        <f t="shared" si="19"/>
        <v>1.04758</v>
      </c>
      <c r="Y76">
        <f t="shared" si="20"/>
        <v>1.09304</v>
      </c>
      <c r="Z76">
        <f t="shared" si="21"/>
        <v>1.0592600000000001</v>
      </c>
      <c r="AA76">
        <f t="shared" si="22"/>
        <v>1.10676</v>
      </c>
      <c r="AB76">
        <f t="shared" si="23"/>
        <v>1.0074399999999999</v>
      </c>
      <c r="AC76">
        <f t="shared" si="24"/>
        <v>1.1176999999999999</v>
      </c>
      <c r="AD76">
        <f t="shared" si="25"/>
        <v>1.1047</v>
      </c>
      <c r="AE76">
        <f t="shared" si="26"/>
        <v>1.1498999999999999</v>
      </c>
      <c r="AF76">
        <f t="shared" si="27"/>
        <v>1.16242</v>
      </c>
      <c r="AG76">
        <f t="shared" si="28"/>
        <v>1.0175799999999999</v>
      </c>
      <c r="AH76">
        <f t="shared" si="29"/>
        <v>0.97155999999999998</v>
      </c>
      <c r="AI76">
        <f t="shared" si="30"/>
        <v>0.93703999999999998</v>
      </c>
      <c r="AJ76">
        <f t="shared" si="31"/>
        <v>1.0395799999999999</v>
      </c>
      <c r="EC76">
        <v>474</v>
      </c>
      <c r="ED76">
        <v>1.2478</v>
      </c>
      <c r="EE76">
        <v>0.89861999999999997</v>
      </c>
      <c r="EF76">
        <v>1.3683799999999999</v>
      </c>
      <c r="EG76">
        <v>1.04758</v>
      </c>
      <c r="EH76">
        <v>1.09304</v>
      </c>
      <c r="EI76">
        <v>1.0592600000000001</v>
      </c>
      <c r="EJ76">
        <v>1.10676</v>
      </c>
      <c r="EK76">
        <v>1.0074399999999999</v>
      </c>
      <c r="EL76">
        <v>1.1176999999999999</v>
      </c>
      <c r="EM76">
        <v>1.1047</v>
      </c>
      <c r="EN76">
        <v>1.1498999999999999</v>
      </c>
      <c r="EO76">
        <v>1.16242</v>
      </c>
      <c r="EP76">
        <v>1.0175799999999999</v>
      </c>
      <c r="EQ76">
        <v>0.97155999999999998</v>
      </c>
      <c r="ER76">
        <v>0.93703999999999998</v>
      </c>
      <c r="ES76">
        <v>1.0395799999999999</v>
      </c>
    </row>
    <row r="77" spans="1:149" x14ac:dyDescent="0.35">
      <c r="A77" s="77"/>
      <c r="B77" s="77">
        <v>475</v>
      </c>
      <c r="C77" s="77">
        <v>0.62190000000000001</v>
      </c>
      <c r="D77" s="77">
        <v>0.44795000000000001</v>
      </c>
      <c r="E77" s="77">
        <v>0.68215999999999999</v>
      </c>
      <c r="F77" s="77">
        <v>0.52215999999999996</v>
      </c>
      <c r="G77" s="77">
        <v>0.54573000000000005</v>
      </c>
      <c r="H77" s="77">
        <v>0.52863000000000004</v>
      </c>
      <c r="I77" s="77">
        <v>0.55250999999999995</v>
      </c>
      <c r="J77" s="77">
        <v>0.50300999999999996</v>
      </c>
      <c r="K77" s="77">
        <v>0.55791999999999997</v>
      </c>
      <c r="L77" s="77">
        <v>0.55164000000000002</v>
      </c>
      <c r="M77" s="77">
        <v>0.57411000000000001</v>
      </c>
      <c r="N77" s="77">
        <v>0.58038000000000001</v>
      </c>
      <c r="O77" s="77">
        <v>0.50805999999999996</v>
      </c>
      <c r="P77" s="77">
        <v>0.48497000000000001</v>
      </c>
      <c r="Q77" s="77">
        <v>0.46772999999999998</v>
      </c>
      <c r="R77" s="77">
        <v>0.51912999999999998</v>
      </c>
      <c r="T77">
        <v>475</v>
      </c>
      <c r="U77">
        <f t="shared" si="16"/>
        <v>1.2438</v>
      </c>
      <c r="V77">
        <f t="shared" si="17"/>
        <v>0.89590000000000003</v>
      </c>
      <c r="W77">
        <f t="shared" si="18"/>
        <v>1.36432</v>
      </c>
      <c r="X77">
        <f t="shared" si="19"/>
        <v>1.0443199999999999</v>
      </c>
      <c r="Y77">
        <f t="shared" si="20"/>
        <v>1.0914600000000001</v>
      </c>
      <c r="Z77">
        <f t="shared" si="21"/>
        <v>1.0572600000000001</v>
      </c>
      <c r="AA77">
        <f t="shared" si="22"/>
        <v>1.1050199999999999</v>
      </c>
      <c r="AB77">
        <f t="shared" si="23"/>
        <v>1.0060199999999999</v>
      </c>
      <c r="AC77">
        <f t="shared" si="24"/>
        <v>1.1158399999999999</v>
      </c>
      <c r="AD77">
        <f t="shared" si="25"/>
        <v>1.10328</v>
      </c>
      <c r="AE77">
        <f t="shared" si="26"/>
        <v>1.14822</v>
      </c>
      <c r="AF77">
        <f t="shared" si="27"/>
        <v>1.16076</v>
      </c>
      <c r="AG77">
        <f t="shared" si="28"/>
        <v>1.0161199999999999</v>
      </c>
      <c r="AH77">
        <f t="shared" si="29"/>
        <v>0.96994000000000002</v>
      </c>
      <c r="AI77">
        <f t="shared" si="30"/>
        <v>0.93545999999999996</v>
      </c>
      <c r="AJ77">
        <f t="shared" si="31"/>
        <v>1.03826</v>
      </c>
      <c r="EC77">
        <v>475</v>
      </c>
      <c r="ED77">
        <v>1.2438</v>
      </c>
      <c r="EE77">
        <v>0.89590000000000003</v>
      </c>
      <c r="EF77">
        <v>1.36432</v>
      </c>
      <c r="EG77">
        <v>1.0443199999999999</v>
      </c>
      <c r="EH77">
        <v>1.0914600000000001</v>
      </c>
      <c r="EI77">
        <v>1.0572600000000001</v>
      </c>
      <c r="EJ77">
        <v>1.1050199999999999</v>
      </c>
      <c r="EK77">
        <v>1.0060199999999999</v>
      </c>
      <c r="EL77">
        <v>1.1158399999999999</v>
      </c>
      <c r="EM77">
        <v>1.10328</v>
      </c>
      <c r="EN77">
        <v>1.14822</v>
      </c>
      <c r="EO77">
        <v>1.16076</v>
      </c>
      <c r="EP77">
        <v>1.0161199999999999</v>
      </c>
      <c r="EQ77">
        <v>0.96994000000000002</v>
      </c>
      <c r="ER77">
        <v>0.93545999999999996</v>
      </c>
      <c r="ES77">
        <v>1.03826</v>
      </c>
    </row>
    <row r="78" spans="1:149" x14ac:dyDescent="0.35">
      <c r="A78" s="77"/>
      <c r="B78" s="77">
        <v>476</v>
      </c>
      <c r="C78" s="77">
        <v>0.62012</v>
      </c>
      <c r="D78" s="77">
        <v>0.44663999999999998</v>
      </c>
      <c r="E78" s="77">
        <v>0.68020999999999998</v>
      </c>
      <c r="F78" s="77">
        <v>0.52051999999999998</v>
      </c>
      <c r="G78" s="77">
        <v>0.54474999999999996</v>
      </c>
      <c r="H78" s="77">
        <v>0.52773000000000003</v>
      </c>
      <c r="I78" s="77">
        <v>0.55145</v>
      </c>
      <c r="J78" s="77">
        <v>0.50210999999999995</v>
      </c>
      <c r="K78" s="77">
        <v>0.55698000000000003</v>
      </c>
      <c r="L78" s="77">
        <v>0.55069999999999997</v>
      </c>
      <c r="M78" s="77">
        <v>0.57313999999999998</v>
      </c>
      <c r="N78" s="77">
        <v>0.57950000000000002</v>
      </c>
      <c r="O78" s="77">
        <v>0.50746000000000002</v>
      </c>
      <c r="P78" s="77">
        <v>0.48447000000000001</v>
      </c>
      <c r="Q78" s="77">
        <v>0.46744000000000002</v>
      </c>
      <c r="R78" s="77">
        <v>0.51844999999999997</v>
      </c>
      <c r="T78">
        <v>476</v>
      </c>
      <c r="U78">
        <f t="shared" si="16"/>
        <v>1.24024</v>
      </c>
      <c r="V78">
        <f t="shared" si="17"/>
        <v>0.89327999999999996</v>
      </c>
      <c r="W78">
        <f t="shared" si="18"/>
        <v>1.36042</v>
      </c>
      <c r="X78">
        <f t="shared" si="19"/>
        <v>1.04104</v>
      </c>
      <c r="Y78">
        <f t="shared" si="20"/>
        <v>1.0894999999999999</v>
      </c>
      <c r="Z78">
        <f t="shared" si="21"/>
        <v>1.0554600000000001</v>
      </c>
      <c r="AA78">
        <f t="shared" si="22"/>
        <v>1.1029</v>
      </c>
      <c r="AB78">
        <f t="shared" si="23"/>
        <v>1.0042199999999999</v>
      </c>
      <c r="AC78">
        <f t="shared" si="24"/>
        <v>1.1139600000000001</v>
      </c>
      <c r="AD78">
        <f t="shared" si="25"/>
        <v>1.1013999999999999</v>
      </c>
      <c r="AE78">
        <f t="shared" si="26"/>
        <v>1.14628</v>
      </c>
      <c r="AF78">
        <f t="shared" si="27"/>
        <v>1.159</v>
      </c>
      <c r="AG78">
        <f t="shared" si="28"/>
        <v>1.01492</v>
      </c>
      <c r="AH78">
        <f t="shared" si="29"/>
        <v>0.96894000000000002</v>
      </c>
      <c r="AI78">
        <f t="shared" si="30"/>
        <v>0.93488000000000004</v>
      </c>
      <c r="AJ78">
        <f t="shared" si="31"/>
        <v>1.0368999999999999</v>
      </c>
      <c r="EC78">
        <v>476</v>
      </c>
      <c r="ED78">
        <v>1.24024</v>
      </c>
      <c r="EE78">
        <v>0.89327999999999996</v>
      </c>
      <c r="EF78">
        <v>1.36042</v>
      </c>
      <c r="EG78">
        <v>1.04104</v>
      </c>
      <c r="EH78">
        <v>1.0894999999999999</v>
      </c>
      <c r="EI78">
        <v>1.0554600000000001</v>
      </c>
      <c r="EJ78">
        <v>1.1029</v>
      </c>
      <c r="EK78">
        <v>1.0042199999999999</v>
      </c>
      <c r="EL78">
        <v>1.1139600000000001</v>
      </c>
      <c r="EM78">
        <v>1.1013999999999999</v>
      </c>
      <c r="EN78">
        <v>1.14628</v>
      </c>
      <c r="EO78">
        <v>1.159</v>
      </c>
      <c r="EP78">
        <v>1.01492</v>
      </c>
      <c r="EQ78">
        <v>0.96894000000000002</v>
      </c>
      <c r="ER78">
        <v>0.93488000000000004</v>
      </c>
      <c r="ES78">
        <v>1.0368999999999999</v>
      </c>
    </row>
    <row r="79" spans="1:149" x14ac:dyDescent="0.35">
      <c r="A79" s="77"/>
      <c r="B79" s="77">
        <v>477</v>
      </c>
      <c r="C79" s="77">
        <v>0.61841000000000002</v>
      </c>
      <c r="D79" s="77">
        <v>0.44524999999999998</v>
      </c>
      <c r="E79" s="77">
        <v>0.67823999999999995</v>
      </c>
      <c r="F79" s="77">
        <v>0.51893999999999996</v>
      </c>
      <c r="G79" s="77">
        <v>0.54388000000000003</v>
      </c>
      <c r="H79" s="77">
        <v>0.52686999999999995</v>
      </c>
      <c r="I79" s="77">
        <v>0.55069000000000001</v>
      </c>
      <c r="J79" s="77">
        <v>0.50146000000000002</v>
      </c>
      <c r="K79" s="77">
        <v>0.55640000000000001</v>
      </c>
      <c r="L79" s="77">
        <v>0.54998999999999998</v>
      </c>
      <c r="M79" s="77">
        <v>0.57242999999999999</v>
      </c>
      <c r="N79" s="77">
        <v>0.57864000000000004</v>
      </c>
      <c r="O79" s="77">
        <v>0.50685000000000002</v>
      </c>
      <c r="P79" s="77">
        <v>0.48392000000000002</v>
      </c>
      <c r="Q79" s="77">
        <v>0.46664</v>
      </c>
      <c r="R79" s="77">
        <v>0.51790999999999998</v>
      </c>
      <c r="T79">
        <v>477</v>
      </c>
      <c r="U79">
        <f t="shared" si="16"/>
        <v>1.23682</v>
      </c>
      <c r="V79">
        <f t="shared" si="17"/>
        <v>0.89049999999999996</v>
      </c>
      <c r="W79">
        <f t="shared" si="18"/>
        <v>1.3564799999999999</v>
      </c>
      <c r="X79">
        <f t="shared" si="19"/>
        <v>1.0378799999999999</v>
      </c>
      <c r="Y79">
        <f t="shared" si="20"/>
        <v>1.0877600000000001</v>
      </c>
      <c r="Z79">
        <f t="shared" si="21"/>
        <v>1.0537399999999999</v>
      </c>
      <c r="AA79">
        <f t="shared" si="22"/>
        <v>1.10138</v>
      </c>
      <c r="AB79">
        <f t="shared" si="23"/>
        <v>1.00292</v>
      </c>
      <c r="AC79">
        <f t="shared" si="24"/>
        <v>1.1128</v>
      </c>
      <c r="AD79">
        <f t="shared" si="25"/>
        <v>1.09998</v>
      </c>
      <c r="AE79">
        <f t="shared" si="26"/>
        <v>1.14486</v>
      </c>
      <c r="AF79">
        <f t="shared" si="27"/>
        <v>1.1572800000000001</v>
      </c>
      <c r="AG79">
        <f t="shared" si="28"/>
        <v>1.0137</v>
      </c>
      <c r="AH79">
        <f t="shared" si="29"/>
        <v>0.96784000000000003</v>
      </c>
      <c r="AI79">
        <f t="shared" si="30"/>
        <v>0.93328</v>
      </c>
      <c r="AJ79">
        <f t="shared" si="31"/>
        <v>1.03582</v>
      </c>
      <c r="EC79">
        <v>477</v>
      </c>
      <c r="ED79">
        <v>1.23682</v>
      </c>
      <c r="EE79">
        <v>0.89049999999999996</v>
      </c>
      <c r="EF79">
        <v>1.3564799999999999</v>
      </c>
      <c r="EG79">
        <v>1.0378799999999999</v>
      </c>
      <c r="EH79">
        <v>1.0877600000000001</v>
      </c>
      <c r="EI79">
        <v>1.0537399999999999</v>
      </c>
      <c r="EJ79">
        <v>1.10138</v>
      </c>
      <c r="EK79">
        <v>1.00292</v>
      </c>
      <c r="EL79">
        <v>1.1128</v>
      </c>
      <c r="EM79">
        <v>1.09998</v>
      </c>
      <c r="EN79">
        <v>1.14486</v>
      </c>
      <c r="EO79">
        <v>1.1572800000000001</v>
      </c>
      <c r="EP79">
        <v>1.0137</v>
      </c>
      <c r="EQ79">
        <v>0.96784000000000003</v>
      </c>
      <c r="ER79">
        <v>0.93328</v>
      </c>
      <c r="ES79">
        <v>1.03582</v>
      </c>
    </row>
    <row r="80" spans="1:149" x14ac:dyDescent="0.35">
      <c r="A80" s="77"/>
      <c r="B80" s="77">
        <v>478</v>
      </c>
      <c r="C80" s="77">
        <v>0.61670999999999998</v>
      </c>
      <c r="D80" s="77">
        <v>0.44407999999999997</v>
      </c>
      <c r="E80" s="77">
        <v>0.67618</v>
      </c>
      <c r="F80" s="77">
        <v>0.51734999999999998</v>
      </c>
      <c r="G80" s="77">
        <v>0.54322999999999999</v>
      </c>
      <c r="H80" s="77">
        <v>0.52603</v>
      </c>
      <c r="I80" s="77">
        <v>0.54971000000000003</v>
      </c>
      <c r="J80" s="77">
        <v>0.50078</v>
      </c>
      <c r="K80" s="77">
        <v>0.55571000000000004</v>
      </c>
      <c r="L80" s="77">
        <v>0.54937999999999998</v>
      </c>
      <c r="M80" s="77">
        <v>0.57172999999999996</v>
      </c>
      <c r="N80" s="77">
        <v>0.57789999999999997</v>
      </c>
      <c r="O80" s="77">
        <v>0.50609000000000004</v>
      </c>
      <c r="P80" s="77">
        <v>0.48329</v>
      </c>
      <c r="Q80" s="77">
        <v>0.46609</v>
      </c>
      <c r="R80" s="77">
        <v>0.51724000000000003</v>
      </c>
      <c r="T80">
        <v>478</v>
      </c>
      <c r="U80">
        <f t="shared" si="16"/>
        <v>1.23342</v>
      </c>
      <c r="V80">
        <f t="shared" si="17"/>
        <v>0.88815999999999995</v>
      </c>
      <c r="W80">
        <f t="shared" si="18"/>
        <v>1.35236</v>
      </c>
      <c r="X80">
        <f t="shared" si="19"/>
        <v>1.0347</v>
      </c>
      <c r="Y80">
        <f t="shared" si="20"/>
        <v>1.08646</v>
      </c>
      <c r="Z80">
        <f t="shared" si="21"/>
        <v>1.05206</v>
      </c>
      <c r="AA80">
        <f t="shared" si="22"/>
        <v>1.0994200000000001</v>
      </c>
      <c r="AB80">
        <f t="shared" si="23"/>
        <v>1.00156</v>
      </c>
      <c r="AC80">
        <f t="shared" si="24"/>
        <v>1.1114200000000001</v>
      </c>
      <c r="AD80">
        <f t="shared" si="25"/>
        <v>1.09876</v>
      </c>
      <c r="AE80">
        <f t="shared" si="26"/>
        <v>1.1434599999999999</v>
      </c>
      <c r="AF80">
        <f t="shared" si="27"/>
        <v>1.1557999999999999</v>
      </c>
      <c r="AG80">
        <f t="shared" si="28"/>
        <v>1.0121800000000001</v>
      </c>
      <c r="AH80">
        <f t="shared" si="29"/>
        <v>0.96657999999999999</v>
      </c>
      <c r="AI80">
        <f t="shared" si="30"/>
        <v>0.93218000000000001</v>
      </c>
      <c r="AJ80">
        <f t="shared" si="31"/>
        <v>1.0344800000000001</v>
      </c>
      <c r="EC80">
        <v>478</v>
      </c>
      <c r="ED80">
        <v>1.23342</v>
      </c>
      <c r="EE80">
        <v>0.88815999999999995</v>
      </c>
      <c r="EF80">
        <v>1.35236</v>
      </c>
      <c r="EG80">
        <v>1.0347</v>
      </c>
      <c r="EH80">
        <v>1.08646</v>
      </c>
      <c r="EI80">
        <v>1.05206</v>
      </c>
      <c r="EJ80">
        <v>1.0994200000000001</v>
      </c>
      <c r="EK80">
        <v>1.00156</v>
      </c>
      <c r="EL80">
        <v>1.1114200000000001</v>
      </c>
      <c r="EM80">
        <v>1.09876</v>
      </c>
      <c r="EN80">
        <v>1.1434599999999999</v>
      </c>
      <c r="EO80">
        <v>1.1557999999999999</v>
      </c>
      <c r="EP80">
        <v>1.0121800000000001</v>
      </c>
      <c r="EQ80">
        <v>0.96657999999999999</v>
      </c>
      <c r="ER80">
        <v>0.93218000000000001</v>
      </c>
      <c r="ES80">
        <v>1.0344800000000001</v>
      </c>
    </row>
    <row r="81" spans="1:149" x14ac:dyDescent="0.35">
      <c r="A81" s="77"/>
      <c r="B81" s="77">
        <v>479</v>
      </c>
      <c r="C81" s="77">
        <v>0.61519000000000001</v>
      </c>
      <c r="D81" s="77">
        <v>0.44297999999999998</v>
      </c>
      <c r="E81" s="77">
        <v>0.67454999999999998</v>
      </c>
      <c r="F81" s="77">
        <v>0.51607000000000003</v>
      </c>
      <c r="G81" s="77">
        <v>0.54242000000000001</v>
      </c>
      <c r="H81" s="77">
        <v>0.52527000000000001</v>
      </c>
      <c r="I81" s="77">
        <v>0.54905999999999999</v>
      </c>
      <c r="J81" s="77">
        <v>0.50011000000000005</v>
      </c>
      <c r="K81" s="77">
        <v>0.55471999999999999</v>
      </c>
      <c r="L81" s="77">
        <v>0.54857</v>
      </c>
      <c r="M81" s="77">
        <v>0.57091999999999998</v>
      </c>
      <c r="N81" s="77">
        <v>0.57696999999999998</v>
      </c>
      <c r="O81" s="77">
        <v>0.50558000000000003</v>
      </c>
      <c r="P81" s="77">
        <v>0.48276000000000002</v>
      </c>
      <c r="Q81" s="77">
        <v>0.46559</v>
      </c>
      <c r="R81" s="77">
        <v>0.51671</v>
      </c>
      <c r="T81">
        <v>479</v>
      </c>
      <c r="U81">
        <f t="shared" si="16"/>
        <v>1.23038</v>
      </c>
      <c r="V81">
        <f t="shared" si="17"/>
        <v>0.88595999999999997</v>
      </c>
      <c r="W81">
        <f t="shared" si="18"/>
        <v>1.3491</v>
      </c>
      <c r="X81">
        <f t="shared" si="19"/>
        <v>1.0321400000000001</v>
      </c>
      <c r="Y81">
        <f t="shared" si="20"/>
        <v>1.08484</v>
      </c>
      <c r="Z81">
        <f t="shared" si="21"/>
        <v>1.05054</v>
      </c>
      <c r="AA81">
        <f t="shared" si="22"/>
        <v>1.09812</v>
      </c>
      <c r="AB81">
        <f t="shared" si="23"/>
        <v>1.0002200000000001</v>
      </c>
      <c r="AC81">
        <f t="shared" si="24"/>
        <v>1.10944</v>
      </c>
      <c r="AD81">
        <f t="shared" si="25"/>
        <v>1.09714</v>
      </c>
      <c r="AE81">
        <f t="shared" si="26"/>
        <v>1.14184</v>
      </c>
      <c r="AF81">
        <f t="shared" si="27"/>
        <v>1.15394</v>
      </c>
      <c r="AG81">
        <f t="shared" si="28"/>
        <v>1.0111600000000001</v>
      </c>
      <c r="AH81">
        <f t="shared" si="29"/>
        <v>0.96552000000000004</v>
      </c>
      <c r="AI81">
        <f t="shared" si="30"/>
        <v>0.93118000000000001</v>
      </c>
      <c r="AJ81">
        <f t="shared" si="31"/>
        <v>1.03342</v>
      </c>
      <c r="EC81">
        <v>479</v>
      </c>
      <c r="ED81">
        <v>1.23038</v>
      </c>
      <c r="EE81">
        <v>0.88595999999999997</v>
      </c>
      <c r="EF81">
        <v>1.3491</v>
      </c>
      <c r="EG81">
        <v>1.0321400000000001</v>
      </c>
      <c r="EH81">
        <v>1.08484</v>
      </c>
      <c r="EI81">
        <v>1.05054</v>
      </c>
      <c r="EJ81">
        <v>1.09812</v>
      </c>
      <c r="EK81">
        <v>1.0002200000000001</v>
      </c>
      <c r="EL81">
        <v>1.10944</v>
      </c>
      <c r="EM81">
        <v>1.09714</v>
      </c>
      <c r="EN81">
        <v>1.14184</v>
      </c>
      <c r="EO81">
        <v>1.15394</v>
      </c>
      <c r="EP81">
        <v>1.0111600000000001</v>
      </c>
      <c r="EQ81">
        <v>0.96552000000000004</v>
      </c>
      <c r="ER81">
        <v>0.93118000000000001</v>
      </c>
      <c r="ES81">
        <v>1.03342</v>
      </c>
    </row>
    <row r="82" spans="1:149" x14ac:dyDescent="0.35">
      <c r="A82" s="77"/>
      <c r="B82" s="77">
        <v>480</v>
      </c>
      <c r="C82" s="77">
        <v>0.61355999999999999</v>
      </c>
      <c r="D82" s="77">
        <v>0.44167000000000001</v>
      </c>
      <c r="E82" s="77">
        <v>0.67278000000000004</v>
      </c>
      <c r="F82" s="77">
        <v>0.51441999999999999</v>
      </c>
      <c r="G82" s="77">
        <v>0.54169999999999996</v>
      </c>
      <c r="H82" s="77">
        <v>0.52454999999999996</v>
      </c>
      <c r="I82" s="77">
        <v>0.54834000000000005</v>
      </c>
      <c r="J82" s="77">
        <v>0.49970999999999999</v>
      </c>
      <c r="K82" s="77">
        <v>0.55410999999999999</v>
      </c>
      <c r="L82" s="77">
        <v>0.54790000000000005</v>
      </c>
      <c r="M82" s="77">
        <v>0.57010000000000005</v>
      </c>
      <c r="N82" s="77">
        <v>0.57630999999999999</v>
      </c>
      <c r="O82" s="77">
        <v>0.50495999999999996</v>
      </c>
      <c r="P82" s="77">
        <v>0.48227999999999999</v>
      </c>
      <c r="Q82" s="77">
        <v>0.46510000000000001</v>
      </c>
      <c r="R82" s="77">
        <v>0.51610999999999996</v>
      </c>
      <c r="T82">
        <v>480</v>
      </c>
      <c r="U82">
        <f t="shared" si="16"/>
        <v>1.22712</v>
      </c>
      <c r="V82">
        <f t="shared" si="17"/>
        <v>0.88334000000000001</v>
      </c>
      <c r="W82">
        <f t="shared" si="18"/>
        <v>1.3455600000000001</v>
      </c>
      <c r="X82">
        <f t="shared" si="19"/>
        <v>1.02884</v>
      </c>
      <c r="Y82">
        <f t="shared" si="20"/>
        <v>1.0833999999999999</v>
      </c>
      <c r="Z82">
        <f t="shared" si="21"/>
        <v>1.0490999999999999</v>
      </c>
      <c r="AA82">
        <f t="shared" si="22"/>
        <v>1.0966800000000001</v>
      </c>
      <c r="AB82">
        <f t="shared" si="23"/>
        <v>0.99941999999999998</v>
      </c>
      <c r="AC82">
        <f t="shared" si="24"/>
        <v>1.10822</v>
      </c>
      <c r="AD82">
        <f t="shared" si="25"/>
        <v>1.0958000000000001</v>
      </c>
      <c r="AE82">
        <f t="shared" si="26"/>
        <v>1.1402000000000001</v>
      </c>
      <c r="AF82">
        <f t="shared" si="27"/>
        <v>1.15262</v>
      </c>
      <c r="AG82">
        <f t="shared" si="28"/>
        <v>1.0099199999999999</v>
      </c>
      <c r="AH82">
        <f t="shared" si="29"/>
        <v>0.96455999999999997</v>
      </c>
      <c r="AI82">
        <f t="shared" si="30"/>
        <v>0.93020000000000003</v>
      </c>
      <c r="AJ82">
        <f t="shared" si="31"/>
        <v>1.0322199999999999</v>
      </c>
      <c r="EC82">
        <v>480</v>
      </c>
      <c r="ED82">
        <v>1.22712</v>
      </c>
      <c r="EE82">
        <v>0.88334000000000001</v>
      </c>
      <c r="EF82">
        <v>1.3455600000000001</v>
      </c>
      <c r="EG82">
        <v>1.02884</v>
      </c>
      <c r="EH82">
        <v>1.0833999999999999</v>
      </c>
      <c r="EI82">
        <v>1.0490999999999999</v>
      </c>
      <c r="EJ82">
        <v>1.0966800000000001</v>
      </c>
      <c r="EK82">
        <v>0.99941999999999998</v>
      </c>
      <c r="EL82">
        <v>1.10822</v>
      </c>
      <c r="EM82">
        <v>1.0958000000000001</v>
      </c>
      <c r="EN82">
        <v>1.1402000000000001</v>
      </c>
      <c r="EO82">
        <v>1.15262</v>
      </c>
      <c r="EP82">
        <v>1.0099199999999999</v>
      </c>
      <c r="EQ82">
        <v>0.96455999999999997</v>
      </c>
      <c r="ER82">
        <v>0.93020000000000003</v>
      </c>
      <c r="ES82">
        <v>1.0322199999999999</v>
      </c>
    </row>
    <row r="83" spans="1:149" x14ac:dyDescent="0.35">
      <c r="A83" s="77"/>
      <c r="B83" s="77">
        <v>481</v>
      </c>
      <c r="C83" s="77">
        <v>0.61229</v>
      </c>
      <c r="D83" s="77">
        <v>0.44059999999999999</v>
      </c>
      <c r="E83" s="77">
        <v>0.67134000000000005</v>
      </c>
      <c r="F83" s="77">
        <v>0.51327999999999996</v>
      </c>
      <c r="G83" s="77">
        <v>0.54142999999999997</v>
      </c>
      <c r="H83" s="77">
        <v>0.52407999999999999</v>
      </c>
      <c r="I83" s="77">
        <v>0.54796</v>
      </c>
      <c r="J83" s="77">
        <v>0.49919000000000002</v>
      </c>
      <c r="K83" s="77">
        <v>0.55340999999999996</v>
      </c>
      <c r="L83" s="77">
        <v>0.54769999999999996</v>
      </c>
      <c r="M83" s="77">
        <v>0.56964000000000004</v>
      </c>
      <c r="N83" s="77">
        <v>0.57584999999999997</v>
      </c>
      <c r="O83" s="77">
        <v>0.50468000000000002</v>
      </c>
      <c r="P83" s="77">
        <v>0.48187000000000002</v>
      </c>
      <c r="Q83" s="77">
        <v>0.46471000000000001</v>
      </c>
      <c r="R83" s="77">
        <v>0.51571999999999996</v>
      </c>
      <c r="T83">
        <v>481</v>
      </c>
      <c r="U83">
        <f t="shared" si="16"/>
        <v>1.22458</v>
      </c>
      <c r="V83">
        <f t="shared" si="17"/>
        <v>0.88119999999999998</v>
      </c>
      <c r="W83">
        <f t="shared" si="18"/>
        <v>1.3426800000000001</v>
      </c>
      <c r="X83">
        <f t="shared" si="19"/>
        <v>1.0265599999999999</v>
      </c>
      <c r="Y83">
        <f t="shared" si="20"/>
        <v>1.0828599999999999</v>
      </c>
      <c r="Z83">
        <f t="shared" si="21"/>
        <v>1.04816</v>
      </c>
      <c r="AA83">
        <f t="shared" si="22"/>
        <v>1.09592</v>
      </c>
      <c r="AB83">
        <f t="shared" si="23"/>
        <v>0.99838000000000005</v>
      </c>
      <c r="AC83">
        <f t="shared" si="24"/>
        <v>1.1068199999999999</v>
      </c>
      <c r="AD83">
        <f t="shared" si="25"/>
        <v>1.0953999999999999</v>
      </c>
      <c r="AE83">
        <f t="shared" si="26"/>
        <v>1.1392800000000001</v>
      </c>
      <c r="AF83">
        <f t="shared" si="27"/>
        <v>1.1516999999999999</v>
      </c>
      <c r="AG83">
        <f t="shared" si="28"/>
        <v>1.00936</v>
      </c>
      <c r="AH83">
        <f t="shared" si="29"/>
        <v>0.96374000000000004</v>
      </c>
      <c r="AI83">
        <f t="shared" si="30"/>
        <v>0.92942000000000002</v>
      </c>
      <c r="AJ83">
        <f t="shared" si="31"/>
        <v>1.0314399999999999</v>
      </c>
      <c r="EC83">
        <v>481</v>
      </c>
      <c r="ED83">
        <v>1.22458</v>
      </c>
      <c r="EE83">
        <v>0.88119999999999998</v>
      </c>
      <c r="EF83">
        <v>1.3426800000000001</v>
      </c>
      <c r="EG83">
        <v>1.0265599999999999</v>
      </c>
      <c r="EH83">
        <v>1.0828599999999999</v>
      </c>
      <c r="EI83">
        <v>1.04816</v>
      </c>
      <c r="EJ83">
        <v>1.09592</v>
      </c>
      <c r="EK83">
        <v>0.99838000000000005</v>
      </c>
      <c r="EL83">
        <v>1.1068199999999999</v>
      </c>
      <c r="EM83">
        <v>1.0953999999999999</v>
      </c>
      <c r="EN83">
        <v>1.1392800000000001</v>
      </c>
      <c r="EO83">
        <v>1.1516999999999999</v>
      </c>
      <c r="EP83">
        <v>1.00936</v>
      </c>
      <c r="EQ83">
        <v>0.96374000000000004</v>
      </c>
      <c r="ER83">
        <v>0.92942000000000002</v>
      </c>
      <c r="ES83">
        <v>1.0314399999999999</v>
      </c>
    </row>
    <row r="84" spans="1:149" x14ac:dyDescent="0.35">
      <c r="A84" s="77"/>
      <c r="B84" s="77">
        <v>482</v>
      </c>
      <c r="C84" s="77">
        <v>0.61104999999999998</v>
      </c>
      <c r="D84" s="77">
        <v>0.43963999999999998</v>
      </c>
      <c r="E84" s="77">
        <v>0.66978000000000004</v>
      </c>
      <c r="F84" s="77">
        <v>0.5121</v>
      </c>
      <c r="G84" s="77">
        <v>0.54076999999999997</v>
      </c>
      <c r="H84" s="77">
        <v>0.52344999999999997</v>
      </c>
      <c r="I84" s="77">
        <v>0.54732000000000003</v>
      </c>
      <c r="J84" s="77">
        <v>0.49869999999999998</v>
      </c>
      <c r="K84" s="77">
        <v>0.55298999999999998</v>
      </c>
      <c r="L84" s="77">
        <v>0.54703999999999997</v>
      </c>
      <c r="M84" s="77">
        <v>0.56908999999999998</v>
      </c>
      <c r="N84" s="77">
        <v>0.57523000000000002</v>
      </c>
      <c r="O84" s="77">
        <v>0.50409999999999999</v>
      </c>
      <c r="P84" s="77">
        <v>0.48139999999999999</v>
      </c>
      <c r="Q84" s="77">
        <v>0.46432000000000001</v>
      </c>
      <c r="R84" s="77">
        <v>0.51520999999999995</v>
      </c>
      <c r="T84">
        <v>482</v>
      </c>
      <c r="U84">
        <f t="shared" si="16"/>
        <v>1.2221</v>
      </c>
      <c r="V84">
        <f t="shared" si="17"/>
        <v>0.87927999999999995</v>
      </c>
      <c r="W84">
        <f t="shared" si="18"/>
        <v>1.3395600000000001</v>
      </c>
      <c r="X84">
        <f t="shared" si="19"/>
        <v>1.0242</v>
      </c>
      <c r="Y84">
        <f t="shared" si="20"/>
        <v>1.0815399999999999</v>
      </c>
      <c r="Z84">
        <f t="shared" si="21"/>
        <v>1.0468999999999999</v>
      </c>
      <c r="AA84">
        <f t="shared" si="22"/>
        <v>1.0946400000000001</v>
      </c>
      <c r="AB84">
        <f t="shared" si="23"/>
        <v>0.99739999999999995</v>
      </c>
      <c r="AC84">
        <f t="shared" si="24"/>
        <v>1.10598</v>
      </c>
      <c r="AD84">
        <f t="shared" si="25"/>
        <v>1.0940799999999999</v>
      </c>
      <c r="AE84">
        <f t="shared" si="26"/>
        <v>1.13818</v>
      </c>
      <c r="AF84">
        <f t="shared" si="27"/>
        <v>1.15046</v>
      </c>
      <c r="AG84">
        <f t="shared" si="28"/>
        <v>1.0082</v>
      </c>
      <c r="AH84">
        <f t="shared" si="29"/>
        <v>0.96279999999999999</v>
      </c>
      <c r="AI84">
        <f t="shared" si="30"/>
        <v>0.92864000000000002</v>
      </c>
      <c r="AJ84">
        <f t="shared" si="31"/>
        <v>1.0304199999999999</v>
      </c>
      <c r="EC84">
        <v>482</v>
      </c>
      <c r="ED84">
        <v>1.2221</v>
      </c>
      <c r="EE84">
        <v>0.87927999999999995</v>
      </c>
      <c r="EF84">
        <v>1.3395600000000001</v>
      </c>
      <c r="EG84">
        <v>1.0242</v>
      </c>
      <c r="EH84">
        <v>1.0815399999999999</v>
      </c>
      <c r="EI84">
        <v>1.0468999999999999</v>
      </c>
      <c r="EJ84">
        <v>1.0946400000000001</v>
      </c>
      <c r="EK84">
        <v>0.99739999999999995</v>
      </c>
      <c r="EL84">
        <v>1.10598</v>
      </c>
      <c r="EM84">
        <v>1.0940799999999999</v>
      </c>
      <c r="EN84">
        <v>1.13818</v>
      </c>
      <c r="EO84">
        <v>1.15046</v>
      </c>
      <c r="EP84">
        <v>1.0082</v>
      </c>
      <c r="EQ84">
        <v>0.96279999999999999</v>
      </c>
      <c r="ER84">
        <v>0.92864000000000002</v>
      </c>
      <c r="ES84">
        <v>1.0304199999999999</v>
      </c>
    </row>
    <row r="85" spans="1:149" x14ac:dyDescent="0.35">
      <c r="A85" s="77"/>
      <c r="B85" s="77">
        <v>483</v>
      </c>
      <c r="C85" s="77">
        <v>0.60994000000000004</v>
      </c>
      <c r="D85" s="77">
        <v>0.43885999999999997</v>
      </c>
      <c r="E85" s="77">
        <v>0.66881999999999997</v>
      </c>
      <c r="F85" s="77">
        <v>0.51124999999999998</v>
      </c>
      <c r="G85" s="77">
        <v>0.54020999999999997</v>
      </c>
      <c r="H85" s="77">
        <v>0.52288999999999997</v>
      </c>
      <c r="I85" s="77">
        <v>0.54688999999999999</v>
      </c>
      <c r="J85" s="77">
        <v>0.49819999999999998</v>
      </c>
      <c r="K85" s="77">
        <v>0.55237000000000003</v>
      </c>
      <c r="L85" s="77">
        <v>0.54642999999999997</v>
      </c>
      <c r="M85" s="77">
        <v>0.56837000000000004</v>
      </c>
      <c r="N85" s="77">
        <v>0.57457999999999998</v>
      </c>
      <c r="O85" s="77">
        <v>0.50380999999999998</v>
      </c>
      <c r="P85" s="77">
        <v>0.48110999999999998</v>
      </c>
      <c r="Q85" s="77">
        <v>0.46426000000000001</v>
      </c>
      <c r="R85" s="77">
        <v>0.51488999999999996</v>
      </c>
      <c r="T85">
        <v>483</v>
      </c>
      <c r="U85">
        <f t="shared" si="16"/>
        <v>1.2198800000000001</v>
      </c>
      <c r="V85">
        <f t="shared" si="17"/>
        <v>0.87771999999999994</v>
      </c>
      <c r="W85">
        <f t="shared" si="18"/>
        <v>1.3376399999999999</v>
      </c>
      <c r="X85">
        <f t="shared" si="19"/>
        <v>1.0225</v>
      </c>
      <c r="Y85">
        <f t="shared" si="20"/>
        <v>1.0804199999999999</v>
      </c>
      <c r="Z85">
        <f t="shared" si="21"/>
        <v>1.0457799999999999</v>
      </c>
      <c r="AA85">
        <f t="shared" si="22"/>
        <v>1.09378</v>
      </c>
      <c r="AB85">
        <f t="shared" si="23"/>
        <v>0.99639999999999995</v>
      </c>
      <c r="AC85">
        <f t="shared" si="24"/>
        <v>1.1047400000000001</v>
      </c>
      <c r="AD85">
        <f t="shared" si="25"/>
        <v>1.0928599999999999</v>
      </c>
      <c r="AE85">
        <f t="shared" si="26"/>
        <v>1.1367400000000001</v>
      </c>
      <c r="AF85">
        <f t="shared" si="27"/>
        <v>1.14916</v>
      </c>
      <c r="AG85">
        <f t="shared" si="28"/>
        <v>1.00762</v>
      </c>
      <c r="AH85">
        <f t="shared" si="29"/>
        <v>0.96221999999999996</v>
      </c>
      <c r="AI85">
        <f t="shared" si="30"/>
        <v>0.92852000000000001</v>
      </c>
      <c r="AJ85">
        <f t="shared" si="31"/>
        <v>1.0297799999999999</v>
      </c>
      <c r="EC85">
        <v>483</v>
      </c>
      <c r="ED85">
        <v>1.2198800000000001</v>
      </c>
      <c r="EE85">
        <v>0.87771999999999994</v>
      </c>
      <c r="EF85">
        <v>1.3376399999999999</v>
      </c>
      <c r="EG85">
        <v>1.0225</v>
      </c>
      <c r="EH85">
        <v>1.0804199999999999</v>
      </c>
      <c r="EI85">
        <v>1.0457799999999999</v>
      </c>
      <c r="EJ85">
        <v>1.09378</v>
      </c>
      <c r="EK85">
        <v>0.99639999999999995</v>
      </c>
      <c r="EL85">
        <v>1.1047400000000001</v>
      </c>
      <c r="EM85">
        <v>1.0928599999999999</v>
      </c>
      <c r="EN85">
        <v>1.1367400000000001</v>
      </c>
      <c r="EO85">
        <v>1.14916</v>
      </c>
      <c r="EP85">
        <v>1.00762</v>
      </c>
      <c r="EQ85">
        <v>0.96221999999999996</v>
      </c>
      <c r="ER85">
        <v>0.92852000000000001</v>
      </c>
      <c r="ES85">
        <v>1.0297799999999999</v>
      </c>
    </row>
    <row r="86" spans="1:149" x14ac:dyDescent="0.35">
      <c r="A86" s="77"/>
      <c r="B86" s="77">
        <v>484</v>
      </c>
      <c r="C86" s="77">
        <v>0.60904999999999998</v>
      </c>
      <c r="D86" s="77">
        <v>0.43831999999999999</v>
      </c>
      <c r="E86" s="77">
        <v>0.66776999999999997</v>
      </c>
      <c r="F86" s="77">
        <v>0.51041999999999998</v>
      </c>
      <c r="G86" s="77">
        <v>0.53983000000000003</v>
      </c>
      <c r="H86" s="77">
        <v>0.52248000000000006</v>
      </c>
      <c r="I86" s="77">
        <v>0.54627999999999999</v>
      </c>
      <c r="J86" s="77">
        <v>0.49782999999999999</v>
      </c>
      <c r="K86" s="77">
        <v>0.55176999999999998</v>
      </c>
      <c r="L86" s="77">
        <v>0.54601</v>
      </c>
      <c r="M86" s="77">
        <v>0.56794999999999995</v>
      </c>
      <c r="N86" s="77">
        <v>0.57416</v>
      </c>
      <c r="O86" s="77">
        <v>0.50339999999999996</v>
      </c>
      <c r="P86" s="77">
        <v>0.48091</v>
      </c>
      <c r="Q86" s="77">
        <v>0.46375</v>
      </c>
      <c r="R86" s="77">
        <v>0.51463000000000003</v>
      </c>
      <c r="T86">
        <v>484</v>
      </c>
      <c r="U86">
        <f t="shared" si="16"/>
        <v>1.2181</v>
      </c>
      <c r="V86">
        <f t="shared" si="17"/>
        <v>0.87663999999999997</v>
      </c>
      <c r="W86">
        <f t="shared" si="18"/>
        <v>1.3355399999999999</v>
      </c>
      <c r="X86">
        <f t="shared" si="19"/>
        <v>1.02084</v>
      </c>
      <c r="Y86">
        <f t="shared" si="20"/>
        <v>1.0796600000000001</v>
      </c>
      <c r="Z86">
        <f t="shared" si="21"/>
        <v>1.0449600000000001</v>
      </c>
      <c r="AA86">
        <f t="shared" si="22"/>
        <v>1.09256</v>
      </c>
      <c r="AB86">
        <f t="shared" si="23"/>
        <v>0.99565999999999999</v>
      </c>
      <c r="AC86">
        <f t="shared" si="24"/>
        <v>1.10354</v>
      </c>
      <c r="AD86">
        <f t="shared" si="25"/>
        <v>1.09202</v>
      </c>
      <c r="AE86">
        <f t="shared" si="26"/>
        <v>1.1358999999999999</v>
      </c>
      <c r="AF86">
        <f t="shared" si="27"/>
        <v>1.14832</v>
      </c>
      <c r="AG86">
        <f t="shared" si="28"/>
        <v>1.0067999999999999</v>
      </c>
      <c r="AH86">
        <f t="shared" si="29"/>
        <v>0.96182000000000001</v>
      </c>
      <c r="AI86">
        <f t="shared" si="30"/>
        <v>0.92749999999999999</v>
      </c>
      <c r="AJ86">
        <f t="shared" si="31"/>
        <v>1.0292600000000001</v>
      </c>
      <c r="EC86">
        <v>484</v>
      </c>
      <c r="ED86">
        <v>1.2181</v>
      </c>
      <c r="EE86">
        <v>0.87663999999999997</v>
      </c>
      <c r="EF86">
        <v>1.3355399999999999</v>
      </c>
      <c r="EG86">
        <v>1.02084</v>
      </c>
      <c r="EH86">
        <v>1.0796600000000001</v>
      </c>
      <c r="EI86">
        <v>1.0449600000000001</v>
      </c>
      <c r="EJ86">
        <v>1.09256</v>
      </c>
      <c r="EK86">
        <v>0.99565999999999999</v>
      </c>
      <c r="EL86">
        <v>1.10354</v>
      </c>
      <c r="EM86">
        <v>1.09202</v>
      </c>
      <c r="EN86">
        <v>1.1358999999999999</v>
      </c>
      <c r="EO86">
        <v>1.14832</v>
      </c>
      <c r="EP86">
        <v>1.0067999999999999</v>
      </c>
      <c r="EQ86">
        <v>0.96182000000000001</v>
      </c>
      <c r="ER86">
        <v>0.92749999999999999</v>
      </c>
      <c r="ES86">
        <v>1.0292600000000001</v>
      </c>
    </row>
    <row r="87" spans="1:149" x14ac:dyDescent="0.35">
      <c r="A87" s="77"/>
      <c r="B87" s="77">
        <v>485</v>
      </c>
      <c r="C87" s="77">
        <v>0.60804999999999998</v>
      </c>
      <c r="D87" s="77">
        <v>0.43763999999999997</v>
      </c>
      <c r="E87" s="77">
        <v>0.66678000000000004</v>
      </c>
      <c r="F87" s="77">
        <v>0.50971999999999995</v>
      </c>
      <c r="G87" s="77">
        <v>0.53959999999999997</v>
      </c>
      <c r="H87" s="77">
        <v>0.52212999999999998</v>
      </c>
      <c r="I87" s="77">
        <v>0.54601999999999995</v>
      </c>
      <c r="J87" s="77">
        <v>0.49757000000000001</v>
      </c>
      <c r="K87" s="77">
        <v>0.55132999999999999</v>
      </c>
      <c r="L87" s="77">
        <v>0.54561000000000004</v>
      </c>
      <c r="M87" s="77">
        <v>0.56754000000000004</v>
      </c>
      <c r="N87" s="77">
        <v>0.57386999999999999</v>
      </c>
      <c r="O87" s="77">
        <v>0.50322</v>
      </c>
      <c r="P87" s="77">
        <v>0.48054999999999998</v>
      </c>
      <c r="Q87" s="77">
        <v>0.46351999999999999</v>
      </c>
      <c r="R87" s="77">
        <v>0.51439999999999997</v>
      </c>
      <c r="T87">
        <v>485</v>
      </c>
      <c r="U87">
        <f t="shared" si="16"/>
        <v>1.2161</v>
      </c>
      <c r="V87">
        <f t="shared" si="17"/>
        <v>0.87527999999999995</v>
      </c>
      <c r="W87">
        <f t="shared" si="18"/>
        <v>1.3335600000000001</v>
      </c>
      <c r="X87">
        <f t="shared" si="19"/>
        <v>1.0194399999999999</v>
      </c>
      <c r="Y87">
        <f t="shared" si="20"/>
        <v>1.0791999999999999</v>
      </c>
      <c r="Z87">
        <f t="shared" si="21"/>
        <v>1.04426</v>
      </c>
      <c r="AA87">
        <f t="shared" si="22"/>
        <v>1.0920399999999999</v>
      </c>
      <c r="AB87">
        <f t="shared" si="23"/>
        <v>0.99514000000000002</v>
      </c>
      <c r="AC87">
        <f t="shared" si="24"/>
        <v>1.10266</v>
      </c>
      <c r="AD87">
        <f t="shared" si="25"/>
        <v>1.0912200000000001</v>
      </c>
      <c r="AE87">
        <f t="shared" si="26"/>
        <v>1.1350800000000001</v>
      </c>
      <c r="AF87">
        <f t="shared" si="27"/>
        <v>1.14774</v>
      </c>
      <c r="AG87">
        <f t="shared" si="28"/>
        <v>1.00644</v>
      </c>
      <c r="AH87">
        <f t="shared" si="29"/>
        <v>0.96109999999999995</v>
      </c>
      <c r="AI87">
        <f t="shared" si="30"/>
        <v>0.92703999999999998</v>
      </c>
      <c r="AJ87">
        <f t="shared" si="31"/>
        <v>1.0287999999999999</v>
      </c>
      <c r="EC87">
        <v>485</v>
      </c>
      <c r="ED87">
        <v>1.2161</v>
      </c>
      <c r="EE87">
        <v>0.87527999999999995</v>
      </c>
      <c r="EF87">
        <v>1.3335600000000001</v>
      </c>
      <c r="EG87">
        <v>1.0194399999999999</v>
      </c>
      <c r="EH87">
        <v>1.0791999999999999</v>
      </c>
      <c r="EI87">
        <v>1.04426</v>
      </c>
      <c r="EJ87">
        <v>1.0920399999999999</v>
      </c>
      <c r="EK87">
        <v>0.99514000000000002</v>
      </c>
      <c r="EL87">
        <v>1.10266</v>
      </c>
      <c r="EM87">
        <v>1.0912200000000001</v>
      </c>
      <c r="EN87">
        <v>1.1350800000000001</v>
      </c>
      <c r="EO87">
        <v>1.14774</v>
      </c>
      <c r="EP87">
        <v>1.00644</v>
      </c>
      <c r="EQ87">
        <v>0.96109999999999995</v>
      </c>
      <c r="ER87">
        <v>0.92703999999999998</v>
      </c>
      <c r="ES87">
        <v>1.0287999999999999</v>
      </c>
    </row>
    <row r="88" spans="1:149" x14ac:dyDescent="0.35">
      <c r="A88" s="77"/>
      <c r="B88" s="77">
        <v>486</v>
      </c>
      <c r="C88" s="77">
        <v>0.60758999999999996</v>
      </c>
      <c r="D88" s="77">
        <v>0.43714999999999998</v>
      </c>
      <c r="E88" s="77">
        <v>0.66613999999999995</v>
      </c>
      <c r="F88" s="77">
        <v>0.50922999999999996</v>
      </c>
      <c r="G88" s="77">
        <v>0.53954000000000002</v>
      </c>
      <c r="H88" s="77">
        <v>0.52190999999999999</v>
      </c>
      <c r="I88" s="77">
        <v>0.54596999999999996</v>
      </c>
      <c r="J88" s="77">
        <v>0.49747000000000002</v>
      </c>
      <c r="K88" s="77">
        <v>0.55108999999999997</v>
      </c>
      <c r="L88" s="77">
        <v>0.54547000000000001</v>
      </c>
      <c r="M88" s="77">
        <v>0.56738</v>
      </c>
      <c r="N88" s="77">
        <v>0.57355</v>
      </c>
      <c r="O88" s="77">
        <v>0.50287000000000004</v>
      </c>
      <c r="P88" s="77">
        <v>0.48037999999999997</v>
      </c>
      <c r="Q88" s="77">
        <v>0.46317999999999998</v>
      </c>
      <c r="R88" s="77">
        <v>0.51404000000000005</v>
      </c>
      <c r="T88">
        <v>486</v>
      </c>
      <c r="U88">
        <f t="shared" si="16"/>
        <v>1.2151799999999999</v>
      </c>
      <c r="V88">
        <f t="shared" si="17"/>
        <v>0.87429999999999997</v>
      </c>
      <c r="W88">
        <f t="shared" si="18"/>
        <v>1.3322799999999999</v>
      </c>
      <c r="X88">
        <f t="shared" si="19"/>
        <v>1.0184599999999999</v>
      </c>
      <c r="Y88">
        <f t="shared" si="20"/>
        <v>1.07908</v>
      </c>
      <c r="Z88">
        <f t="shared" si="21"/>
        <v>1.04382</v>
      </c>
      <c r="AA88">
        <f t="shared" si="22"/>
        <v>1.0919399999999999</v>
      </c>
      <c r="AB88">
        <f t="shared" si="23"/>
        <v>0.99494000000000005</v>
      </c>
      <c r="AC88">
        <f t="shared" si="24"/>
        <v>1.1021799999999999</v>
      </c>
      <c r="AD88">
        <f t="shared" si="25"/>
        <v>1.09094</v>
      </c>
      <c r="AE88">
        <f t="shared" si="26"/>
        <v>1.13476</v>
      </c>
      <c r="AF88">
        <f t="shared" si="27"/>
        <v>1.1471</v>
      </c>
      <c r="AG88">
        <f t="shared" si="28"/>
        <v>1.0057400000000001</v>
      </c>
      <c r="AH88">
        <f t="shared" si="29"/>
        <v>0.96075999999999995</v>
      </c>
      <c r="AI88">
        <f t="shared" si="30"/>
        <v>0.92635999999999996</v>
      </c>
      <c r="AJ88">
        <f t="shared" si="31"/>
        <v>1.0280800000000001</v>
      </c>
      <c r="EC88">
        <v>486</v>
      </c>
      <c r="ED88">
        <v>1.2151799999999999</v>
      </c>
      <c r="EE88">
        <v>0.87429999999999997</v>
      </c>
      <c r="EF88">
        <v>1.3322799999999999</v>
      </c>
      <c r="EG88">
        <v>1.0184599999999999</v>
      </c>
      <c r="EH88">
        <v>1.07908</v>
      </c>
      <c r="EI88">
        <v>1.04382</v>
      </c>
      <c r="EJ88">
        <v>1.0919399999999999</v>
      </c>
      <c r="EK88">
        <v>0.99494000000000005</v>
      </c>
      <c r="EL88">
        <v>1.1021799999999999</v>
      </c>
      <c r="EM88">
        <v>1.09094</v>
      </c>
      <c r="EN88">
        <v>1.13476</v>
      </c>
      <c r="EO88">
        <v>1.1471</v>
      </c>
      <c r="EP88">
        <v>1.0057400000000001</v>
      </c>
      <c r="EQ88">
        <v>0.96075999999999995</v>
      </c>
      <c r="ER88">
        <v>0.92635999999999996</v>
      </c>
      <c r="ES88">
        <v>1.0280800000000001</v>
      </c>
    </row>
    <row r="89" spans="1:149" x14ac:dyDescent="0.35">
      <c r="A89" s="77"/>
      <c r="B89" s="77">
        <v>487</v>
      </c>
      <c r="C89" s="77">
        <v>0.60677000000000003</v>
      </c>
      <c r="D89" s="77">
        <v>0.43652000000000002</v>
      </c>
      <c r="E89" s="77">
        <v>0.66512000000000004</v>
      </c>
      <c r="F89" s="77">
        <v>0.50844999999999996</v>
      </c>
      <c r="G89" s="77">
        <v>0.53920000000000001</v>
      </c>
      <c r="H89" s="77">
        <v>0.52148000000000005</v>
      </c>
      <c r="I89" s="77">
        <v>0.54566999999999999</v>
      </c>
      <c r="J89" s="77">
        <v>0.49718000000000001</v>
      </c>
      <c r="K89" s="77">
        <v>0.55069999999999997</v>
      </c>
      <c r="L89" s="77">
        <v>0.54523999999999995</v>
      </c>
      <c r="M89" s="77">
        <v>0.56706000000000001</v>
      </c>
      <c r="N89" s="77">
        <v>0.57323999999999997</v>
      </c>
      <c r="O89" s="77">
        <v>0.50248999999999999</v>
      </c>
      <c r="P89" s="77">
        <v>0.47988999999999998</v>
      </c>
      <c r="Q89" s="77">
        <v>0.46283000000000002</v>
      </c>
      <c r="R89" s="77">
        <v>0.51371999999999995</v>
      </c>
      <c r="T89">
        <v>487</v>
      </c>
      <c r="U89">
        <f t="shared" si="16"/>
        <v>1.2135400000000001</v>
      </c>
      <c r="V89">
        <f t="shared" si="17"/>
        <v>0.87304000000000004</v>
      </c>
      <c r="W89">
        <f t="shared" si="18"/>
        <v>1.3302400000000001</v>
      </c>
      <c r="X89">
        <f t="shared" si="19"/>
        <v>1.0168999999999999</v>
      </c>
      <c r="Y89">
        <f t="shared" si="20"/>
        <v>1.0784</v>
      </c>
      <c r="Z89">
        <f t="shared" si="21"/>
        <v>1.0429600000000001</v>
      </c>
      <c r="AA89">
        <f t="shared" si="22"/>
        <v>1.09134</v>
      </c>
      <c r="AB89">
        <f t="shared" si="23"/>
        <v>0.99436000000000002</v>
      </c>
      <c r="AC89">
        <f t="shared" si="24"/>
        <v>1.1013999999999999</v>
      </c>
      <c r="AD89">
        <f t="shared" si="25"/>
        <v>1.0904799999999999</v>
      </c>
      <c r="AE89">
        <f t="shared" si="26"/>
        <v>1.13412</v>
      </c>
      <c r="AF89">
        <f t="shared" si="27"/>
        <v>1.1464799999999999</v>
      </c>
      <c r="AG89">
        <f t="shared" si="28"/>
        <v>1.00498</v>
      </c>
      <c r="AH89">
        <f t="shared" si="29"/>
        <v>0.95977999999999997</v>
      </c>
      <c r="AI89">
        <f t="shared" si="30"/>
        <v>0.92566000000000004</v>
      </c>
      <c r="AJ89">
        <f t="shared" si="31"/>
        <v>1.0274399999999999</v>
      </c>
      <c r="EC89">
        <v>487</v>
      </c>
      <c r="ED89">
        <v>1.2135400000000001</v>
      </c>
      <c r="EE89">
        <v>0.87304000000000004</v>
      </c>
      <c r="EF89">
        <v>1.3302400000000001</v>
      </c>
      <c r="EG89">
        <v>1.0168999999999999</v>
      </c>
      <c r="EH89">
        <v>1.0784</v>
      </c>
      <c r="EI89">
        <v>1.0429600000000001</v>
      </c>
      <c r="EJ89">
        <v>1.09134</v>
      </c>
      <c r="EK89">
        <v>0.99436000000000002</v>
      </c>
      <c r="EL89">
        <v>1.1013999999999999</v>
      </c>
      <c r="EM89">
        <v>1.0904799999999999</v>
      </c>
      <c r="EN89">
        <v>1.13412</v>
      </c>
      <c r="EO89">
        <v>1.1464799999999999</v>
      </c>
      <c r="EP89">
        <v>1.00498</v>
      </c>
      <c r="EQ89">
        <v>0.95977999999999997</v>
      </c>
      <c r="ER89">
        <v>0.92566000000000004</v>
      </c>
      <c r="ES89">
        <v>1.0274399999999999</v>
      </c>
    </row>
    <row r="90" spans="1:149" x14ac:dyDescent="0.35">
      <c r="A90" s="77"/>
      <c r="B90" s="77">
        <v>488</v>
      </c>
      <c r="C90" s="77">
        <v>0.60626000000000002</v>
      </c>
      <c r="D90" s="77">
        <v>0.436</v>
      </c>
      <c r="E90" s="77">
        <v>0.66461000000000003</v>
      </c>
      <c r="F90" s="77">
        <v>0.50795000000000001</v>
      </c>
      <c r="G90" s="77">
        <v>0.53905000000000003</v>
      </c>
      <c r="H90" s="77">
        <v>0.52132000000000001</v>
      </c>
      <c r="I90" s="77">
        <v>0.54542999999999997</v>
      </c>
      <c r="J90" s="77">
        <v>0.49690000000000001</v>
      </c>
      <c r="K90" s="77">
        <v>0.55017000000000005</v>
      </c>
      <c r="L90" s="77">
        <v>0.54471999999999998</v>
      </c>
      <c r="M90" s="77">
        <v>0.56669999999999998</v>
      </c>
      <c r="N90" s="77">
        <v>0.57274000000000003</v>
      </c>
      <c r="O90" s="77">
        <v>0.50248999999999999</v>
      </c>
      <c r="P90" s="77">
        <v>0.47997000000000001</v>
      </c>
      <c r="Q90" s="77">
        <v>0.46281</v>
      </c>
      <c r="R90" s="77">
        <v>0.51361000000000001</v>
      </c>
      <c r="T90">
        <v>488</v>
      </c>
      <c r="U90">
        <f t="shared" si="16"/>
        <v>1.21252</v>
      </c>
      <c r="V90">
        <f t="shared" si="17"/>
        <v>0.872</v>
      </c>
      <c r="W90">
        <f t="shared" si="18"/>
        <v>1.3292200000000001</v>
      </c>
      <c r="X90">
        <f t="shared" si="19"/>
        <v>1.0159</v>
      </c>
      <c r="Y90">
        <f t="shared" si="20"/>
        <v>1.0781000000000001</v>
      </c>
      <c r="Z90">
        <f t="shared" si="21"/>
        <v>1.04264</v>
      </c>
      <c r="AA90">
        <f t="shared" si="22"/>
        <v>1.0908599999999999</v>
      </c>
      <c r="AB90">
        <f t="shared" si="23"/>
        <v>0.99380000000000002</v>
      </c>
      <c r="AC90">
        <f t="shared" si="24"/>
        <v>1.1003400000000001</v>
      </c>
      <c r="AD90">
        <f t="shared" si="25"/>
        <v>1.08944</v>
      </c>
      <c r="AE90">
        <f t="shared" si="26"/>
        <v>1.1334</v>
      </c>
      <c r="AF90">
        <f t="shared" si="27"/>
        <v>1.1454800000000001</v>
      </c>
      <c r="AG90">
        <f t="shared" si="28"/>
        <v>1.00498</v>
      </c>
      <c r="AH90">
        <f t="shared" si="29"/>
        <v>0.95994000000000002</v>
      </c>
      <c r="AI90">
        <f t="shared" si="30"/>
        <v>0.92562</v>
      </c>
      <c r="AJ90">
        <f t="shared" si="31"/>
        <v>1.02722</v>
      </c>
      <c r="EC90">
        <v>488</v>
      </c>
      <c r="ED90">
        <v>1.21252</v>
      </c>
      <c r="EE90">
        <v>0.872</v>
      </c>
      <c r="EF90">
        <v>1.3292200000000001</v>
      </c>
      <c r="EG90">
        <v>1.0159</v>
      </c>
      <c r="EH90">
        <v>1.0781000000000001</v>
      </c>
      <c r="EI90">
        <v>1.04264</v>
      </c>
      <c r="EJ90">
        <v>1.0908599999999999</v>
      </c>
      <c r="EK90">
        <v>0.99380000000000002</v>
      </c>
      <c r="EL90">
        <v>1.1003400000000001</v>
      </c>
      <c r="EM90">
        <v>1.08944</v>
      </c>
      <c r="EN90">
        <v>1.1334</v>
      </c>
      <c r="EO90">
        <v>1.1454800000000001</v>
      </c>
      <c r="EP90">
        <v>1.00498</v>
      </c>
      <c r="EQ90">
        <v>0.95994000000000002</v>
      </c>
      <c r="ER90">
        <v>0.92562</v>
      </c>
      <c r="ES90">
        <v>1.02722</v>
      </c>
    </row>
    <row r="91" spans="1:149" x14ac:dyDescent="0.35">
      <c r="A91" s="77"/>
      <c r="B91" s="77">
        <v>489</v>
      </c>
      <c r="C91" s="77">
        <v>0.60567000000000004</v>
      </c>
      <c r="D91" s="77">
        <v>0.43564999999999998</v>
      </c>
      <c r="E91" s="77">
        <v>0.66393000000000002</v>
      </c>
      <c r="F91" s="77">
        <v>0.50751999999999997</v>
      </c>
      <c r="G91" s="77">
        <v>0.53896999999999995</v>
      </c>
      <c r="H91" s="77">
        <v>0.52122000000000002</v>
      </c>
      <c r="I91" s="77">
        <v>0.54532999999999998</v>
      </c>
      <c r="J91" s="77">
        <v>0.49671999999999999</v>
      </c>
      <c r="K91" s="77">
        <v>0.54993999999999998</v>
      </c>
      <c r="L91" s="77">
        <v>0.54461999999999999</v>
      </c>
      <c r="M91" s="77">
        <v>0.56647999999999998</v>
      </c>
      <c r="N91" s="77">
        <v>0.57250999999999996</v>
      </c>
      <c r="O91" s="77">
        <v>0.50221000000000005</v>
      </c>
      <c r="P91" s="77">
        <v>0.47968</v>
      </c>
      <c r="Q91" s="77">
        <v>0.46265000000000001</v>
      </c>
      <c r="R91" s="77">
        <v>0.51346999999999998</v>
      </c>
      <c r="T91">
        <v>489</v>
      </c>
      <c r="U91">
        <f t="shared" si="16"/>
        <v>1.2113400000000001</v>
      </c>
      <c r="V91">
        <f t="shared" si="17"/>
        <v>0.87129999999999996</v>
      </c>
      <c r="W91">
        <f t="shared" si="18"/>
        <v>1.32786</v>
      </c>
      <c r="X91">
        <f t="shared" si="19"/>
        <v>1.0150399999999999</v>
      </c>
      <c r="Y91">
        <f t="shared" si="20"/>
        <v>1.0779399999999999</v>
      </c>
      <c r="Z91">
        <f t="shared" si="21"/>
        <v>1.04244</v>
      </c>
      <c r="AA91">
        <f t="shared" si="22"/>
        <v>1.09066</v>
      </c>
      <c r="AB91">
        <f t="shared" si="23"/>
        <v>0.99343999999999999</v>
      </c>
      <c r="AC91">
        <f t="shared" si="24"/>
        <v>1.09988</v>
      </c>
      <c r="AD91">
        <f t="shared" si="25"/>
        <v>1.08924</v>
      </c>
      <c r="AE91">
        <f t="shared" si="26"/>
        <v>1.13296</v>
      </c>
      <c r="AF91">
        <f t="shared" si="27"/>
        <v>1.1450199999999999</v>
      </c>
      <c r="AG91">
        <f t="shared" si="28"/>
        <v>1.0044200000000001</v>
      </c>
      <c r="AH91">
        <f t="shared" si="29"/>
        <v>0.95935999999999999</v>
      </c>
      <c r="AI91">
        <f t="shared" si="30"/>
        <v>0.92530000000000001</v>
      </c>
      <c r="AJ91">
        <f t="shared" si="31"/>
        <v>1.02694</v>
      </c>
      <c r="EC91">
        <v>489</v>
      </c>
      <c r="ED91">
        <v>1.2113400000000001</v>
      </c>
      <c r="EE91">
        <v>0.87129999999999996</v>
      </c>
      <c r="EF91">
        <v>1.32786</v>
      </c>
      <c r="EG91">
        <v>1.0150399999999999</v>
      </c>
      <c r="EH91">
        <v>1.0779399999999999</v>
      </c>
      <c r="EI91">
        <v>1.04244</v>
      </c>
      <c r="EJ91">
        <v>1.09066</v>
      </c>
      <c r="EK91">
        <v>0.99343999999999999</v>
      </c>
      <c r="EL91">
        <v>1.09988</v>
      </c>
      <c r="EM91">
        <v>1.08924</v>
      </c>
      <c r="EN91">
        <v>1.13296</v>
      </c>
      <c r="EO91">
        <v>1.1450199999999999</v>
      </c>
      <c r="EP91">
        <v>1.0044200000000001</v>
      </c>
      <c r="EQ91">
        <v>0.95935999999999999</v>
      </c>
      <c r="ER91">
        <v>0.92530000000000001</v>
      </c>
      <c r="ES91">
        <v>1.02694</v>
      </c>
    </row>
    <row r="92" spans="1:149" x14ac:dyDescent="0.35">
      <c r="A92" s="77"/>
      <c r="B92" s="77">
        <v>490</v>
      </c>
      <c r="C92" s="77">
        <v>0.60526999999999997</v>
      </c>
      <c r="D92" s="77">
        <v>0.43526999999999999</v>
      </c>
      <c r="E92" s="77">
        <v>0.66342000000000001</v>
      </c>
      <c r="F92" s="77">
        <v>0.50707999999999998</v>
      </c>
      <c r="G92" s="77">
        <v>0.53878999999999999</v>
      </c>
      <c r="H92" s="77">
        <v>0.52098</v>
      </c>
      <c r="I92" s="77">
        <v>0.54515000000000002</v>
      </c>
      <c r="J92" s="77">
        <v>0.49647999999999998</v>
      </c>
      <c r="K92" s="77">
        <v>0.54961000000000004</v>
      </c>
      <c r="L92" s="77">
        <v>0.54420000000000002</v>
      </c>
      <c r="M92" s="77">
        <v>0.56608999999999998</v>
      </c>
      <c r="N92" s="77">
        <v>0.57216</v>
      </c>
      <c r="O92" s="77">
        <v>0.50190999999999997</v>
      </c>
      <c r="P92" s="77">
        <v>0.47938999999999998</v>
      </c>
      <c r="Q92" s="77">
        <v>0.46243000000000001</v>
      </c>
      <c r="R92" s="77">
        <v>0.51312000000000002</v>
      </c>
      <c r="T92">
        <v>490</v>
      </c>
      <c r="U92">
        <f t="shared" si="16"/>
        <v>1.2105399999999999</v>
      </c>
      <c r="V92">
        <f t="shared" si="17"/>
        <v>0.87053999999999998</v>
      </c>
      <c r="W92">
        <f t="shared" si="18"/>
        <v>1.32684</v>
      </c>
      <c r="X92">
        <f t="shared" si="19"/>
        <v>1.01416</v>
      </c>
      <c r="Y92">
        <f t="shared" si="20"/>
        <v>1.07758</v>
      </c>
      <c r="Z92">
        <f t="shared" si="21"/>
        <v>1.04196</v>
      </c>
      <c r="AA92">
        <f t="shared" si="22"/>
        <v>1.0903</v>
      </c>
      <c r="AB92">
        <f t="shared" si="23"/>
        <v>0.99295999999999995</v>
      </c>
      <c r="AC92">
        <f t="shared" si="24"/>
        <v>1.0992200000000001</v>
      </c>
      <c r="AD92">
        <f t="shared" si="25"/>
        <v>1.0884</v>
      </c>
      <c r="AE92">
        <f t="shared" si="26"/>
        <v>1.13218</v>
      </c>
      <c r="AF92">
        <f t="shared" si="27"/>
        <v>1.14432</v>
      </c>
      <c r="AG92">
        <f t="shared" si="28"/>
        <v>1.0038199999999999</v>
      </c>
      <c r="AH92">
        <f t="shared" si="29"/>
        <v>0.95877999999999997</v>
      </c>
      <c r="AI92">
        <f t="shared" si="30"/>
        <v>0.92486000000000002</v>
      </c>
      <c r="AJ92">
        <f t="shared" si="31"/>
        <v>1.02624</v>
      </c>
      <c r="EC92">
        <v>490</v>
      </c>
      <c r="ED92">
        <v>1.2105399999999999</v>
      </c>
      <c r="EE92">
        <v>0.87053999999999998</v>
      </c>
      <c r="EF92">
        <v>1.32684</v>
      </c>
      <c r="EG92">
        <v>1.01416</v>
      </c>
      <c r="EH92">
        <v>1.07758</v>
      </c>
      <c r="EI92">
        <v>1.04196</v>
      </c>
      <c r="EJ92">
        <v>1.0903</v>
      </c>
      <c r="EK92">
        <v>0.99295999999999995</v>
      </c>
      <c r="EL92">
        <v>1.0992200000000001</v>
      </c>
      <c r="EM92">
        <v>1.0884</v>
      </c>
      <c r="EN92">
        <v>1.13218</v>
      </c>
      <c r="EO92">
        <v>1.14432</v>
      </c>
      <c r="EP92">
        <v>1.0038199999999999</v>
      </c>
      <c r="EQ92">
        <v>0.95877999999999997</v>
      </c>
      <c r="ER92">
        <v>0.92486000000000002</v>
      </c>
      <c r="ES92">
        <v>1.02624</v>
      </c>
    </row>
    <row r="93" spans="1:149" x14ac:dyDescent="0.35">
      <c r="A93" s="77"/>
      <c r="B93" s="77">
        <v>491</v>
      </c>
      <c r="C93" s="77">
        <v>0.60460999999999998</v>
      </c>
      <c r="D93" s="77">
        <v>0.43482999999999999</v>
      </c>
      <c r="E93" s="77">
        <v>0.66286999999999996</v>
      </c>
      <c r="F93" s="77">
        <v>0.50661999999999996</v>
      </c>
      <c r="G93" s="77">
        <v>0.53852999999999995</v>
      </c>
      <c r="H93" s="77">
        <v>0.52071000000000001</v>
      </c>
      <c r="I93" s="77">
        <v>0.54500000000000004</v>
      </c>
      <c r="J93" s="77">
        <v>0.49625999999999998</v>
      </c>
      <c r="K93" s="77">
        <v>0.54932999999999998</v>
      </c>
      <c r="L93" s="77">
        <v>0.54398999999999997</v>
      </c>
      <c r="M93" s="77">
        <v>0.56579999999999997</v>
      </c>
      <c r="N93" s="77">
        <v>0.57189999999999996</v>
      </c>
      <c r="O93" s="77">
        <v>0.50160000000000005</v>
      </c>
      <c r="P93" s="77">
        <v>0.47908000000000001</v>
      </c>
      <c r="Q93" s="77">
        <v>0.46211000000000002</v>
      </c>
      <c r="R93" s="77">
        <v>0.51275999999999999</v>
      </c>
      <c r="T93">
        <v>491</v>
      </c>
      <c r="U93">
        <f t="shared" si="16"/>
        <v>1.20922</v>
      </c>
      <c r="V93">
        <f t="shared" si="17"/>
        <v>0.86965999999999999</v>
      </c>
      <c r="W93">
        <f t="shared" si="18"/>
        <v>1.3257399999999999</v>
      </c>
      <c r="X93">
        <f t="shared" si="19"/>
        <v>1.0132399999999999</v>
      </c>
      <c r="Y93">
        <f t="shared" si="20"/>
        <v>1.0770599999999999</v>
      </c>
      <c r="Z93">
        <f t="shared" si="21"/>
        <v>1.04142</v>
      </c>
      <c r="AA93">
        <f t="shared" si="22"/>
        <v>1.0900000000000001</v>
      </c>
      <c r="AB93">
        <f t="shared" si="23"/>
        <v>0.99251999999999996</v>
      </c>
      <c r="AC93">
        <f t="shared" si="24"/>
        <v>1.09866</v>
      </c>
      <c r="AD93">
        <f t="shared" si="25"/>
        <v>1.0879799999999999</v>
      </c>
      <c r="AE93">
        <f t="shared" si="26"/>
        <v>1.1315999999999999</v>
      </c>
      <c r="AF93">
        <f t="shared" si="27"/>
        <v>1.1437999999999999</v>
      </c>
      <c r="AG93">
        <f t="shared" si="28"/>
        <v>1.0032000000000001</v>
      </c>
      <c r="AH93">
        <f t="shared" si="29"/>
        <v>0.95816000000000001</v>
      </c>
      <c r="AI93">
        <f t="shared" si="30"/>
        <v>0.92422000000000004</v>
      </c>
      <c r="AJ93">
        <f t="shared" si="31"/>
        <v>1.02552</v>
      </c>
      <c r="EC93">
        <v>491</v>
      </c>
      <c r="ED93">
        <v>1.20922</v>
      </c>
      <c r="EE93">
        <v>0.86965999999999999</v>
      </c>
      <c r="EF93">
        <v>1.3257399999999999</v>
      </c>
      <c r="EG93">
        <v>1.0132399999999999</v>
      </c>
      <c r="EH93">
        <v>1.0770599999999999</v>
      </c>
      <c r="EI93">
        <v>1.04142</v>
      </c>
      <c r="EJ93">
        <v>1.0900000000000001</v>
      </c>
      <c r="EK93">
        <v>0.99251999999999996</v>
      </c>
      <c r="EL93">
        <v>1.09866</v>
      </c>
      <c r="EM93">
        <v>1.0879799999999999</v>
      </c>
      <c r="EN93">
        <v>1.1315999999999999</v>
      </c>
      <c r="EO93">
        <v>1.1437999999999999</v>
      </c>
      <c r="EP93">
        <v>1.0032000000000001</v>
      </c>
      <c r="EQ93">
        <v>0.95816000000000001</v>
      </c>
      <c r="ER93">
        <v>0.92422000000000004</v>
      </c>
      <c r="ES93">
        <v>1.02552</v>
      </c>
    </row>
    <row r="94" spans="1:149" x14ac:dyDescent="0.35">
      <c r="A94" s="77"/>
      <c r="B94" s="77">
        <v>492</v>
      </c>
      <c r="C94" s="77">
        <v>0.60406000000000004</v>
      </c>
      <c r="D94" s="77">
        <v>0.43440000000000001</v>
      </c>
      <c r="E94" s="77">
        <v>0.66218999999999995</v>
      </c>
      <c r="F94" s="77">
        <v>0.50607000000000002</v>
      </c>
      <c r="G94" s="77">
        <v>0.53844000000000003</v>
      </c>
      <c r="H94" s="77">
        <v>0.52051000000000003</v>
      </c>
      <c r="I94" s="77">
        <v>0.54479999999999995</v>
      </c>
      <c r="J94" s="77">
        <v>0.49614000000000003</v>
      </c>
      <c r="K94" s="77">
        <v>0.54898000000000002</v>
      </c>
      <c r="L94" s="77">
        <v>0.54369999999999996</v>
      </c>
      <c r="M94" s="77">
        <v>0.56542999999999999</v>
      </c>
      <c r="N94" s="77">
        <v>0.57150000000000001</v>
      </c>
      <c r="O94" s="77">
        <v>0.50141999999999998</v>
      </c>
      <c r="P94" s="77">
        <v>0.47889999999999999</v>
      </c>
      <c r="Q94" s="77">
        <v>0.46200999999999998</v>
      </c>
      <c r="R94" s="77">
        <v>0.51261999999999996</v>
      </c>
      <c r="T94">
        <v>492</v>
      </c>
      <c r="U94">
        <f t="shared" si="16"/>
        <v>1.2081200000000001</v>
      </c>
      <c r="V94">
        <f t="shared" si="17"/>
        <v>0.86880000000000002</v>
      </c>
      <c r="W94">
        <f t="shared" si="18"/>
        <v>1.3243799999999999</v>
      </c>
      <c r="X94">
        <f t="shared" si="19"/>
        <v>1.01214</v>
      </c>
      <c r="Y94">
        <f t="shared" si="20"/>
        <v>1.0768800000000001</v>
      </c>
      <c r="Z94">
        <f t="shared" si="21"/>
        <v>1.0410200000000001</v>
      </c>
      <c r="AA94">
        <f t="shared" si="22"/>
        <v>1.0895999999999999</v>
      </c>
      <c r="AB94">
        <f t="shared" si="23"/>
        <v>0.99228000000000005</v>
      </c>
      <c r="AC94">
        <f t="shared" si="24"/>
        <v>1.09796</v>
      </c>
      <c r="AD94">
        <f t="shared" si="25"/>
        <v>1.0873999999999999</v>
      </c>
      <c r="AE94">
        <f t="shared" si="26"/>
        <v>1.13086</v>
      </c>
      <c r="AF94">
        <f t="shared" si="27"/>
        <v>1.143</v>
      </c>
      <c r="AG94">
        <f t="shared" si="28"/>
        <v>1.00284</v>
      </c>
      <c r="AH94">
        <f t="shared" si="29"/>
        <v>0.95779999999999998</v>
      </c>
      <c r="AI94">
        <f t="shared" si="30"/>
        <v>0.92401999999999995</v>
      </c>
      <c r="AJ94">
        <f t="shared" si="31"/>
        <v>1.0252399999999999</v>
      </c>
      <c r="EC94">
        <v>492</v>
      </c>
      <c r="ED94">
        <v>1.2081200000000001</v>
      </c>
      <c r="EE94">
        <v>0.86880000000000002</v>
      </c>
      <c r="EF94">
        <v>1.3243799999999999</v>
      </c>
      <c r="EG94">
        <v>1.01214</v>
      </c>
      <c r="EH94">
        <v>1.0768800000000001</v>
      </c>
      <c r="EI94">
        <v>1.0410200000000001</v>
      </c>
      <c r="EJ94">
        <v>1.0895999999999999</v>
      </c>
      <c r="EK94">
        <v>0.99228000000000005</v>
      </c>
      <c r="EL94">
        <v>1.09796</v>
      </c>
      <c r="EM94">
        <v>1.0873999999999999</v>
      </c>
      <c r="EN94">
        <v>1.13086</v>
      </c>
      <c r="EO94">
        <v>1.143</v>
      </c>
      <c r="EP94">
        <v>1.00284</v>
      </c>
      <c r="EQ94">
        <v>0.95779999999999998</v>
      </c>
      <c r="ER94">
        <v>0.92401999999999995</v>
      </c>
      <c r="ES94">
        <v>1.0252399999999999</v>
      </c>
    </row>
    <row r="95" spans="1:149" x14ac:dyDescent="0.35">
      <c r="A95" s="77"/>
      <c r="B95" s="77">
        <v>493</v>
      </c>
      <c r="C95" s="77">
        <v>0.60346999999999995</v>
      </c>
      <c r="D95" s="77">
        <v>0.43396000000000001</v>
      </c>
      <c r="E95" s="77">
        <v>0.66152999999999995</v>
      </c>
      <c r="F95" s="77">
        <v>0.50575000000000003</v>
      </c>
      <c r="G95" s="77">
        <v>0.53810000000000002</v>
      </c>
      <c r="H95" s="77">
        <v>0.52027999999999996</v>
      </c>
      <c r="I95" s="77">
        <v>0.54459000000000002</v>
      </c>
      <c r="J95" s="77">
        <v>0.49590000000000001</v>
      </c>
      <c r="K95" s="77">
        <v>0.54862999999999995</v>
      </c>
      <c r="L95" s="77">
        <v>0.54344000000000003</v>
      </c>
      <c r="M95" s="77">
        <v>0.56508999999999998</v>
      </c>
      <c r="N95" s="77">
        <v>0.57123999999999997</v>
      </c>
      <c r="O95" s="77">
        <v>0.50099000000000005</v>
      </c>
      <c r="P95" s="77">
        <v>0.47847000000000001</v>
      </c>
      <c r="Q95" s="77">
        <v>0.46157999999999999</v>
      </c>
      <c r="R95" s="77">
        <v>0.51217999999999997</v>
      </c>
      <c r="T95">
        <v>493</v>
      </c>
      <c r="U95">
        <f t="shared" si="16"/>
        <v>1.2069399999999999</v>
      </c>
      <c r="V95">
        <f t="shared" si="17"/>
        <v>0.86792000000000002</v>
      </c>
      <c r="W95">
        <f t="shared" si="18"/>
        <v>1.3230599999999999</v>
      </c>
      <c r="X95">
        <f t="shared" si="19"/>
        <v>1.0115000000000001</v>
      </c>
      <c r="Y95">
        <f t="shared" si="20"/>
        <v>1.0762</v>
      </c>
      <c r="Z95">
        <f t="shared" si="21"/>
        <v>1.0405599999999999</v>
      </c>
      <c r="AA95">
        <f t="shared" si="22"/>
        <v>1.08918</v>
      </c>
      <c r="AB95">
        <f t="shared" si="23"/>
        <v>0.99180000000000001</v>
      </c>
      <c r="AC95">
        <f t="shared" si="24"/>
        <v>1.0972599999999999</v>
      </c>
      <c r="AD95">
        <f t="shared" si="25"/>
        <v>1.0868800000000001</v>
      </c>
      <c r="AE95">
        <f t="shared" si="26"/>
        <v>1.13018</v>
      </c>
      <c r="AF95">
        <f t="shared" si="27"/>
        <v>1.1424799999999999</v>
      </c>
      <c r="AG95">
        <f t="shared" si="28"/>
        <v>1.0019800000000001</v>
      </c>
      <c r="AH95">
        <f t="shared" si="29"/>
        <v>0.95694000000000001</v>
      </c>
      <c r="AI95">
        <f t="shared" si="30"/>
        <v>0.92315999999999998</v>
      </c>
      <c r="AJ95">
        <f t="shared" si="31"/>
        <v>1.0243599999999999</v>
      </c>
      <c r="EC95">
        <v>493</v>
      </c>
      <c r="ED95">
        <v>1.2069399999999999</v>
      </c>
      <c r="EE95">
        <v>0.86792000000000002</v>
      </c>
      <c r="EF95">
        <v>1.3230599999999999</v>
      </c>
      <c r="EG95">
        <v>1.0115000000000001</v>
      </c>
      <c r="EH95">
        <v>1.0762</v>
      </c>
      <c r="EI95">
        <v>1.0405599999999999</v>
      </c>
      <c r="EJ95">
        <v>1.08918</v>
      </c>
      <c r="EK95">
        <v>0.99180000000000001</v>
      </c>
      <c r="EL95">
        <v>1.0972599999999999</v>
      </c>
      <c r="EM95">
        <v>1.0868800000000001</v>
      </c>
      <c r="EN95">
        <v>1.13018</v>
      </c>
      <c r="EO95">
        <v>1.1424799999999999</v>
      </c>
      <c r="EP95">
        <v>1.0019800000000001</v>
      </c>
      <c r="EQ95">
        <v>0.95694000000000001</v>
      </c>
      <c r="ER95">
        <v>0.92315999999999998</v>
      </c>
      <c r="ES95">
        <v>1.0243599999999999</v>
      </c>
    </row>
    <row r="96" spans="1:149" x14ac:dyDescent="0.35">
      <c r="A96" s="77"/>
      <c r="B96" s="77">
        <v>494</v>
      </c>
      <c r="C96" s="77">
        <v>0.60265999999999997</v>
      </c>
      <c r="D96" s="77">
        <v>0.43347000000000002</v>
      </c>
      <c r="E96" s="77">
        <v>0.66071999999999997</v>
      </c>
      <c r="F96" s="77">
        <v>0.50502000000000002</v>
      </c>
      <c r="G96" s="77">
        <v>0.53776999999999997</v>
      </c>
      <c r="H96" s="77">
        <v>0.51993</v>
      </c>
      <c r="I96" s="77">
        <v>0.54430000000000001</v>
      </c>
      <c r="J96" s="77">
        <v>0.49545</v>
      </c>
      <c r="K96" s="77">
        <v>0.54813000000000001</v>
      </c>
      <c r="L96" s="77">
        <v>0.54298000000000002</v>
      </c>
      <c r="M96" s="77">
        <v>0.56464999999999999</v>
      </c>
      <c r="N96" s="77">
        <v>0.57067999999999997</v>
      </c>
      <c r="O96" s="77">
        <v>0.50072000000000005</v>
      </c>
      <c r="P96" s="77">
        <v>0.47809000000000001</v>
      </c>
      <c r="Q96" s="77">
        <v>0.46128999999999998</v>
      </c>
      <c r="R96" s="77">
        <v>0.51190000000000002</v>
      </c>
      <c r="T96">
        <v>494</v>
      </c>
      <c r="U96">
        <f t="shared" si="16"/>
        <v>1.2053199999999999</v>
      </c>
      <c r="V96">
        <f t="shared" si="17"/>
        <v>0.86694000000000004</v>
      </c>
      <c r="W96">
        <f t="shared" si="18"/>
        <v>1.3214399999999999</v>
      </c>
      <c r="X96">
        <f t="shared" si="19"/>
        <v>1.01004</v>
      </c>
      <c r="Y96">
        <f t="shared" si="20"/>
        <v>1.0755399999999999</v>
      </c>
      <c r="Z96">
        <f t="shared" si="21"/>
        <v>1.03986</v>
      </c>
      <c r="AA96">
        <f t="shared" si="22"/>
        <v>1.0886</v>
      </c>
      <c r="AB96">
        <f t="shared" si="23"/>
        <v>0.9909</v>
      </c>
      <c r="AC96">
        <f t="shared" si="24"/>
        <v>1.09626</v>
      </c>
      <c r="AD96">
        <f t="shared" si="25"/>
        <v>1.08596</v>
      </c>
      <c r="AE96">
        <f t="shared" si="26"/>
        <v>1.1293</v>
      </c>
      <c r="AF96">
        <f t="shared" si="27"/>
        <v>1.1413599999999999</v>
      </c>
      <c r="AG96">
        <f t="shared" si="28"/>
        <v>1.0014400000000001</v>
      </c>
      <c r="AH96">
        <f t="shared" si="29"/>
        <v>0.95618000000000003</v>
      </c>
      <c r="AI96">
        <f t="shared" si="30"/>
        <v>0.92257999999999996</v>
      </c>
      <c r="AJ96">
        <f t="shared" si="31"/>
        <v>1.0238</v>
      </c>
      <c r="EC96">
        <v>494</v>
      </c>
      <c r="ED96">
        <v>1.2053199999999999</v>
      </c>
      <c r="EE96">
        <v>0.86694000000000004</v>
      </c>
      <c r="EF96">
        <v>1.3214399999999999</v>
      </c>
      <c r="EG96">
        <v>1.01004</v>
      </c>
      <c r="EH96">
        <v>1.0755399999999999</v>
      </c>
      <c r="EI96">
        <v>1.03986</v>
      </c>
      <c r="EJ96">
        <v>1.0886</v>
      </c>
      <c r="EK96">
        <v>0.9909</v>
      </c>
      <c r="EL96">
        <v>1.09626</v>
      </c>
      <c r="EM96">
        <v>1.08596</v>
      </c>
      <c r="EN96">
        <v>1.1293</v>
      </c>
      <c r="EO96">
        <v>1.1413599999999999</v>
      </c>
      <c r="EP96">
        <v>1.0014400000000001</v>
      </c>
      <c r="EQ96">
        <v>0.95618000000000003</v>
      </c>
      <c r="ER96">
        <v>0.92257999999999996</v>
      </c>
      <c r="ES96">
        <v>1.0238</v>
      </c>
    </row>
    <row r="97" spans="1:149" x14ac:dyDescent="0.35">
      <c r="A97" s="77"/>
      <c r="B97" s="77">
        <v>495</v>
      </c>
      <c r="C97" s="77">
        <v>0.60196000000000005</v>
      </c>
      <c r="D97" s="77">
        <v>0.43276999999999999</v>
      </c>
      <c r="E97" s="77">
        <v>0.65983999999999998</v>
      </c>
      <c r="F97" s="77">
        <v>0.50443000000000005</v>
      </c>
      <c r="G97" s="77">
        <v>0.53737999999999997</v>
      </c>
      <c r="H97" s="77">
        <v>0.51946999999999999</v>
      </c>
      <c r="I97" s="77">
        <v>0.54393000000000002</v>
      </c>
      <c r="J97" s="77">
        <v>0.49509999999999998</v>
      </c>
      <c r="K97" s="77">
        <v>0.54778000000000004</v>
      </c>
      <c r="L97" s="77">
        <v>0.54264999999999997</v>
      </c>
      <c r="M97" s="77">
        <v>0.56425000000000003</v>
      </c>
      <c r="N97" s="77">
        <v>0.57018999999999997</v>
      </c>
      <c r="O97" s="77">
        <v>0.50012000000000001</v>
      </c>
      <c r="P97" s="77">
        <v>0.47774</v>
      </c>
      <c r="Q97" s="77">
        <v>0.46088000000000001</v>
      </c>
      <c r="R97" s="77">
        <v>0.51134999999999997</v>
      </c>
      <c r="T97">
        <v>495</v>
      </c>
      <c r="U97">
        <f t="shared" si="16"/>
        <v>1.2039200000000001</v>
      </c>
      <c r="V97">
        <f t="shared" si="17"/>
        <v>0.86553999999999998</v>
      </c>
      <c r="W97">
        <f t="shared" si="18"/>
        <v>1.31968</v>
      </c>
      <c r="X97">
        <f t="shared" si="19"/>
        <v>1.0088600000000001</v>
      </c>
      <c r="Y97">
        <f t="shared" si="20"/>
        <v>1.0747599999999999</v>
      </c>
      <c r="Z97">
        <f t="shared" si="21"/>
        <v>1.03894</v>
      </c>
      <c r="AA97">
        <f t="shared" si="22"/>
        <v>1.08786</v>
      </c>
      <c r="AB97">
        <f t="shared" si="23"/>
        <v>0.99019999999999997</v>
      </c>
      <c r="AC97">
        <f t="shared" si="24"/>
        <v>1.0955600000000001</v>
      </c>
      <c r="AD97">
        <f t="shared" si="25"/>
        <v>1.0852999999999999</v>
      </c>
      <c r="AE97">
        <f t="shared" si="26"/>
        <v>1.1285000000000001</v>
      </c>
      <c r="AF97">
        <f t="shared" si="27"/>
        <v>1.1403799999999999</v>
      </c>
      <c r="AG97">
        <f t="shared" si="28"/>
        <v>1.00024</v>
      </c>
      <c r="AH97">
        <f t="shared" si="29"/>
        <v>0.95548</v>
      </c>
      <c r="AI97">
        <f t="shared" si="30"/>
        <v>0.92176000000000002</v>
      </c>
      <c r="AJ97">
        <f t="shared" si="31"/>
        <v>1.0226999999999999</v>
      </c>
      <c r="EC97">
        <v>495</v>
      </c>
      <c r="ED97">
        <v>1.2039200000000001</v>
      </c>
      <c r="EE97">
        <v>0.86553999999999998</v>
      </c>
      <c r="EF97">
        <v>1.31968</v>
      </c>
      <c r="EG97">
        <v>1.0088600000000001</v>
      </c>
      <c r="EH97">
        <v>1.0747599999999999</v>
      </c>
      <c r="EI97">
        <v>1.03894</v>
      </c>
      <c r="EJ97">
        <v>1.08786</v>
      </c>
      <c r="EK97">
        <v>0.99019999999999997</v>
      </c>
      <c r="EL97">
        <v>1.0955600000000001</v>
      </c>
      <c r="EM97">
        <v>1.0852999999999999</v>
      </c>
      <c r="EN97">
        <v>1.1285000000000001</v>
      </c>
      <c r="EO97">
        <v>1.1403799999999999</v>
      </c>
      <c r="EP97">
        <v>1.00024</v>
      </c>
      <c r="EQ97">
        <v>0.95548</v>
      </c>
      <c r="ER97">
        <v>0.92176000000000002</v>
      </c>
      <c r="ES97">
        <v>1.0226999999999999</v>
      </c>
    </row>
    <row r="98" spans="1:149" x14ac:dyDescent="0.35">
      <c r="A98" s="77"/>
      <c r="B98" s="77">
        <v>496</v>
      </c>
      <c r="C98" s="77">
        <v>0.60102999999999995</v>
      </c>
      <c r="D98" s="77">
        <v>0.43219000000000002</v>
      </c>
      <c r="E98" s="77">
        <v>0.65863000000000005</v>
      </c>
      <c r="F98" s="77">
        <v>0.50368999999999997</v>
      </c>
      <c r="G98" s="77">
        <v>0.53695999999999999</v>
      </c>
      <c r="H98" s="77">
        <v>0.51900999999999997</v>
      </c>
      <c r="I98" s="77">
        <v>0.54335</v>
      </c>
      <c r="J98" s="77">
        <v>0.49467</v>
      </c>
      <c r="K98" s="77">
        <v>0.54722999999999999</v>
      </c>
      <c r="L98" s="77">
        <v>0.54210000000000003</v>
      </c>
      <c r="M98" s="77">
        <v>0.56367</v>
      </c>
      <c r="N98" s="77">
        <v>0.56962999999999997</v>
      </c>
      <c r="O98" s="77">
        <v>0.49947999999999998</v>
      </c>
      <c r="P98" s="77">
        <v>0.47713</v>
      </c>
      <c r="Q98" s="77">
        <v>0.46035999999999999</v>
      </c>
      <c r="R98" s="77">
        <v>0.51073000000000002</v>
      </c>
      <c r="T98">
        <v>496</v>
      </c>
      <c r="U98">
        <f t="shared" si="16"/>
        <v>1.2020599999999999</v>
      </c>
      <c r="V98">
        <f t="shared" si="17"/>
        <v>0.86438000000000004</v>
      </c>
      <c r="W98">
        <f t="shared" si="18"/>
        <v>1.3172600000000001</v>
      </c>
      <c r="X98">
        <f t="shared" si="19"/>
        <v>1.0073799999999999</v>
      </c>
      <c r="Y98">
        <f t="shared" si="20"/>
        <v>1.07392</v>
      </c>
      <c r="Z98">
        <f t="shared" si="21"/>
        <v>1.0380199999999999</v>
      </c>
      <c r="AA98">
        <f t="shared" si="22"/>
        <v>1.0867</v>
      </c>
      <c r="AB98">
        <f t="shared" si="23"/>
        <v>0.98934</v>
      </c>
      <c r="AC98">
        <f t="shared" si="24"/>
        <v>1.09446</v>
      </c>
      <c r="AD98">
        <f t="shared" si="25"/>
        <v>1.0842000000000001</v>
      </c>
      <c r="AE98">
        <f t="shared" si="26"/>
        <v>1.12734</v>
      </c>
      <c r="AF98">
        <f t="shared" si="27"/>
        <v>1.1392599999999999</v>
      </c>
      <c r="AG98">
        <f t="shared" si="28"/>
        <v>0.99895999999999996</v>
      </c>
      <c r="AH98">
        <f t="shared" si="29"/>
        <v>0.95426</v>
      </c>
      <c r="AI98">
        <f t="shared" si="30"/>
        <v>0.92071999999999998</v>
      </c>
      <c r="AJ98">
        <f t="shared" si="31"/>
        <v>1.02146</v>
      </c>
      <c r="EC98">
        <v>496</v>
      </c>
      <c r="ED98">
        <v>1.2020599999999999</v>
      </c>
      <c r="EE98">
        <v>0.86438000000000004</v>
      </c>
      <c r="EF98">
        <v>1.3172600000000001</v>
      </c>
      <c r="EG98">
        <v>1.0073799999999999</v>
      </c>
      <c r="EH98">
        <v>1.07392</v>
      </c>
      <c r="EI98">
        <v>1.0380199999999999</v>
      </c>
      <c r="EJ98">
        <v>1.0867</v>
      </c>
      <c r="EK98">
        <v>0.98934</v>
      </c>
      <c r="EL98">
        <v>1.09446</v>
      </c>
      <c r="EM98">
        <v>1.0842000000000001</v>
      </c>
      <c r="EN98">
        <v>1.12734</v>
      </c>
      <c r="EO98">
        <v>1.1392599999999999</v>
      </c>
      <c r="EP98">
        <v>0.99895999999999996</v>
      </c>
      <c r="EQ98">
        <v>0.95426</v>
      </c>
      <c r="ER98">
        <v>0.92071999999999998</v>
      </c>
      <c r="ES98">
        <v>1.02146</v>
      </c>
    </row>
    <row r="99" spans="1:149" x14ac:dyDescent="0.35">
      <c r="A99" s="77"/>
      <c r="B99" s="77">
        <v>497</v>
      </c>
      <c r="C99" s="77">
        <v>0.59987999999999997</v>
      </c>
      <c r="D99" s="77">
        <v>0.43123</v>
      </c>
      <c r="E99" s="77">
        <v>0.65732999999999997</v>
      </c>
      <c r="F99" s="77">
        <v>0.50261</v>
      </c>
      <c r="G99" s="77">
        <v>0.53615000000000002</v>
      </c>
      <c r="H99" s="77">
        <v>0.51868000000000003</v>
      </c>
      <c r="I99" s="77">
        <v>0.54274</v>
      </c>
      <c r="J99" s="77">
        <v>0.49402000000000001</v>
      </c>
      <c r="K99" s="77">
        <v>0.54639000000000004</v>
      </c>
      <c r="L99" s="77">
        <v>0.54144000000000003</v>
      </c>
      <c r="M99" s="77">
        <v>0.56303000000000003</v>
      </c>
      <c r="N99" s="77">
        <v>0.56894999999999996</v>
      </c>
      <c r="O99" s="77">
        <v>0.49889</v>
      </c>
      <c r="P99" s="77">
        <v>0.47645999999999999</v>
      </c>
      <c r="Q99" s="77">
        <v>0.45981</v>
      </c>
      <c r="R99" s="77">
        <v>0.51005999999999996</v>
      </c>
      <c r="T99">
        <v>497</v>
      </c>
      <c r="U99">
        <f t="shared" si="16"/>
        <v>1.1997599999999999</v>
      </c>
      <c r="V99">
        <f t="shared" si="17"/>
        <v>0.86246</v>
      </c>
      <c r="W99">
        <f t="shared" si="18"/>
        <v>1.3146599999999999</v>
      </c>
      <c r="X99">
        <f t="shared" si="19"/>
        <v>1.00522</v>
      </c>
      <c r="Y99">
        <f t="shared" si="20"/>
        <v>1.0723</v>
      </c>
      <c r="Z99">
        <f t="shared" si="21"/>
        <v>1.0373600000000001</v>
      </c>
      <c r="AA99">
        <f t="shared" si="22"/>
        <v>1.08548</v>
      </c>
      <c r="AB99">
        <f t="shared" si="23"/>
        <v>0.98804000000000003</v>
      </c>
      <c r="AC99">
        <f t="shared" si="24"/>
        <v>1.0927800000000001</v>
      </c>
      <c r="AD99">
        <f t="shared" si="25"/>
        <v>1.0828800000000001</v>
      </c>
      <c r="AE99">
        <f t="shared" si="26"/>
        <v>1.1260600000000001</v>
      </c>
      <c r="AF99">
        <f t="shared" si="27"/>
        <v>1.1378999999999999</v>
      </c>
      <c r="AG99">
        <f t="shared" si="28"/>
        <v>0.99778</v>
      </c>
      <c r="AH99">
        <f t="shared" si="29"/>
        <v>0.95291999999999999</v>
      </c>
      <c r="AI99">
        <f t="shared" si="30"/>
        <v>0.91961999999999999</v>
      </c>
      <c r="AJ99">
        <f t="shared" si="31"/>
        <v>1.0201199999999999</v>
      </c>
      <c r="EC99">
        <v>497</v>
      </c>
      <c r="ED99">
        <v>1.1997599999999999</v>
      </c>
      <c r="EE99">
        <v>0.86246</v>
      </c>
      <c r="EF99">
        <v>1.3146599999999999</v>
      </c>
      <c r="EG99">
        <v>1.00522</v>
      </c>
      <c r="EH99">
        <v>1.0723</v>
      </c>
      <c r="EI99">
        <v>1.0373600000000001</v>
      </c>
      <c r="EJ99">
        <v>1.08548</v>
      </c>
      <c r="EK99">
        <v>0.98804000000000003</v>
      </c>
      <c r="EL99">
        <v>1.0927800000000001</v>
      </c>
      <c r="EM99">
        <v>1.0828800000000001</v>
      </c>
      <c r="EN99">
        <v>1.1260600000000001</v>
      </c>
      <c r="EO99">
        <v>1.1378999999999999</v>
      </c>
      <c r="EP99">
        <v>0.99778</v>
      </c>
      <c r="EQ99">
        <v>0.95291999999999999</v>
      </c>
      <c r="ER99">
        <v>0.91961999999999999</v>
      </c>
      <c r="ES99">
        <v>1.0201199999999999</v>
      </c>
    </row>
    <row r="100" spans="1:149" x14ac:dyDescent="0.35">
      <c r="A100" s="77"/>
      <c r="B100" s="77">
        <v>498</v>
      </c>
      <c r="C100" s="77">
        <v>0.59879000000000004</v>
      </c>
      <c r="D100" s="77">
        <v>0.4304</v>
      </c>
      <c r="E100" s="77">
        <v>0.65612999999999999</v>
      </c>
      <c r="F100" s="77">
        <v>0.50168999999999997</v>
      </c>
      <c r="G100" s="77">
        <v>0.53561000000000003</v>
      </c>
      <c r="H100" s="77">
        <v>0.51795999999999998</v>
      </c>
      <c r="I100" s="77">
        <v>0.54213999999999996</v>
      </c>
      <c r="J100" s="77">
        <v>0.49353000000000002</v>
      </c>
      <c r="K100" s="77">
        <v>0.54573000000000005</v>
      </c>
      <c r="L100" s="77">
        <v>0.54086000000000001</v>
      </c>
      <c r="M100" s="77">
        <v>0.56225999999999998</v>
      </c>
      <c r="N100" s="77">
        <v>0.56830000000000003</v>
      </c>
      <c r="O100" s="77">
        <v>0.49823000000000001</v>
      </c>
      <c r="P100" s="77">
        <v>0.47588999999999998</v>
      </c>
      <c r="Q100" s="77">
        <v>0.45923000000000003</v>
      </c>
      <c r="R100" s="77">
        <v>0.50944999999999996</v>
      </c>
      <c r="T100">
        <v>498</v>
      </c>
      <c r="U100">
        <f t="shared" si="16"/>
        <v>1.1975800000000001</v>
      </c>
      <c r="V100">
        <f t="shared" si="17"/>
        <v>0.86080000000000001</v>
      </c>
      <c r="W100">
        <f t="shared" si="18"/>
        <v>1.31226</v>
      </c>
      <c r="X100">
        <f t="shared" si="19"/>
        <v>1.0033799999999999</v>
      </c>
      <c r="Y100">
        <f t="shared" si="20"/>
        <v>1.0712200000000001</v>
      </c>
      <c r="Z100">
        <f t="shared" si="21"/>
        <v>1.03592</v>
      </c>
      <c r="AA100">
        <f t="shared" si="22"/>
        <v>1.0842799999999999</v>
      </c>
      <c r="AB100">
        <f t="shared" si="23"/>
        <v>0.98706000000000005</v>
      </c>
      <c r="AC100">
        <f t="shared" si="24"/>
        <v>1.0914600000000001</v>
      </c>
      <c r="AD100">
        <f t="shared" si="25"/>
        <v>1.08172</v>
      </c>
      <c r="AE100">
        <f t="shared" si="26"/>
        <v>1.12452</v>
      </c>
      <c r="AF100">
        <f t="shared" si="27"/>
        <v>1.1366000000000001</v>
      </c>
      <c r="AG100">
        <f t="shared" si="28"/>
        <v>0.99646000000000001</v>
      </c>
      <c r="AH100">
        <f t="shared" si="29"/>
        <v>0.95177999999999996</v>
      </c>
      <c r="AI100">
        <f t="shared" si="30"/>
        <v>0.91846000000000005</v>
      </c>
      <c r="AJ100">
        <f t="shared" si="31"/>
        <v>1.0188999999999999</v>
      </c>
      <c r="EC100">
        <v>498</v>
      </c>
      <c r="ED100">
        <v>1.1975800000000001</v>
      </c>
      <c r="EE100">
        <v>0.86080000000000001</v>
      </c>
      <c r="EF100">
        <v>1.31226</v>
      </c>
      <c r="EG100">
        <v>1.0033799999999999</v>
      </c>
      <c r="EH100">
        <v>1.0712200000000001</v>
      </c>
      <c r="EI100">
        <v>1.03592</v>
      </c>
      <c r="EJ100">
        <v>1.0842799999999999</v>
      </c>
      <c r="EK100">
        <v>0.98706000000000005</v>
      </c>
      <c r="EL100">
        <v>1.0914600000000001</v>
      </c>
      <c r="EM100">
        <v>1.08172</v>
      </c>
      <c r="EN100">
        <v>1.12452</v>
      </c>
      <c r="EO100">
        <v>1.1366000000000001</v>
      </c>
      <c r="EP100">
        <v>0.99646000000000001</v>
      </c>
      <c r="EQ100">
        <v>0.95177999999999996</v>
      </c>
      <c r="ER100">
        <v>0.91846000000000005</v>
      </c>
      <c r="ES100">
        <v>1.0188999999999999</v>
      </c>
    </row>
    <row r="101" spans="1:149" x14ac:dyDescent="0.35">
      <c r="A101" s="77"/>
      <c r="B101" s="77">
        <v>499</v>
      </c>
      <c r="C101" s="77">
        <v>0.59741</v>
      </c>
      <c r="D101" s="77">
        <v>0.42943999999999999</v>
      </c>
      <c r="E101" s="77">
        <v>0.65436000000000005</v>
      </c>
      <c r="F101" s="77">
        <v>0.50055000000000005</v>
      </c>
      <c r="G101" s="77">
        <v>0.53493000000000002</v>
      </c>
      <c r="H101" s="77">
        <v>0.51707000000000003</v>
      </c>
      <c r="I101" s="77">
        <v>0.54124000000000005</v>
      </c>
      <c r="J101" s="77">
        <v>0.49276999999999999</v>
      </c>
      <c r="K101" s="77">
        <v>0.54495000000000005</v>
      </c>
      <c r="L101" s="77">
        <v>0.54003999999999996</v>
      </c>
      <c r="M101" s="77">
        <v>0.56142999999999998</v>
      </c>
      <c r="N101" s="77">
        <v>0.56754000000000004</v>
      </c>
      <c r="O101" s="77">
        <v>0.49753999999999998</v>
      </c>
      <c r="P101" s="77">
        <v>0.47533999999999998</v>
      </c>
      <c r="Q101" s="77">
        <v>0.45854</v>
      </c>
      <c r="R101" s="77">
        <v>0.50873999999999997</v>
      </c>
      <c r="T101">
        <v>499</v>
      </c>
      <c r="U101">
        <f t="shared" si="16"/>
        <v>1.19482</v>
      </c>
      <c r="V101">
        <f t="shared" si="17"/>
        <v>0.85887999999999998</v>
      </c>
      <c r="W101">
        <f t="shared" si="18"/>
        <v>1.3087200000000001</v>
      </c>
      <c r="X101">
        <f t="shared" si="19"/>
        <v>1.0011000000000001</v>
      </c>
      <c r="Y101">
        <f t="shared" si="20"/>
        <v>1.06986</v>
      </c>
      <c r="Z101">
        <f t="shared" si="21"/>
        <v>1.0341400000000001</v>
      </c>
      <c r="AA101">
        <f t="shared" si="22"/>
        <v>1.0824800000000001</v>
      </c>
      <c r="AB101">
        <f t="shared" si="23"/>
        <v>0.98553999999999997</v>
      </c>
      <c r="AC101">
        <f t="shared" si="24"/>
        <v>1.0899000000000001</v>
      </c>
      <c r="AD101">
        <f t="shared" si="25"/>
        <v>1.0800799999999999</v>
      </c>
      <c r="AE101">
        <f t="shared" si="26"/>
        <v>1.12286</v>
      </c>
      <c r="AF101">
        <f t="shared" si="27"/>
        <v>1.1350800000000001</v>
      </c>
      <c r="AG101">
        <f t="shared" si="28"/>
        <v>0.99507999999999996</v>
      </c>
      <c r="AH101">
        <f t="shared" si="29"/>
        <v>0.95067999999999997</v>
      </c>
      <c r="AI101">
        <f t="shared" si="30"/>
        <v>0.91708000000000001</v>
      </c>
      <c r="AJ101">
        <f t="shared" si="31"/>
        <v>1.0174799999999999</v>
      </c>
      <c r="EC101">
        <v>499</v>
      </c>
      <c r="ED101">
        <v>1.19482</v>
      </c>
      <c r="EE101">
        <v>0.85887999999999998</v>
      </c>
      <c r="EF101">
        <v>1.3087200000000001</v>
      </c>
      <c r="EG101">
        <v>1.0011000000000001</v>
      </c>
      <c r="EH101">
        <v>1.06986</v>
      </c>
      <c r="EI101">
        <v>1.0341400000000001</v>
      </c>
      <c r="EJ101">
        <v>1.0824800000000001</v>
      </c>
      <c r="EK101">
        <v>0.98553999999999997</v>
      </c>
      <c r="EL101">
        <v>1.0899000000000001</v>
      </c>
      <c r="EM101">
        <v>1.0800799999999999</v>
      </c>
      <c r="EN101">
        <v>1.12286</v>
      </c>
      <c r="EO101">
        <v>1.1350800000000001</v>
      </c>
      <c r="EP101">
        <v>0.99507999999999996</v>
      </c>
      <c r="EQ101">
        <v>0.95067999999999997</v>
      </c>
      <c r="ER101">
        <v>0.91708000000000001</v>
      </c>
      <c r="ES101">
        <v>1.0174799999999999</v>
      </c>
    </row>
    <row r="102" spans="1:149" x14ac:dyDescent="0.35">
      <c r="A102" s="77"/>
      <c r="B102" s="77">
        <v>500</v>
      </c>
      <c r="C102" s="77">
        <v>0.59585999999999995</v>
      </c>
      <c r="D102" s="77">
        <v>0.42830000000000001</v>
      </c>
      <c r="E102" s="77">
        <v>0.65268000000000004</v>
      </c>
      <c r="F102" s="77">
        <v>0.49933</v>
      </c>
      <c r="G102" s="77">
        <v>0.53410000000000002</v>
      </c>
      <c r="H102" s="77">
        <v>0.51637</v>
      </c>
      <c r="I102" s="77">
        <v>0.54042000000000001</v>
      </c>
      <c r="J102" s="77">
        <v>0.49215999999999999</v>
      </c>
      <c r="K102" s="77">
        <v>0.54422000000000004</v>
      </c>
      <c r="L102" s="77">
        <v>0.53939999999999999</v>
      </c>
      <c r="M102" s="77">
        <v>0.56055999999999995</v>
      </c>
      <c r="N102" s="77">
        <v>0.56669999999999998</v>
      </c>
      <c r="O102" s="77">
        <v>0.49678</v>
      </c>
      <c r="P102" s="77">
        <v>0.47460999999999998</v>
      </c>
      <c r="Q102" s="77">
        <v>0.45795999999999998</v>
      </c>
      <c r="R102" s="77">
        <v>0.50797999999999999</v>
      </c>
      <c r="T102">
        <v>500</v>
      </c>
      <c r="U102">
        <f t="shared" si="16"/>
        <v>1.1917199999999999</v>
      </c>
      <c r="V102">
        <f t="shared" si="17"/>
        <v>0.85660000000000003</v>
      </c>
      <c r="W102">
        <f t="shared" si="18"/>
        <v>1.3053600000000001</v>
      </c>
      <c r="X102">
        <f t="shared" si="19"/>
        <v>0.99865999999999999</v>
      </c>
      <c r="Y102">
        <f t="shared" si="20"/>
        <v>1.0682</v>
      </c>
      <c r="Z102">
        <f t="shared" si="21"/>
        <v>1.03274</v>
      </c>
      <c r="AA102">
        <f t="shared" si="22"/>
        <v>1.08084</v>
      </c>
      <c r="AB102">
        <f t="shared" si="23"/>
        <v>0.98431999999999997</v>
      </c>
      <c r="AC102">
        <f t="shared" si="24"/>
        <v>1.0884400000000001</v>
      </c>
      <c r="AD102">
        <f t="shared" si="25"/>
        <v>1.0788</v>
      </c>
      <c r="AE102">
        <f t="shared" si="26"/>
        <v>1.1211199999999999</v>
      </c>
      <c r="AF102">
        <f t="shared" si="27"/>
        <v>1.1334</v>
      </c>
      <c r="AG102">
        <f t="shared" si="28"/>
        <v>0.99356</v>
      </c>
      <c r="AH102">
        <f t="shared" si="29"/>
        <v>0.94921999999999995</v>
      </c>
      <c r="AI102">
        <f t="shared" si="30"/>
        <v>0.91591999999999996</v>
      </c>
      <c r="AJ102">
        <f t="shared" si="31"/>
        <v>1.01596</v>
      </c>
      <c r="EC102">
        <v>500</v>
      </c>
      <c r="ED102">
        <v>1.1917199999999999</v>
      </c>
      <c r="EE102">
        <v>0.85660000000000003</v>
      </c>
      <c r="EF102">
        <v>1.3053600000000001</v>
      </c>
      <c r="EG102">
        <v>0.99865999999999999</v>
      </c>
      <c r="EH102">
        <v>1.0682</v>
      </c>
      <c r="EI102">
        <v>1.03274</v>
      </c>
      <c r="EJ102">
        <v>1.08084</v>
      </c>
      <c r="EK102">
        <v>0.98431999999999997</v>
      </c>
      <c r="EL102">
        <v>1.0884400000000001</v>
      </c>
      <c r="EM102">
        <v>1.0788</v>
      </c>
      <c r="EN102">
        <v>1.1211199999999999</v>
      </c>
      <c r="EO102">
        <v>1.1334</v>
      </c>
      <c r="EP102">
        <v>0.99356</v>
      </c>
      <c r="EQ102">
        <v>0.94921999999999995</v>
      </c>
      <c r="ER102">
        <v>0.91591999999999996</v>
      </c>
      <c r="ES102">
        <v>1.01596</v>
      </c>
    </row>
    <row r="103" spans="1:149" x14ac:dyDescent="0.35">
      <c r="A103" s="77"/>
      <c r="B103" s="77">
        <v>501</v>
      </c>
      <c r="C103" s="77">
        <v>0.59433000000000002</v>
      </c>
      <c r="D103" s="77">
        <v>0.42725999999999997</v>
      </c>
      <c r="E103" s="77">
        <v>0.65095999999999998</v>
      </c>
      <c r="F103" s="77">
        <v>0.49808999999999998</v>
      </c>
      <c r="G103" s="77">
        <v>0.53329000000000004</v>
      </c>
      <c r="H103" s="77">
        <v>0.51546000000000003</v>
      </c>
      <c r="I103" s="77">
        <v>0.53959999999999997</v>
      </c>
      <c r="J103" s="77">
        <v>0.49152000000000001</v>
      </c>
      <c r="K103" s="77">
        <v>0.54332000000000003</v>
      </c>
      <c r="L103" s="77">
        <v>0.53864999999999996</v>
      </c>
      <c r="M103" s="77">
        <v>0.55972</v>
      </c>
      <c r="N103" s="77">
        <v>0.56574999999999998</v>
      </c>
      <c r="O103" s="77">
        <v>0.49593999999999999</v>
      </c>
      <c r="P103" s="77">
        <v>0.47382000000000002</v>
      </c>
      <c r="Q103" s="77">
        <v>0.4572</v>
      </c>
      <c r="R103" s="77">
        <v>0.50716000000000006</v>
      </c>
      <c r="T103">
        <v>501</v>
      </c>
      <c r="U103">
        <f t="shared" si="16"/>
        <v>1.18866</v>
      </c>
      <c r="V103">
        <f t="shared" si="17"/>
        <v>0.85451999999999995</v>
      </c>
      <c r="W103">
        <f t="shared" si="18"/>
        <v>1.30192</v>
      </c>
      <c r="X103">
        <f t="shared" si="19"/>
        <v>0.99617999999999995</v>
      </c>
      <c r="Y103">
        <f t="shared" si="20"/>
        <v>1.0665800000000001</v>
      </c>
      <c r="Z103">
        <f t="shared" si="21"/>
        <v>1.0309200000000001</v>
      </c>
      <c r="AA103">
        <f t="shared" si="22"/>
        <v>1.0791999999999999</v>
      </c>
      <c r="AB103">
        <f t="shared" si="23"/>
        <v>0.98304000000000002</v>
      </c>
      <c r="AC103">
        <f t="shared" si="24"/>
        <v>1.0866400000000001</v>
      </c>
      <c r="AD103">
        <f t="shared" si="25"/>
        <v>1.0772999999999999</v>
      </c>
      <c r="AE103">
        <f t="shared" si="26"/>
        <v>1.11944</v>
      </c>
      <c r="AF103">
        <f t="shared" si="27"/>
        <v>1.1315</v>
      </c>
      <c r="AG103">
        <f t="shared" si="28"/>
        <v>0.99187999999999998</v>
      </c>
      <c r="AH103">
        <f t="shared" si="29"/>
        <v>0.94764000000000004</v>
      </c>
      <c r="AI103">
        <f t="shared" si="30"/>
        <v>0.91439999999999999</v>
      </c>
      <c r="AJ103">
        <f t="shared" si="31"/>
        <v>1.0143200000000001</v>
      </c>
      <c r="EC103">
        <v>501</v>
      </c>
      <c r="ED103">
        <v>1.18866</v>
      </c>
      <c r="EE103">
        <v>0.85451999999999995</v>
      </c>
      <c r="EF103">
        <v>1.30192</v>
      </c>
      <c r="EG103">
        <v>0.99617999999999995</v>
      </c>
      <c r="EH103">
        <v>1.0665800000000001</v>
      </c>
      <c r="EI103">
        <v>1.0309200000000001</v>
      </c>
      <c r="EJ103">
        <v>1.0791999999999999</v>
      </c>
      <c r="EK103">
        <v>0.98304000000000002</v>
      </c>
      <c r="EL103">
        <v>1.0866400000000001</v>
      </c>
      <c r="EM103">
        <v>1.0772999999999999</v>
      </c>
      <c r="EN103">
        <v>1.11944</v>
      </c>
      <c r="EO103">
        <v>1.1315</v>
      </c>
      <c r="EP103">
        <v>0.99187999999999998</v>
      </c>
      <c r="EQ103">
        <v>0.94764000000000004</v>
      </c>
      <c r="ER103">
        <v>0.91439999999999999</v>
      </c>
      <c r="ES103">
        <v>1.0143200000000001</v>
      </c>
    </row>
    <row r="104" spans="1:149" x14ac:dyDescent="0.35">
      <c r="A104" s="77"/>
      <c r="B104" s="77">
        <v>502</v>
      </c>
      <c r="C104" s="77">
        <v>0.59272999999999998</v>
      </c>
      <c r="D104" s="77">
        <v>0.42612</v>
      </c>
      <c r="E104" s="77">
        <v>0.64902000000000004</v>
      </c>
      <c r="F104" s="77">
        <v>0.49669999999999997</v>
      </c>
      <c r="G104" s="77">
        <v>0.53239000000000003</v>
      </c>
      <c r="H104" s="77">
        <v>0.51459999999999995</v>
      </c>
      <c r="I104" s="77">
        <v>0.53861999999999999</v>
      </c>
      <c r="J104" s="77">
        <v>0.49074000000000001</v>
      </c>
      <c r="K104" s="77">
        <v>0.54249999999999998</v>
      </c>
      <c r="L104" s="77">
        <v>0.53769999999999996</v>
      </c>
      <c r="M104" s="77">
        <v>0.55881999999999998</v>
      </c>
      <c r="N104" s="77">
        <v>0.56491000000000002</v>
      </c>
      <c r="O104" s="77">
        <v>0.49503999999999998</v>
      </c>
      <c r="P104" s="77">
        <v>0.47283999999999998</v>
      </c>
      <c r="Q104" s="77">
        <v>0.45638000000000001</v>
      </c>
      <c r="R104" s="77">
        <v>0.50617999999999996</v>
      </c>
      <c r="T104">
        <v>502</v>
      </c>
      <c r="U104">
        <f t="shared" si="16"/>
        <v>1.18546</v>
      </c>
      <c r="V104">
        <f t="shared" si="17"/>
        <v>0.85224</v>
      </c>
      <c r="W104">
        <f t="shared" si="18"/>
        <v>1.2980400000000001</v>
      </c>
      <c r="X104">
        <f t="shared" si="19"/>
        <v>0.99339999999999995</v>
      </c>
      <c r="Y104">
        <f t="shared" si="20"/>
        <v>1.0647800000000001</v>
      </c>
      <c r="Z104">
        <f t="shared" si="21"/>
        <v>1.0291999999999999</v>
      </c>
      <c r="AA104">
        <f t="shared" si="22"/>
        <v>1.07724</v>
      </c>
      <c r="AB104">
        <f t="shared" si="23"/>
        <v>0.98148000000000002</v>
      </c>
      <c r="AC104">
        <f t="shared" si="24"/>
        <v>1.085</v>
      </c>
      <c r="AD104">
        <f t="shared" si="25"/>
        <v>1.0753999999999999</v>
      </c>
      <c r="AE104">
        <f t="shared" si="26"/>
        <v>1.11764</v>
      </c>
      <c r="AF104">
        <f t="shared" si="27"/>
        <v>1.12982</v>
      </c>
      <c r="AG104">
        <f t="shared" si="28"/>
        <v>0.99007999999999996</v>
      </c>
      <c r="AH104">
        <f t="shared" si="29"/>
        <v>0.94567999999999997</v>
      </c>
      <c r="AI104">
        <f t="shared" si="30"/>
        <v>0.91276000000000002</v>
      </c>
      <c r="AJ104">
        <f t="shared" si="31"/>
        <v>1.0123599999999999</v>
      </c>
      <c r="EC104">
        <v>502</v>
      </c>
      <c r="ED104">
        <v>1.18546</v>
      </c>
      <c r="EE104">
        <v>0.85224</v>
      </c>
      <c r="EF104">
        <v>1.2980400000000001</v>
      </c>
      <c r="EG104">
        <v>0.99339999999999995</v>
      </c>
      <c r="EH104">
        <v>1.0647800000000001</v>
      </c>
      <c r="EI104">
        <v>1.0291999999999999</v>
      </c>
      <c r="EJ104">
        <v>1.07724</v>
      </c>
      <c r="EK104">
        <v>0.98148000000000002</v>
      </c>
      <c r="EL104">
        <v>1.085</v>
      </c>
      <c r="EM104">
        <v>1.0753999999999999</v>
      </c>
      <c r="EN104">
        <v>1.11764</v>
      </c>
      <c r="EO104">
        <v>1.12982</v>
      </c>
      <c r="EP104">
        <v>0.99007999999999996</v>
      </c>
      <c r="EQ104">
        <v>0.94567999999999997</v>
      </c>
      <c r="ER104">
        <v>0.91276000000000002</v>
      </c>
      <c r="ES104">
        <v>1.0123599999999999</v>
      </c>
    </row>
    <row r="105" spans="1:149" x14ac:dyDescent="0.35">
      <c r="A105" s="77"/>
      <c r="B105" s="77">
        <v>503</v>
      </c>
      <c r="C105" s="77">
        <v>0.59087000000000001</v>
      </c>
      <c r="D105" s="77">
        <v>0.42464000000000002</v>
      </c>
      <c r="E105" s="77">
        <v>0.64673000000000003</v>
      </c>
      <c r="F105" s="77">
        <v>0.49503000000000003</v>
      </c>
      <c r="G105" s="77">
        <v>0.53130999999999995</v>
      </c>
      <c r="H105" s="77">
        <v>0.51334999999999997</v>
      </c>
      <c r="I105" s="77">
        <v>0.53754000000000002</v>
      </c>
      <c r="J105" s="77">
        <v>0.48984</v>
      </c>
      <c r="K105" s="77">
        <v>0.54149000000000003</v>
      </c>
      <c r="L105" s="77">
        <v>0.53676000000000001</v>
      </c>
      <c r="M105" s="77">
        <v>0.55769000000000002</v>
      </c>
      <c r="N105" s="77">
        <v>0.56376999999999999</v>
      </c>
      <c r="O105" s="77">
        <v>0.49406</v>
      </c>
      <c r="P105" s="77">
        <v>0.47203000000000001</v>
      </c>
      <c r="Q105" s="77">
        <v>0.45555000000000001</v>
      </c>
      <c r="R105" s="77">
        <v>0.50527999999999995</v>
      </c>
      <c r="T105">
        <v>503</v>
      </c>
      <c r="U105">
        <f t="shared" si="16"/>
        <v>1.18174</v>
      </c>
      <c r="V105">
        <f t="shared" si="17"/>
        <v>0.84928000000000003</v>
      </c>
      <c r="W105">
        <f t="shared" si="18"/>
        <v>1.2934600000000001</v>
      </c>
      <c r="X105">
        <f t="shared" si="19"/>
        <v>0.99006000000000005</v>
      </c>
      <c r="Y105">
        <f t="shared" si="20"/>
        <v>1.0626199999999999</v>
      </c>
      <c r="Z105">
        <f t="shared" si="21"/>
        <v>1.0266999999999999</v>
      </c>
      <c r="AA105">
        <f t="shared" si="22"/>
        <v>1.07508</v>
      </c>
      <c r="AB105">
        <f t="shared" si="23"/>
        <v>0.97968</v>
      </c>
      <c r="AC105">
        <f t="shared" si="24"/>
        <v>1.0829800000000001</v>
      </c>
      <c r="AD105">
        <f t="shared" si="25"/>
        <v>1.07352</v>
      </c>
      <c r="AE105">
        <f t="shared" si="26"/>
        <v>1.11538</v>
      </c>
      <c r="AF105">
        <f t="shared" si="27"/>
        <v>1.12754</v>
      </c>
      <c r="AG105">
        <f t="shared" si="28"/>
        <v>0.98812</v>
      </c>
      <c r="AH105">
        <f t="shared" si="29"/>
        <v>0.94406000000000001</v>
      </c>
      <c r="AI105">
        <f t="shared" si="30"/>
        <v>0.91110000000000002</v>
      </c>
      <c r="AJ105">
        <f t="shared" si="31"/>
        <v>1.0105599999999999</v>
      </c>
      <c r="EC105">
        <v>503</v>
      </c>
      <c r="ED105">
        <v>1.18174</v>
      </c>
      <c r="EE105">
        <v>0.84928000000000003</v>
      </c>
      <c r="EF105">
        <v>1.2934600000000001</v>
      </c>
      <c r="EG105">
        <v>0.99006000000000005</v>
      </c>
      <c r="EH105">
        <v>1.0626199999999999</v>
      </c>
      <c r="EI105">
        <v>1.0266999999999999</v>
      </c>
      <c r="EJ105">
        <v>1.07508</v>
      </c>
      <c r="EK105">
        <v>0.97968</v>
      </c>
      <c r="EL105">
        <v>1.0829800000000001</v>
      </c>
      <c r="EM105">
        <v>1.07352</v>
      </c>
      <c r="EN105">
        <v>1.11538</v>
      </c>
      <c r="EO105">
        <v>1.12754</v>
      </c>
      <c r="EP105">
        <v>0.98812</v>
      </c>
      <c r="EQ105">
        <v>0.94406000000000001</v>
      </c>
      <c r="ER105">
        <v>0.91110000000000002</v>
      </c>
      <c r="ES105">
        <v>1.0105599999999999</v>
      </c>
    </row>
    <row r="106" spans="1:149" x14ac:dyDescent="0.35">
      <c r="A106" s="77"/>
      <c r="B106" s="77">
        <v>504</v>
      </c>
      <c r="C106" s="77">
        <v>0.58875999999999995</v>
      </c>
      <c r="D106" s="77">
        <v>0.42313000000000001</v>
      </c>
      <c r="E106" s="77">
        <v>0.64441999999999999</v>
      </c>
      <c r="F106" s="77">
        <v>0.49325999999999998</v>
      </c>
      <c r="G106" s="77">
        <v>0.53025999999999995</v>
      </c>
      <c r="H106" s="77">
        <v>0.51221000000000005</v>
      </c>
      <c r="I106" s="77">
        <v>0.53634999999999999</v>
      </c>
      <c r="J106" s="77">
        <v>0.48885000000000001</v>
      </c>
      <c r="K106" s="77">
        <v>0.54037000000000002</v>
      </c>
      <c r="L106" s="77">
        <v>0.53571999999999997</v>
      </c>
      <c r="M106" s="77">
        <v>0.55657999999999996</v>
      </c>
      <c r="N106" s="77">
        <v>0.56261000000000005</v>
      </c>
      <c r="O106" s="77">
        <v>0.49306</v>
      </c>
      <c r="P106" s="77">
        <v>0.47110000000000002</v>
      </c>
      <c r="Q106" s="77">
        <v>0.45456000000000002</v>
      </c>
      <c r="R106" s="77">
        <v>0.50426000000000004</v>
      </c>
      <c r="T106">
        <v>504</v>
      </c>
      <c r="U106">
        <f t="shared" si="16"/>
        <v>1.1775199999999999</v>
      </c>
      <c r="V106">
        <f t="shared" si="17"/>
        <v>0.84626000000000001</v>
      </c>
      <c r="W106">
        <f t="shared" si="18"/>
        <v>1.28884</v>
      </c>
      <c r="X106">
        <f t="shared" si="19"/>
        <v>0.98651999999999995</v>
      </c>
      <c r="Y106">
        <f t="shared" si="20"/>
        <v>1.0605199999999999</v>
      </c>
      <c r="Z106">
        <f t="shared" si="21"/>
        <v>1.0244200000000001</v>
      </c>
      <c r="AA106">
        <f t="shared" si="22"/>
        <v>1.0727</v>
      </c>
      <c r="AB106">
        <f t="shared" si="23"/>
        <v>0.97770000000000001</v>
      </c>
      <c r="AC106">
        <f t="shared" si="24"/>
        <v>1.08074</v>
      </c>
      <c r="AD106">
        <f t="shared" si="25"/>
        <v>1.0714399999999999</v>
      </c>
      <c r="AE106">
        <f t="shared" si="26"/>
        <v>1.1131599999999999</v>
      </c>
      <c r="AF106">
        <f t="shared" si="27"/>
        <v>1.1252200000000001</v>
      </c>
      <c r="AG106">
        <f t="shared" si="28"/>
        <v>0.98612</v>
      </c>
      <c r="AH106">
        <f t="shared" si="29"/>
        <v>0.94220000000000004</v>
      </c>
      <c r="AI106">
        <f t="shared" si="30"/>
        <v>0.90912000000000004</v>
      </c>
      <c r="AJ106">
        <f t="shared" si="31"/>
        <v>1.0085200000000001</v>
      </c>
      <c r="EC106">
        <v>504</v>
      </c>
      <c r="ED106">
        <v>1.1775199999999999</v>
      </c>
      <c r="EE106">
        <v>0.84626000000000001</v>
      </c>
      <c r="EF106">
        <v>1.28884</v>
      </c>
      <c r="EG106">
        <v>0.98651999999999995</v>
      </c>
      <c r="EH106">
        <v>1.0605199999999999</v>
      </c>
      <c r="EI106">
        <v>1.0244200000000001</v>
      </c>
      <c r="EJ106">
        <v>1.0727</v>
      </c>
      <c r="EK106">
        <v>0.97770000000000001</v>
      </c>
      <c r="EL106">
        <v>1.08074</v>
      </c>
      <c r="EM106">
        <v>1.0714399999999999</v>
      </c>
      <c r="EN106">
        <v>1.1131599999999999</v>
      </c>
      <c r="EO106">
        <v>1.1252200000000001</v>
      </c>
      <c r="EP106">
        <v>0.98612</v>
      </c>
      <c r="EQ106">
        <v>0.94220000000000004</v>
      </c>
      <c r="ER106">
        <v>0.90912000000000004</v>
      </c>
      <c r="ES106">
        <v>1.0085200000000001</v>
      </c>
    </row>
    <row r="107" spans="1:149" x14ac:dyDescent="0.35">
      <c r="A107" s="77"/>
      <c r="B107" s="77">
        <v>505</v>
      </c>
      <c r="C107" s="77">
        <v>0.58653</v>
      </c>
      <c r="D107" s="77">
        <v>0.42142000000000002</v>
      </c>
      <c r="E107" s="77">
        <v>0.64190999999999998</v>
      </c>
      <c r="F107" s="77">
        <v>0.49135000000000001</v>
      </c>
      <c r="G107" s="77">
        <v>0.52898000000000001</v>
      </c>
      <c r="H107" s="77">
        <v>0.51105999999999996</v>
      </c>
      <c r="I107" s="77">
        <v>0.53510999999999997</v>
      </c>
      <c r="J107" s="77">
        <v>0.48771999999999999</v>
      </c>
      <c r="K107" s="77">
        <v>0.53908999999999996</v>
      </c>
      <c r="L107" s="77">
        <v>0.53461999999999998</v>
      </c>
      <c r="M107" s="77">
        <v>0.55532999999999999</v>
      </c>
      <c r="N107" s="77">
        <v>0.56157000000000001</v>
      </c>
      <c r="O107" s="77">
        <v>0.49210999999999999</v>
      </c>
      <c r="P107" s="77">
        <v>0.47022999999999998</v>
      </c>
      <c r="Q107" s="77">
        <v>0.45356999999999997</v>
      </c>
      <c r="R107" s="77">
        <v>0.50317000000000001</v>
      </c>
      <c r="T107">
        <v>505</v>
      </c>
      <c r="U107">
        <f t="shared" si="16"/>
        <v>1.17306</v>
      </c>
      <c r="V107">
        <f t="shared" si="17"/>
        <v>0.84284000000000003</v>
      </c>
      <c r="W107">
        <f t="shared" si="18"/>
        <v>1.28382</v>
      </c>
      <c r="X107">
        <f t="shared" si="19"/>
        <v>0.98270000000000002</v>
      </c>
      <c r="Y107">
        <f t="shared" si="20"/>
        <v>1.05796</v>
      </c>
      <c r="Z107">
        <f t="shared" si="21"/>
        <v>1.0221199999999999</v>
      </c>
      <c r="AA107">
        <f t="shared" si="22"/>
        <v>1.0702199999999999</v>
      </c>
      <c r="AB107">
        <f t="shared" si="23"/>
        <v>0.97543999999999997</v>
      </c>
      <c r="AC107">
        <f t="shared" si="24"/>
        <v>1.0781799999999999</v>
      </c>
      <c r="AD107">
        <f t="shared" si="25"/>
        <v>1.06924</v>
      </c>
      <c r="AE107">
        <f t="shared" si="26"/>
        <v>1.11066</v>
      </c>
      <c r="AF107">
        <f t="shared" si="27"/>
        <v>1.12314</v>
      </c>
      <c r="AG107">
        <f t="shared" si="28"/>
        <v>0.98421999999999998</v>
      </c>
      <c r="AH107">
        <f t="shared" si="29"/>
        <v>0.94045999999999996</v>
      </c>
      <c r="AI107">
        <f t="shared" si="30"/>
        <v>0.90713999999999995</v>
      </c>
      <c r="AJ107">
        <f t="shared" si="31"/>
        <v>1.00634</v>
      </c>
      <c r="EC107">
        <v>505</v>
      </c>
      <c r="ED107">
        <v>1.17306</v>
      </c>
      <c r="EE107">
        <v>0.84284000000000003</v>
      </c>
      <c r="EF107">
        <v>1.28382</v>
      </c>
      <c r="EG107">
        <v>0.98270000000000002</v>
      </c>
      <c r="EH107">
        <v>1.05796</v>
      </c>
      <c r="EI107">
        <v>1.0221199999999999</v>
      </c>
      <c r="EJ107">
        <v>1.0702199999999999</v>
      </c>
      <c r="EK107">
        <v>0.97543999999999997</v>
      </c>
      <c r="EL107">
        <v>1.0781799999999999</v>
      </c>
      <c r="EM107">
        <v>1.06924</v>
      </c>
      <c r="EN107">
        <v>1.11066</v>
      </c>
      <c r="EO107">
        <v>1.12314</v>
      </c>
      <c r="EP107">
        <v>0.98421999999999998</v>
      </c>
      <c r="EQ107">
        <v>0.94045999999999996</v>
      </c>
      <c r="ER107">
        <v>0.90713999999999995</v>
      </c>
      <c r="ES107">
        <v>1.00634</v>
      </c>
    </row>
    <row r="108" spans="1:149" x14ac:dyDescent="0.35">
      <c r="A108" s="77"/>
      <c r="B108" s="77">
        <v>506</v>
      </c>
      <c r="C108" s="77">
        <v>0.58420000000000005</v>
      </c>
      <c r="D108" s="77">
        <v>0.41982000000000003</v>
      </c>
      <c r="E108" s="77">
        <v>0.63922000000000001</v>
      </c>
      <c r="F108" s="77">
        <v>0.48943999999999999</v>
      </c>
      <c r="G108" s="77">
        <v>0.52785000000000004</v>
      </c>
      <c r="H108" s="77">
        <v>0.50978000000000001</v>
      </c>
      <c r="I108" s="77">
        <v>0.53374999999999995</v>
      </c>
      <c r="J108" s="77">
        <v>0.48663000000000001</v>
      </c>
      <c r="K108" s="77">
        <v>0.53795000000000004</v>
      </c>
      <c r="L108" s="77">
        <v>0.53342999999999996</v>
      </c>
      <c r="M108" s="77">
        <v>0.55413999999999997</v>
      </c>
      <c r="N108" s="77">
        <v>0.56039000000000005</v>
      </c>
      <c r="O108" s="77">
        <v>0.49101</v>
      </c>
      <c r="P108" s="77">
        <v>0.46923999999999999</v>
      </c>
      <c r="Q108" s="77">
        <v>0.45273999999999998</v>
      </c>
      <c r="R108" s="77">
        <v>0.50217000000000001</v>
      </c>
      <c r="T108">
        <v>506</v>
      </c>
      <c r="U108">
        <f t="shared" si="16"/>
        <v>1.1684000000000001</v>
      </c>
      <c r="V108">
        <f t="shared" si="17"/>
        <v>0.83964000000000005</v>
      </c>
      <c r="W108">
        <f t="shared" si="18"/>
        <v>1.27844</v>
      </c>
      <c r="X108">
        <f t="shared" si="19"/>
        <v>0.97887999999999997</v>
      </c>
      <c r="Y108">
        <f t="shared" si="20"/>
        <v>1.0557000000000001</v>
      </c>
      <c r="Z108">
        <f t="shared" si="21"/>
        <v>1.01956</v>
      </c>
      <c r="AA108">
        <f t="shared" si="22"/>
        <v>1.0674999999999999</v>
      </c>
      <c r="AB108">
        <f t="shared" si="23"/>
        <v>0.97326000000000001</v>
      </c>
      <c r="AC108">
        <f t="shared" si="24"/>
        <v>1.0759000000000001</v>
      </c>
      <c r="AD108">
        <f t="shared" si="25"/>
        <v>1.0668599999999999</v>
      </c>
      <c r="AE108">
        <f t="shared" si="26"/>
        <v>1.1082799999999999</v>
      </c>
      <c r="AF108">
        <f t="shared" si="27"/>
        <v>1.1207800000000001</v>
      </c>
      <c r="AG108">
        <f t="shared" si="28"/>
        <v>0.98202</v>
      </c>
      <c r="AH108">
        <f t="shared" si="29"/>
        <v>0.93847999999999998</v>
      </c>
      <c r="AI108">
        <f t="shared" si="30"/>
        <v>0.90547999999999995</v>
      </c>
      <c r="AJ108">
        <f t="shared" si="31"/>
        <v>1.00434</v>
      </c>
      <c r="EC108">
        <v>506</v>
      </c>
      <c r="ED108">
        <v>1.1684000000000001</v>
      </c>
      <c r="EE108">
        <v>0.83964000000000005</v>
      </c>
      <c r="EF108">
        <v>1.27844</v>
      </c>
      <c r="EG108">
        <v>0.97887999999999997</v>
      </c>
      <c r="EH108">
        <v>1.0557000000000001</v>
      </c>
      <c r="EI108">
        <v>1.01956</v>
      </c>
      <c r="EJ108">
        <v>1.0674999999999999</v>
      </c>
      <c r="EK108">
        <v>0.97326000000000001</v>
      </c>
      <c r="EL108">
        <v>1.0759000000000001</v>
      </c>
      <c r="EM108">
        <v>1.0668599999999999</v>
      </c>
      <c r="EN108">
        <v>1.1082799999999999</v>
      </c>
      <c r="EO108">
        <v>1.1207800000000001</v>
      </c>
      <c r="EP108">
        <v>0.98202</v>
      </c>
      <c r="EQ108">
        <v>0.93847999999999998</v>
      </c>
      <c r="ER108">
        <v>0.90547999999999995</v>
      </c>
      <c r="ES108">
        <v>1.00434</v>
      </c>
    </row>
    <row r="109" spans="1:149" x14ac:dyDescent="0.35">
      <c r="A109" s="77"/>
      <c r="B109" s="77">
        <v>507</v>
      </c>
      <c r="C109" s="77">
        <v>0.58186000000000004</v>
      </c>
      <c r="D109" s="77">
        <v>0.41803000000000001</v>
      </c>
      <c r="E109" s="77">
        <v>0.63646999999999998</v>
      </c>
      <c r="F109" s="77">
        <v>0.48731999999999998</v>
      </c>
      <c r="G109" s="77">
        <v>0.52642999999999995</v>
      </c>
      <c r="H109" s="77">
        <v>0.50838000000000005</v>
      </c>
      <c r="I109" s="77">
        <v>0.53239000000000003</v>
      </c>
      <c r="J109" s="77">
        <v>0.48564000000000002</v>
      </c>
      <c r="K109" s="77">
        <v>0.53657999999999995</v>
      </c>
      <c r="L109" s="77">
        <v>0.53232000000000002</v>
      </c>
      <c r="M109" s="77">
        <v>0.55276000000000003</v>
      </c>
      <c r="N109" s="77">
        <v>0.55903999999999998</v>
      </c>
      <c r="O109" s="77">
        <v>0.48977999999999999</v>
      </c>
      <c r="P109" s="77">
        <v>0.46805999999999998</v>
      </c>
      <c r="Q109" s="77">
        <v>0.45168000000000003</v>
      </c>
      <c r="R109" s="77">
        <v>0.50102000000000002</v>
      </c>
      <c r="T109">
        <v>507</v>
      </c>
      <c r="U109">
        <f t="shared" si="16"/>
        <v>1.1637200000000001</v>
      </c>
      <c r="V109">
        <f t="shared" si="17"/>
        <v>0.83606000000000003</v>
      </c>
      <c r="W109">
        <f t="shared" si="18"/>
        <v>1.27294</v>
      </c>
      <c r="X109">
        <f t="shared" si="19"/>
        <v>0.97463999999999995</v>
      </c>
      <c r="Y109">
        <f t="shared" si="20"/>
        <v>1.0528599999999999</v>
      </c>
      <c r="Z109">
        <f t="shared" si="21"/>
        <v>1.0167600000000001</v>
      </c>
      <c r="AA109">
        <f t="shared" si="22"/>
        <v>1.0647800000000001</v>
      </c>
      <c r="AB109">
        <f t="shared" si="23"/>
        <v>0.97128000000000003</v>
      </c>
      <c r="AC109">
        <f t="shared" si="24"/>
        <v>1.0731599999999999</v>
      </c>
      <c r="AD109">
        <f t="shared" si="25"/>
        <v>1.06464</v>
      </c>
      <c r="AE109">
        <f t="shared" si="26"/>
        <v>1.1055200000000001</v>
      </c>
      <c r="AF109">
        <f t="shared" si="27"/>
        <v>1.11808</v>
      </c>
      <c r="AG109">
        <f t="shared" si="28"/>
        <v>0.97955999999999999</v>
      </c>
      <c r="AH109">
        <f t="shared" si="29"/>
        <v>0.93611999999999995</v>
      </c>
      <c r="AI109">
        <f t="shared" si="30"/>
        <v>0.90336000000000005</v>
      </c>
      <c r="AJ109">
        <f t="shared" si="31"/>
        <v>1.00204</v>
      </c>
      <c r="EC109">
        <v>507</v>
      </c>
      <c r="ED109">
        <v>1.1637200000000001</v>
      </c>
      <c r="EE109">
        <v>0.83606000000000003</v>
      </c>
      <c r="EF109">
        <v>1.27294</v>
      </c>
      <c r="EG109">
        <v>0.97463999999999995</v>
      </c>
      <c r="EH109">
        <v>1.0528599999999999</v>
      </c>
      <c r="EI109">
        <v>1.0167600000000001</v>
      </c>
      <c r="EJ109">
        <v>1.0647800000000001</v>
      </c>
      <c r="EK109">
        <v>0.97128000000000003</v>
      </c>
      <c r="EL109">
        <v>1.0731599999999999</v>
      </c>
      <c r="EM109">
        <v>1.06464</v>
      </c>
      <c r="EN109">
        <v>1.1055200000000001</v>
      </c>
      <c r="EO109">
        <v>1.11808</v>
      </c>
      <c r="EP109">
        <v>0.97955999999999999</v>
      </c>
      <c r="EQ109">
        <v>0.93611999999999995</v>
      </c>
      <c r="ER109">
        <v>0.90336000000000005</v>
      </c>
      <c r="ES109">
        <v>1.00204</v>
      </c>
    </row>
    <row r="110" spans="1:149" x14ac:dyDescent="0.35">
      <c r="A110" s="77"/>
      <c r="B110" s="77">
        <v>508</v>
      </c>
      <c r="C110" s="77">
        <v>0.57933000000000001</v>
      </c>
      <c r="D110" s="77">
        <v>0.41617999999999999</v>
      </c>
      <c r="E110" s="77">
        <v>0.63373000000000002</v>
      </c>
      <c r="F110" s="77">
        <v>0.48520000000000002</v>
      </c>
      <c r="G110" s="77">
        <v>0.52502000000000004</v>
      </c>
      <c r="H110" s="77">
        <v>0.50702000000000003</v>
      </c>
      <c r="I110" s="77">
        <v>0.53110000000000002</v>
      </c>
      <c r="J110" s="77">
        <v>0.48453000000000002</v>
      </c>
      <c r="K110" s="77">
        <v>0.53532000000000002</v>
      </c>
      <c r="L110" s="77">
        <v>0.53102000000000005</v>
      </c>
      <c r="M110" s="77">
        <v>0.55144000000000004</v>
      </c>
      <c r="N110" s="77">
        <v>0.55771999999999999</v>
      </c>
      <c r="O110" s="77">
        <v>0.48875000000000002</v>
      </c>
      <c r="P110" s="77">
        <v>0.46700000000000003</v>
      </c>
      <c r="Q110" s="77">
        <v>0.45078000000000001</v>
      </c>
      <c r="R110" s="77">
        <v>0.49985000000000002</v>
      </c>
      <c r="T110">
        <v>508</v>
      </c>
      <c r="U110">
        <f t="shared" si="16"/>
        <v>1.15866</v>
      </c>
      <c r="V110">
        <f t="shared" si="17"/>
        <v>0.83235999999999999</v>
      </c>
      <c r="W110">
        <f t="shared" si="18"/>
        <v>1.26746</v>
      </c>
      <c r="X110">
        <f t="shared" si="19"/>
        <v>0.97040000000000004</v>
      </c>
      <c r="Y110">
        <f t="shared" si="20"/>
        <v>1.0500400000000001</v>
      </c>
      <c r="Z110">
        <f t="shared" si="21"/>
        <v>1.0140400000000001</v>
      </c>
      <c r="AA110">
        <f t="shared" si="22"/>
        <v>1.0622</v>
      </c>
      <c r="AB110">
        <f t="shared" si="23"/>
        <v>0.96906000000000003</v>
      </c>
      <c r="AC110">
        <f t="shared" si="24"/>
        <v>1.07064</v>
      </c>
      <c r="AD110">
        <f t="shared" si="25"/>
        <v>1.0620400000000001</v>
      </c>
      <c r="AE110">
        <f t="shared" si="26"/>
        <v>1.1028800000000001</v>
      </c>
      <c r="AF110">
        <f t="shared" si="27"/>
        <v>1.11544</v>
      </c>
      <c r="AG110">
        <f t="shared" si="28"/>
        <v>0.97750000000000004</v>
      </c>
      <c r="AH110">
        <f t="shared" si="29"/>
        <v>0.93400000000000005</v>
      </c>
      <c r="AI110">
        <f t="shared" si="30"/>
        <v>0.90156000000000003</v>
      </c>
      <c r="AJ110">
        <f t="shared" si="31"/>
        <v>0.99970000000000003</v>
      </c>
      <c r="EC110">
        <v>508</v>
      </c>
      <c r="ED110">
        <v>1.15866</v>
      </c>
      <c r="EE110">
        <v>0.83235999999999999</v>
      </c>
      <c r="EF110">
        <v>1.26746</v>
      </c>
      <c r="EG110">
        <v>0.97040000000000004</v>
      </c>
      <c r="EH110">
        <v>1.0500400000000001</v>
      </c>
      <c r="EI110">
        <v>1.0140400000000001</v>
      </c>
      <c r="EJ110">
        <v>1.0622</v>
      </c>
      <c r="EK110">
        <v>0.96906000000000003</v>
      </c>
      <c r="EL110">
        <v>1.07064</v>
      </c>
      <c r="EM110">
        <v>1.0620400000000001</v>
      </c>
      <c r="EN110">
        <v>1.1028800000000001</v>
      </c>
      <c r="EO110">
        <v>1.11544</v>
      </c>
      <c r="EP110">
        <v>0.97750000000000004</v>
      </c>
      <c r="EQ110">
        <v>0.93400000000000005</v>
      </c>
      <c r="ER110">
        <v>0.90156000000000003</v>
      </c>
      <c r="ES110">
        <v>0.99970000000000003</v>
      </c>
    </row>
    <row r="111" spans="1:149" x14ac:dyDescent="0.35">
      <c r="A111" s="77"/>
      <c r="B111" s="77">
        <v>509</v>
      </c>
      <c r="C111" s="77">
        <v>0.57674000000000003</v>
      </c>
      <c r="D111" s="77">
        <v>0.41433999999999999</v>
      </c>
      <c r="E111" s="77">
        <v>0.63066</v>
      </c>
      <c r="F111" s="77">
        <v>0.48293000000000003</v>
      </c>
      <c r="G111" s="77">
        <v>0.52371000000000001</v>
      </c>
      <c r="H111" s="77">
        <v>0.50553999999999999</v>
      </c>
      <c r="I111" s="77">
        <v>0.52959999999999996</v>
      </c>
      <c r="J111" s="77">
        <v>0.48335</v>
      </c>
      <c r="K111" s="77">
        <v>0.53395000000000004</v>
      </c>
      <c r="L111" s="77">
        <v>0.52978999999999998</v>
      </c>
      <c r="M111" s="77">
        <v>0.55000000000000004</v>
      </c>
      <c r="N111" s="77">
        <v>0.55637000000000003</v>
      </c>
      <c r="O111" s="77">
        <v>0.48747000000000001</v>
      </c>
      <c r="P111" s="77">
        <v>0.46594000000000002</v>
      </c>
      <c r="Q111" s="77">
        <v>0.44968999999999998</v>
      </c>
      <c r="R111" s="77">
        <v>0.49872</v>
      </c>
      <c r="T111">
        <v>509</v>
      </c>
      <c r="U111">
        <f t="shared" si="16"/>
        <v>1.1534800000000001</v>
      </c>
      <c r="V111">
        <f t="shared" si="17"/>
        <v>0.82867999999999997</v>
      </c>
      <c r="W111">
        <f t="shared" si="18"/>
        <v>1.26132</v>
      </c>
      <c r="X111">
        <f t="shared" si="19"/>
        <v>0.96586000000000005</v>
      </c>
      <c r="Y111">
        <f t="shared" si="20"/>
        <v>1.04742</v>
      </c>
      <c r="Z111">
        <f t="shared" si="21"/>
        <v>1.01108</v>
      </c>
      <c r="AA111">
        <f t="shared" si="22"/>
        <v>1.0591999999999999</v>
      </c>
      <c r="AB111">
        <f t="shared" si="23"/>
        <v>0.9667</v>
      </c>
      <c r="AC111">
        <f t="shared" si="24"/>
        <v>1.0679000000000001</v>
      </c>
      <c r="AD111">
        <f t="shared" si="25"/>
        <v>1.05958</v>
      </c>
      <c r="AE111">
        <f t="shared" si="26"/>
        <v>1.1000000000000001</v>
      </c>
      <c r="AF111">
        <f t="shared" si="27"/>
        <v>1.1127400000000001</v>
      </c>
      <c r="AG111">
        <f t="shared" si="28"/>
        <v>0.97494000000000003</v>
      </c>
      <c r="AH111">
        <f t="shared" si="29"/>
        <v>0.93188000000000004</v>
      </c>
      <c r="AI111">
        <f t="shared" si="30"/>
        <v>0.89937999999999996</v>
      </c>
      <c r="AJ111">
        <f t="shared" si="31"/>
        <v>0.99743999999999999</v>
      </c>
      <c r="EC111">
        <v>509</v>
      </c>
      <c r="ED111">
        <v>1.1534800000000001</v>
      </c>
      <c r="EE111">
        <v>0.82867999999999997</v>
      </c>
      <c r="EF111">
        <v>1.26132</v>
      </c>
      <c r="EG111">
        <v>0.96586000000000005</v>
      </c>
      <c r="EH111">
        <v>1.04742</v>
      </c>
      <c r="EI111">
        <v>1.01108</v>
      </c>
      <c r="EJ111">
        <v>1.0591999999999999</v>
      </c>
      <c r="EK111">
        <v>0.9667</v>
      </c>
      <c r="EL111">
        <v>1.0679000000000001</v>
      </c>
      <c r="EM111">
        <v>1.05958</v>
      </c>
      <c r="EN111">
        <v>1.1000000000000001</v>
      </c>
      <c r="EO111">
        <v>1.1127400000000001</v>
      </c>
      <c r="EP111">
        <v>0.97494000000000003</v>
      </c>
      <c r="EQ111">
        <v>0.93188000000000004</v>
      </c>
      <c r="ER111">
        <v>0.89937999999999996</v>
      </c>
      <c r="ES111">
        <v>0.99743999999999999</v>
      </c>
    </row>
    <row r="112" spans="1:149" x14ac:dyDescent="0.35">
      <c r="A112" s="77"/>
      <c r="B112" s="77">
        <v>510</v>
      </c>
      <c r="C112" s="77">
        <v>0.57408000000000003</v>
      </c>
      <c r="D112" s="77">
        <v>0.41237000000000001</v>
      </c>
      <c r="E112" s="77">
        <v>0.62758000000000003</v>
      </c>
      <c r="F112" s="77">
        <v>0.48060999999999998</v>
      </c>
      <c r="G112" s="77">
        <v>0.52225999999999995</v>
      </c>
      <c r="H112" s="77">
        <v>0.50414999999999999</v>
      </c>
      <c r="I112" s="77">
        <v>0.52822999999999998</v>
      </c>
      <c r="J112" s="77">
        <v>0.48205999999999999</v>
      </c>
      <c r="K112" s="77">
        <v>0.53285000000000005</v>
      </c>
      <c r="L112" s="77">
        <v>0.52859</v>
      </c>
      <c r="M112" s="77">
        <v>0.54869000000000001</v>
      </c>
      <c r="N112" s="77">
        <v>0.55501</v>
      </c>
      <c r="O112" s="77">
        <v>0.48642999999999997</v>
      </c>
      <c r="P112" s="77">
        <v>0.46494999999999997</v>
      </c>
      <c r="Q112" s="77">
        <v>0.44878000000000001</v>
      </c>
      <c r="R112" s="77">
        <v>0.49756</v>
      </c>
      <c r="T112">
        <v>510</v>
      </c>
      <c r="U112">
        <f t="shared" si="16"/>
        <v>1.1481600000000001</v>
      </c>
      <c r="V112">
        <f t="shared" si="17"/>
        <v>0.82474000000000003</v>
      </c>
      <c r="W112">
        <f t="shared" si="18"/>
        <v>1.2551600000000001</v>
      </c>
      <c r="X112">
        <f t="shared" si="19"/>
        <v>0.96121999999999996</v>
      </c>
      <c r="Y112">
        <f t="shared" si="20"/>
        <v>1.0445199999999999</v>
      </c>
      <c r="Z112">
        <f t="shared" si="21"/>
        <v>1.0083</v>
      </c>
      <c r="AA112">
        <f t="shared" si="22"/>
        <v>1.05646</v>
      </c>
      <c r="AB112">
        <f t="shared" si="23"/>
        <v>0.96411999999999998</v>
      </c>
      <c r="AC112">
        <f t="shared" si="24"/>
        <v>1.0657000000000001</v>
      </c>
      <c r="AD112">
        <f t="shared" si="25"/>
        <v>1.05718</v>
      </c>
      <c r="AE112">
        <f t="shared" si="26"/>
        <v>1.09738</v>
      </c>
      <c r="AF112">
        <f t="shared" si="27"/>
        <v>1.11002</v>
      </c>
      <c r="AG112">
        <f t="shared" si="28"/>
        <v>0.97285999999999995</v>
      </c>
      <c r="AH112">
        <f t="shared" si="29"/>
        <v>0.92989999999999995</v>
      </c>
      <c r="AI112">
        <f t="shared" si="30"/>
        <v>0.89756000000000002</v>
      </c>
      <c r="AJ112">
        <f t="shared" si="31"/>
        <v>0.99512</v>
      </c>
      <c r="EC112">
        <v>510</v>
      </c>
      <c r="ED112">
        <v>1.1481600000000001</v>
      </c>
      <c r="EE112">
        <v>0.82474000000000003</v>
      </c>
      <c r="EF112">
        <v>1.2551600000000001</v>
      </c>
      <c r="EG112">
        <v>0.96121999999999996</v>
      </c>
      <c r="EH112">
        <v>1.0445199999999999</v>
      </c>
      <c r="EI112">
        <v>1.0083</v>
      </c>
      <c r="EJ112">
        <v>1.05646</v>
      </c>
      <c r="EK112">
        <v>0.96411999999999998</v>
      </c>
      <c r="EL112">
        <v>1.0657000000000001</v>
      </c>
      <c r="EM112">
        <v>1.05718</v>
      </c>
      <c r="EN112">
        <v>1.09738</v>
      </c>
      <c r="EO112">
        <v>1.11002</v>
      </c>
      <c r="EP112">
        <v>0.97285999999999995</v>
      </c>
      <c r="EQ112">
        <v>0.92989999999999995</v>
      </c>
      <c r="ER112">
        <v>0.89756000000000002</v>
      </c>
      <c r="ES112">
        <v>0.99512</v>
      </c>
    </row>
    <row r="113" spans="1:149" x14ac:dyDescent="0.35">
      <c r="A113" s="77"/>
      <c r="B113" s="77">
        <v>511</v>
      </c>
      <c r="C113" s="77">
        <v>0.57142999999999999</v>
      </c>
      <c r="D113" s="77">
        <v>0.41034999999999999</v>
      </c>
      <c r="E113" s="77">
        <v>0.62444</v>
      </c>
      <c r="F113" s="77">
        <v>0.47826000000000002</v>
      </c>
      <c r="G113" s="77">
        <v>0.52093999999999996</v>
      </c>
      <c r="H113" s="77">
        <v>0.50282000000000004</v>
      </c>
      <c r="I113" s="77">
        <v>0.52683999999999997</v>
      </c>
      <c r="J113" s="77">
        <v>0.48093000000000002</v>
      </c>
      <c r="K113" s="77">
        <v>0.53142999999999996</v>
      </c>
      <c r="L113" s="77">
        <v>0.52732999999999997</v>
      </c>
      <c r="M113" s="77">
        <v>0.54730000000000001</v>
      </c>
      <c r="N113" s="77">
        <v>0.55369999999999997</v>
      </c>
      <c r="O113" s="77">
        <v>0.48516999999999999</v>
      </c>
      <c r="P113" s="77">
        <v>0.46383999999999997</v>
      </c>
      <c r="Q113" s="77">
        <v>0.44762999999999997</v>
      </c>
      <c r="R113" s="77">
        <v>0.49635000000000001</v>
      </c>
      <c r="T113">
        <v>511</v>
      </c>
      <c r="U113">
        <f t="shared" si="16"/>
        <v>1.14286</v>
      </c>
      <c r="V113">
        <f t="shared" si="17"/>
        <v>0.82069999999999999</v>
      </c>
      <c r="W113">
        <f t="shared" si="18"/>
        <v>1.24888</v>
      </c>
      <c r="X113">
        <f t="shared" si="19"/>
        <v>0.95652000000000004</v>
      </c>
      <c r="Y113">
        <f t="shared" si="20"/>
        <v>1.0418799999999999</v>
      </c>
      <c r="Z113">
        <f t="shared" si="21"/>
        <v>1.0056400000000001</v>
      </c>
      <c r="AA113">
        <f t="shared" si="22"/>
        <v>1.0536799999999999</v>
      </c>
      <c r="AB113">
        <f t="shared" si="23"/>
        <v>0.96186000000000005</v>
      </c>
      <c r="AC113">
        <f t="shared" si="24"/>
        <v>1.0628599999999999</v>
      </c>
      <c r="AD113">
        <f t="shared" si="25"/>
        <v>1.0546599999999999</v>
      </c>
      <c r="AE113">
        <f t="shared" si="26"/>
        <v>1.0946</v>
      </c>
      <c r="AF113">
        <f t="shared" si="27"/>
        <v>1.1073999999999999</v>
      </c>
      <c r="AG113">
        <f t="shared" si="28"/>
        <v>0.97033999999999998</v>
      </c>
      <c r="AH113">
        <f t="shared" si="29"/>
        <v>0.92767999999999995</v>
      </c>
      <c r="AI113">
        <f t="shared" si="30"/>
        <v>0.89525999999999994</v>
      </c>
      <c r="AJ113">
        <f t="shared" si="31"/>
        <v>0.99270000000000003</v>
      </c>
      <c r="EC113">
        <v>511</v>
      </c>
      <c r="ED113">
        <v>1.14286</v>
      </c>
      <c r="EE113">
        <v>0.82069999999999999</v>
      </c>
      <c r="EF113">
        <v>1.24888</v>
      </c>
      <c r="EG113">
        <v>0.95652000000000004</v>
      </c>
      <c r="EH113">
        <v>1.0418799999999999</v>
      </c>
      <c r="EI113">
        <v>1.0056400000000001</v>
      </c>
      <c r="EJ113">
        <v>1.0536799999999999</v>
      </c>
      <c r="EK113">
        <v>0.96186000000000005</v>
      </c>
      <c r="EL113">
        <v>1.0628599999999999</v>
      </c>
      <c r="EM113">
        <v>1.0546599999999999</v>
      </c>
      <c r="EN113">
        <v>1.0946</v>
      </c>
      <c r="EO113">
        <v>1.1073999999999999</v>
      </c>
      <c r="EP113">
        <v>0.97033999999999998</v>
      </c>
      <c r="EQ113">
        <v>0.92767999999999995</v>
      </c>
      <c r="ER113">
        <v>0.89525999999999994</v>
      </c>
      <c r="ES113">
        <v>0.99270000000000003</v>
      </c>
    </row>
    <row r="114" spans="1:149" x14ac:dyDescent="0.35">
      <c r="A114" s="77"/>
      <c r="B114" s="77">
        <v>512</v>
      </c>
      <c r="C114" s="77">
        <v>0.56881999999999999</v>
      </c>
      <c r="D114" s="77">
        <v>0.40844999999999998</v>
      </c>
      <c r="E114" s="77">
        <v>0.62143000000000004</v>
      </c>
      <c r="F114" s="77">
        <v>0.47603000000000001</v>
      </c>
      <c r="G114" s="77">
        <v>0.51963999999999999</v>
      </c>
      <c r="H114" s="77">
        <v>0.50143000000000004</v>
      </c>
      <c r="I114" s="77">
        <v>0.52534000000000003</v>
      </c>
      <c r="J114" s="77">
        <v>0.47981000000000001</v>
      </c>
      <c r="K114" s="77">
        <v>0.53017000000000003</v>
      </c>
      <c r="L114" s="77">
        <v>0.52608999999999995</v>
      </c>
      <c r="M114" s="77">
        <v>0.54593000000000003</v>
      </c>
      <c r="N114" s="77">
        <v>0.55223</v>
      </c>
      <c r="O114" s="77">
        <v>0.48424</v>
      </c>
      <c r="P114" s="77">
        <v>0.46289000000000002</v>
      </c>
      <c r="Q114" s="77">
        <v>0.44663999999999998</v>
      </c>
      <c r="R114" s="77">
        <v>0.49525000000000002</v>
      </c>
      <c r="T114">
        <v>512</v>
      </c>
      <c r="U114">
        <f t="shared" si="16"/>
        <v>1.13764</v>
      </c>
      <c r="V114">
        <f t="shared" si="17"/>
        <v>0.81689999999999996</v>
      </c>
      <c r="W114">
        <f t="shared" si="18"/>
        <v>1.2428600000000001</v>
      </c>
      <c r="X114">
        <f t="shared" si="19"/>
        <v>0.95206000000000002</v>
      </c>
      <c r="Y114">
        <f t="shared" si="20"/>
        <v>1.03928</v>
      </c>
      <c r="Z114">
        <f t="shared" si="21"/>
        <v>1.0028600000000001</v>
      </c>
      <c r="AA114">
        <f t="shared" si="22"/>
        <v>1.0506800000000001</v>
      </c>
      <c r="AB114">
        <f t="shared" si="23"/>
        <v>0.95962000000000003</v>
      </c>
      <c r="AC114">
        <f t="shared" si="24"/>
        <v>1.0603400000000001</v>
      </c>
      <c r="AD114">
        <f t="shared" si="25"/>
        <v>1.0521799999999999</v>
      </c>
      <c r="AE114">
        <f t="shared" si="26"/>
        <v>1.0918600000000001</v>
      </c>
      <c r="AF114">
        <f t="shared" si="27"/>
        <v>1.10446</v>
      </c>
      <c r="AG114">
        <f t="shared" si="28"/>
        <v>0.96848000000000001</v>
      </c>
      <c r="AH114">
        <f t="shared" si="29"/>
        <v>0.92578000000000005</v>
      </c>
      <c r="AI114">
        <f t="shared" si="30"/>
        <v>0.89327999999999996</v>
      </c>
      <c r="AJ114">
        <f t="shared" si="31"/>
        <v>0.99050000000000005</v>
      </c>
      <c r="EC114">
        <v>512</v>
      </c>
      <c r="ED114">
        <v>1.13764</v>
      </c>
      <c r="EE114">
        <v>0.81689999999999996</v>
      </c>
      <c r="EF114">
        <v>1.2428600000000001</v>
      </c>
      <c r="EG114">
        <v>0.95206000000000002</v>
      </c>
      <c r="EH114">
        <v>1.03928</v>
      </c>
      <c r="EI114">
        <v>1.0028600000000001</v>
      </c>
      <c r="EJ114">
        <v>1.0506800000000001</v>
      </c>
      <c r="EK114">
        <v>0.95962000000000003</v>
      </c>
      <c r="EL114">
        <v>1.0603400000000001</v>
      </c>
      <c r="EM114">
        <v>1.0521799999999999</v>
      </c>
      <c r="EN114">
        <v>1.0918600000000001</v>
      </c>
      <c r="EO114">
        <v>1.10446</v>
      </c>
      <c r="EP114">
        <v>0.96848000000000001</v>
      </c>
      <c r="EQ114">
        <v>0.92578000000000005</v>
      </c>
      <c r="ER114">
        <v>0.89327999999999996</v>
      </c>
      <c r="ES114">
        <v>0.99050000000000005</v>
      </c>
    </row>
    <row r="115" spans="1:149" x14ac:dyDescent="0.35">
      <c r="A115" s="77"/>
      <c r="B115" s="77">
        <v>513</v>
      </c>
      <c r="C115" s="77">
        <v>0.56586000000000003</v>
      </c>
      <c r="D115" s="77">
        <v>0.40638999999999997</v>
      </c>
      <c r="E115" s="77">
        <v>0.61809999999999998</v>
      </c>
      <c r="F115" s="77">
        <v>0.4733</v>
      </c>
      <c r="G115" s="77">
        <v>0.51822999999999997</v>
      </c>
      <c r="H115" s="77">
        <v>0.49991000000000002</v>
      </c>
      <c r="I115" s="77">
        <v>0.52376999999999996</v>
      </c>
      <c r="J115" s="77">
        <v>0.47847000000000001</v>
      </c>
      <c r="K115" s="77">
        <v>0.52869999999999995</v>
      </c>
      <c r="L115" s="77">
        <v>0.52464</v>
      </c>
      <c r="M115" s="77">
        <v>0.54430999999999996</v>
      </c>
      <c r="N115" s="77">
        <v>0.55078000000000005</v>
      </c>
      <c r="O115" s="77">
        <v>0.48291000000000001</v>
      </c>
      <c r="P115" s="77">
        <v>0.46174999999999999</v>
      </c>
      <c r="Q115" s="77">
        <v>0.44547999999999999</v>
      </c>
      <c r="R115" s="77">
        <v>0.49408000000000002</v>
      </c>
      <c r="T115">
        <v>513</v>
      </c>
      <c r="U115">
        <f t="shared" si="16"/>
        <v>1.1317200000000001</v>
      </c>
      <c r="V115">
        <f t="shared" si="17"/>
        <v>0.81277999999999995</v>
      </c>
      <c r="W115">
        <f t="shared" si="18"/>
        <v>1.2362</v>
      </c>
      <c r="X115">
        <f t="shared" si="19"/>
        <v>0.9466</v>
      </c>
      <c r="Y115">
        <f t="shared" si="20"/>
        <v>1.0364599999999999</v>
      </c>
      <c r="Z115">
        <f t="shared" si="21"/>
        <v>0.99982000000000004</v>
      </c>
      <c r="AA115">
        <f t="shared" si="22"/>
        <v>1.0475399999999999</v>
      </c>
      <c r="AB115">
        <f t="shared" si="23"/>
        <v>0.95694000000000001</v>
      </c>
      <c r="AC115">
        <f t="shared" si="24"/>
        <v>1.0573999999999999</v>
      </c>
      <c r="AD115">
        <f t="shared" si="25"/>
        <v>1.04928</v>
      </c>
      <c r="AE115">
        <f t="shared" si="26"/>
        <v>1.0886199999999999</v>
      </c>
      <c r="AF115">
        <f t="shared" si="27"/>
        <v>1.1015600000000001</v>
      </c>
      <c r="AG115">
        <f t="shared" si="28"/>
        <v>0.96582000000000001</v>
      </c>
      <c r="AH115">
        <f t="shared" si="29"/>
        <v>0.92349999999999999</v>
      </c>
      <c r="AI115">
        <f t="shared" si="30"/>
        <v>0.89095999999999997</v>
      </c>
      <c r="AJ115">
        <f t="shared" si="31"/>
        <v>0.98816000000000004</v>
      </c>
      <c r="EC115">
        <v>513</v>
      </c>
      <c r="ED115">
        <v>1.1317200000000001</v>
      </c>
      <c r="EE115">
        <v>0.81277999999999995</v>
      </c>
      <c r="EF115">
        <v>1.2362</v>
      </c>
      <c r="EG115">
        <v>0.9466</v>
      </c>
      <c r="EH115">
        <v>1.0364599999999999</v>
      </c>
      <c r="EI115">
        <v>0.99982000000000004</v>
      </c>
      <c r="EJ115">
        <v>1.0475399999999999</v>
      </c>
      <c r="EK115">
        <v>0.95694000000000001</v>
      </c>
      <c r="EL115">
        <v>1.0573999999999999</v>
      </c>
      <c r="EM115">
        <v>1.04928</v>
      </c>
      <c r="EN115">
        <v>1.0886199999999999</v>
      </c>
      <c r="EO115">
        <v>1.1015600000000001</v>
      </c>
      <c r="EP115">
        <v>0.96582000000000001</v>
      </c>
      <c r="EQ115">
        <v>0.92349999999999999</v>
      </c>
      <c r="ER115">
        <v>0.89095999999999997</v>
      </c>
      <c r="ES115">
        <v>0.98816000000000004</v>
      </c>
    </row>
    <row r="116" spans="1:149" x14ac:dyDescent="0.35">
      <c r="A116" s="77"/>
      <c r="B116" s="77">
        <v>514</v>
      </c>
      <c r="C116" s="77">
        <v>0.56303000000000003</v>
      </c>
      <c r="D116" s="77">
        <v>0.40437000000000001</v>
      </c>
      <c r="E116" s="77">
        <v>0.61485000000000001</v>
      </c>
      <c r="F116" s="77">
        <v>0.47083999999999998</v>
      </c>
      <c r="G116" s="77">
        <v>0.51671</v>
      </c>
      <c r="H116" s="77">
        <v>0.49848999999999999</v>
      </c>
      <c r="I116" s="77">
        <v>0.52229000000000003</v>
      </c>
      <c r="J116" s="77">
        <v>0.47721999999999998</v>
      </c>
      <c r="K116" s="77">
        <v>0.52725</v>
      </c>
      <c r="L116" s="77">
        <v>0.52336000000000005</v>
      </c>
      <c r="M116" s="77">
        <v>0.54291</v>
      </c>
      <c r="N116" s="77">
        <v>0.54947000000000001</v>
      </c>
      <c r="O116" s="77">
        <v>0.48169000000000001</v>
      </c>
      <c r="P116" s="77">
        <v>0.46052999999999999</v>
      </c>
      <c r="Q116" s="77">
        <v>0.44435000000000002</v>
      </c>
      <c r="R116" s="77">
        <v>0.49271999999999999</v>
      </c>
      <c r="T116">
        <v>514</v>
      </c>
      <c r="U116">
        <f t="shared" si="16"/>
        <v>1.1260600000000001</v>
      </c>
      <c r="V116">
        <f t="shared" si="17"/>
        <v>0.80874000000000001</v>
      </c>
      <c r="W116">
        <f t="shared" si="18"/>
        <v>1.2297</v>
      </c>
      <c r="X116">
        <f t="shared" si="19"/>
        <v>0.94167999999999996</v>
      </c>
      <c r="Y116">
        <f t="shared" si="20"/>
        <v>1.03342</v>
      </c>
      <c r="Z116">
        <f t="shared" si="21"/>
        <v>0.99697999999999998</v>
      </c>
      <c r="AA116">
        <f t="shared" si="22"/>
        <v>1.0445800000000001</v>
      </c>
      <c r="AB116">
        <f t="shared" si="23"/>
        <v>0.95443999999999996</v>
      </c>
      <c r="AC116">
        <f t="shared" si="24"/>
        <v>1.0545</v>
      </c>
      <c r="AD116">
        <f t="shared" si="25"/>
        <v>1.0467200000000001</v>
      </c>
      <c r="AE116">
        <f t="shared" si="26"/>
        <v>1.08582</v>
      </c>
      <c r="AF116">
        <f t="shared" si="27"/>
        <v>1.09894</v>
      </c>
      <c r="AG116">
        <f t="shared" si="28"/>
        <v>0.96338000000000001</v>
      </c>
      <c r="AH116">
        <f t="shared" si="29"/>
        <v>0.92105999999999999</v>
      </c>
      <c r="AI116">
        <f t="shared" si="30"/>
        <v>0.88870000000000005</v>
      </c>
      <c r="AJ116">
        <f t="shared" si="31"/>
        <v>0.98543999999999998</v>
      </c>
      <c r="EC116">
        <v>514</v>
      </c>
      <c r="ED116">
        <v>1.1260600000000001</v>
      </c>
      <c r="EE116">
        <v>0.80874000000000001</v>
      </c>
      <c r="EF116">
        <v>1.2297</v>
      </c>
      <c r="EG116">
        <v>0.94167999999999996</v>
      </c>
      <c r="EH116">
        <v>1.03342</v>
      </c>
      <c r="EI116">
        <v>0.99697999999999998</v>
      </c>
      <c r="EJ116">
        <v>1.0445800000000001</v>
      </c>
      <c r="EK116">
        <v>0.95443999999999996</v>
      </c>
      <c r="EL116">
        <v>1.0545</v>
      </c>
      <c r="EM116">
        <v>1.0467200000000001</v>
      </c>
      <c r="EN116">
        <v>1.08582</v>
      </c>
      <c r="EO116">
        <v>1.09894</v>
      </c>
      <c r="EP116">
        <v>0.96338000000000001</v>
      </c>
      <c r="EQ116">
        <v>0.92105999999999999</v>
      </c>
      <c r="ER116">
        <v>0.88870000000000005</v>
      </c>
      <c r="ES116">
        <v>0.98543999999999998</v>
      </c>
    </row>
    <row r="117" spans="1:149" x14ac:dyDescent="0.35">
      <c r="A117" s="77"/>
      <c r="B117" s="77">
        <v>515</v>
      </c>
      <c r="C117" s="77">
        <v>0.56018000000000001</v>
      </c>
      <c r="D117" s="77">
        <v>0.40221000000000001</v>
      </c>
      <c r="E117" s="77">
        <v>0.61160000000000003</v>
      </c>
      <c r="F117" s="77">
        <v>0.46838000000000002</v>
      </c>
      <c r="G117" s="77">
        <v>0.51522999999999997</v>
      </c>
      <c r="H117" s="77">
        <v>0.49690000000000001</v>
      </c>
      <c r="I117" s="77">
        <v>0.52076999999999996</v>
      </c>
      <c r="J117" s="77">
        <v>0.47597</v>
      </c>
      <c r="K117" s="77">
        <v>0.52588000000000001</v>
      </c>
      <c r="L117" s="77">
        <v>0.52209000000000005</v>
      </c>
      <c r="M117" s="77">
        <v>0.54139999999999999</v>
      </c>
      <c r="N117" s="77">
        <v>0.54801999999999995</v>
      </c>
      <c r="O117" s="77">
        <v>0.48065000000000002</v>
      </c>
      <c r="P117" s="77">
        <v>0.45972000000000002</v>
      </c>
      <c r="Q117" s="77">
        <v>0.44350000000000001</v>
      </c>
      <c r="R117" s="77">
        <v>0.49184</v>
      </c>
      <c r="T117">
        <v>515</v>
      </c>
      <c r="U117">
        <f t="shared" si="16"/>
        <v>1.12036</v>
      </c>
      <c r="V117">
        <f t="shared" si="17"/>
        <v>0.80442000000000002</v>
      </c>
      <c r="W117">
        <f t="shared" si="18"/>
        <v>1.2232000000000001</v>
      </c>
      <c r="X117">
        <f t="shared" si="19"/>
        <v>0.93676000000000004</v>
      </c>
      <c r="Y117">
        <f t="shared" si="20"/>
        <v>1.0304599999999999</v>
      </c>
      <c r="Z117">
        <f t="shared" si="21"/>
        <v>0.99380000000000002</v>
      </c>
      <c r="AA117">
        <f t="shared" si="22"/>
        <v>1.0415399999999999</v>
      </c>
      <c r="AB117">
        <f t="shared" si="23"/>
        <v>0.95194000000000001</v>
      </c>
      <c r="AC117">
        <f t="shared" si="24"/>
        <v>1.05176</v>
      </c>
      <c r="AD117">
        <f t="shared" si="25"/>
        <v>1.0441800000000001</v>
      </c>
      <c r="AE117">
        <f t="shared" si="26"/>
        <v>1.0828</v>
      </c>
      <c r="AF117">
        <f t="shared" si="27"/>
        <v>1.0960399999999999</v>
      </c>
      <c r="AG117">
        <f t="shared" si="28"/>
        <v>0.96130000000000004</v>
      </c>
      <c r="AH117">
        <f t="shared" si="29"/>
        <v>0.91944000000000004</v>
      </c>
      <c r="AI117">
        <f t="shared" si="30"/>
        <v>0.88700000000000001</v>
      </c>
      <c r="AJ117">
        <f t="shared" si="31"/>
        <v>0.98368</v>
      </c>
      <c r="EC117">
        <v>515</v>
      </c>
      <c r="ED117">
        <v>1.12036</v>
      </c>
      <c r="EE117">
        <v>0.80442000000000002</v>
      </c>
      <c r="EF117">
        <v>1.2232000000000001</v>
      </c>
      <c r="EG117">
        <v>0.93676000000000004</v>
      </c>
      <c r="EH117">
        <v>1.0304599999999999</v>
      </c>
      <c r="EI117">
        <v>0.99380000000000002</v>
      </c>
      <c r="EJ117">
        <v>1.0415399999999999</v>
      </c>
      <c r="EK117">
        <v>0.95194000000000001</v>
      </c>
      <c r="EL117">
        <v>1.05176</v>
      </c>
      <c r="EM117">
        <v>1.0441800000000001</v>
      </c>
      <c r="EN117">
        <v>1.0828</v>
      </c>
      <c r="EO117">
        <v>1.0960399999999999</v>
      </c>
      <c r="EP117">
        <v>0.96130000000000004</v>
      </c>
      <c r="EQ117">
        <v>0.91944000000000004</v>
      </c>
      <c r="ER117">
        <v>0.88700000000000001</v>
      </c>
      <c r="ES117">
        <v>0.98368</v>
      </c>
    </row>
    <row r="118" spans="1:149" x14ac:dyDescent="0.35">
      <c r="A118" s="77"/>
      <c r="B118" s="77">
        <v>516</v>
      </c>
      <c r="C118" s="77">
        <v>0.55732999999999999</v>
      </c>
      <c r="D118" s="77">
        <v>0.40009</v>
      </c>
      <c r="E118" s="77">
        <v>0.60831000000000002</v>
      </c>
      <c r="F118" s="77">
        <v>0.46577000000000002</v>
      </c>
      <c r="G118" s="77">
        <v>0.51378000000000001</v>
      </c>
      <c r="H118" s="77">
        <v>0.49539</v>
      </c>
      <c r="I118" s="77">
        <v>0.51917999999999997</v>
      </c>
      <c r="J118" s="77">
        <v>0.47484999999999999</v>
      </c>
      <c r="K118" s="77">
        <v>0.52449000000000001</v>
      </c>
      <c r="L118" s="77">
        <v>0.52075000000000005</v>
      </c>
      <c r="M118" s="77">
        <v>0.54007000000000005</v>
      </c>
      <c r="N118" s="77">
        <v>0.54668000000000005</v>
      </c>
      <c r="O118" s="77">
        <v>0.47942000000000001</v>
      </c>
      <c r="P118" s="77">
        <v>0.45860000000000001</v>
      </c>
      <c r="Q118" s="77">
        <v>0.44238</v>
      </c>
      <c r="R118" s="77">
        <v>0.49064999999999998</v>
      </c>
      <c r="T118">
        <v>516</v>
      </c>
      <c r="U118">
        <f t="shared" si="16"/>
        <v>1.11466</v>
      </c>
      <c r="V118">
        <f t="shared" si="17"/>
        <v>0.80018</v>
      </c>
      <c r="W118">
        <f t="shared" si="18"/>
        <v>1.21662</v>
      </c>
      <c r="X118">
        <f t="shared" si="19"/>
        <v>0.93154000000000003</v>
      </c>
      <c r="Y118">
        <f t="shared" si="20"/>
        <v>1.02756</v>
      </c>
      <c r="Z118">
        <f t="shared" si="21"/>
        <v>0.99077999999999999</v>
      </c>
      <c r="AA118">
        <f t="shared" si="22"/>
        <v>1.0383599999999999</v>
      </c>
      <c r="AB118">
        <f t="shared" si="23"/>
        <v>0.94969999999999999</v>
      </c>
      <c r="AC118">
        <f t="shared" si="24"/>
        <v>1.04898</v>
      </c>
      <c r="AD118">
        <f t="shared" si="25"/>
        <v>1.0415000000000001</v>
      </c>
      <c r="AE118">
        <f t="shared" si="26"/>
        <v>1.0801400000000001</v>
      </c>
      <c r="AF118">
        <f t="shared" si="27"/>
        <v>1.0933600000000001</v>
      </c>
      <c r="AG118">
        <f t="shared" si="28"/>
        <v>0.95884000000000003</v>
      </c>
      <c r="AH118">
        <f t="shared" si="29"/>
        <v>0.91720000000000002</v>
      </c>
      <c r="AI118">
        <f t="shared" si="30"/>
        <v>0.88475999999999999</v>
      </c>
      <c r="AJ118">
        <f t="shared" si="31"/>
        <v>0.98129999999999995</v>
      </c>
      <c r="EC118">
        <v>516</v>
      </c>
      <c r="ED118">
        <v>1.11466</v>
      </c>
      <c r="EE118">
        <v>0.80018</v>
      </c>
      <c r="EF118">
        <v>1.21662</v>
      </c>
      <c r="EG118">
        <v>0.93154000000000003</v>
      </c>
      <c r="EH118">
        <v>1.02756</v>
      </c>
      <c r="EI118">
        <v>0.99077999999999999</v>
      </c>
      <c r="EJ118">
        <v>1.0383599999999999</v>
      </c>
      <c r="EK118">
        <v>0.94969999999999999</v>
      </c>
      <c r="EL118">
        <v>1.04898</v>
      </c>
      <c r="EM118">
        <v>1.0415000000000001</v>
      </c>
      <c r="EN118">
        <v>1.0801400000000001</v>
      </c>
      <c r="EO118">
        <v>1.0933600000000001</v>
      </c>
      <c r="EP118">
        <v>0.95884000000000003</v>
      </c>
      <c r="EQ118">
        <v>0.91720000000000002</v>
      </c>
      <c r="ER118">
        <v>0.88475999999999999</v>
      </c>
      <c r="ES118">
        <v>0.98129999999999995</v>
      </c>
    </row>
    <row r="119" spans="1:149" x14ac:dyDescent="0.35">
      <c r="A119" s="77"/>
      <c r="B119" s="77">
        <v>517</v>
      </c>
      <c r="C119" s="77">
        <v>0.55423</v>
      </c>
      <c r="D119" s="77">
        <v>0.39785999999999999</v>
      </c>
      <c r="E119" s="77">
        <v>0.60487000000000002</v>
      </c>
      <c r="F119" s="77">
        <v>0.4632</v>
      </c>
      <c r="G119" s="77">
        <v>0.51221000000000005</v>
      </c>
      <c r="H119" s="77">
        <v>0.49373</v>
      </c>
      <c r="I119" s="77">
        <v>0.51761000000000001</v>
      </c>
      <c r="J119" s="77">
        <v>0.47339999999999999</v>
      </c>
      <c r="K119" s="77">
        <v>0.52310000000000001</v>
      </c>
      <c r="L119" s="77">
        <v>0.51922999999999997</v>
      </c>
      <c r="M119" s="77">
        <v>0.53841000000000006</v>
      </c>
      <c r="N119" s="77">
        <v>0.54510000000000003</v>
      </c>
      <c r="O119" s="77">
        <v>0.47828999999999999</v>
      </c>
      <c r="P119" s="77">
        <v>0.45755000000000001</v>
      </c>
      <c r="Q119" s="77">
        <v>0.44141000000000002</v>
      </c>
      <c r="R119" s="77">
        <v>0.48949999999999999</v>
      </c>
      <c r="T119">
        <v>517</v>
      </c>
      <c r="U119">
        <f t="shared" si="16"/>
        <v>1.10846</v>
      </c>
      <c r="V119">
        <f t="shared" si="17"/>
        <v>0.79571999999999998</v>
      </c>
      <c r="W119">
        <f t="shared" si="18"/>
        <v>1.20974</v>
      </c>
      <c r="X119">
        <f t="shared" si="19"/>
        <v>0.9264</v>
      </c>
      <c r="Y119">
        <f t="shared" si="20"/>
        <v>1.0244200000000001</v>
      </c>
      <c r="Z119">
        <f t="shared" si="21"/>
        <v>0.98746</v>
      </c>
      <c r="AA119">
        <f t="shared" si="22"/>
        <v>1.03522</v>
      </c>
      <c r="AB119">
        <f t="shared" si="23"/>
        <v>0.94679999999999997</v>
      </c>
      <c r="AC119">
        <f t="shared" si="24"/>
        <v>1.0462</v>
      </c>
      <c r="AD119">
        <f t="shared" si="25"/>
        <v>1.0384599999999999</v>
      </c>
      <c r="AE119">
        <f t="shared" si="26"/>
        <v>1.0768200000000001</v>
      </c>
      <c r="AF119">
        <f t="shared" si="27"/>
        <v>1.0902000000000001</v>
      </c>
      <c r="AG119">
        <f t="shared" si="28"/>
        <v>0.95657999999999999</v>
      </c>
      <c r="AH119">
        <f t="shared" si="29"/>
        <v>0.91510000000000002</v>
      </c>
      <c r="AI119">
        <f t="shared" si="30"/>
        <v>0.88282000000000005</v>
      </c>
      <c r="AJ119">
        <f t="shared" si="31"/>
        <v>0.97899999999999998</v>
      </c>
      <c r="EC119">
        <v>517</v>
      </c>
      <c r="ED119">
        <v>1.10846</v>
      </c>
      <c r="EE119">
        <v>0.79571999999999998</v>
      </c>
      <c r="EF119">
        <v>1.20974</v>
      </c>
      <c r="EG119">
        <v>0.9264</v>
      </c>
      <c r="EH119">
        <v>1.0244200000000001</v>
      </c>
      <c r="EI119">
        <v>0.98746</v>
      </c>
      <c r="EJ119">
        <v>1.03522</v>
      </c>
      <c r="EK119">
        <v>0.94679999999999997</v>
      </c>
      <c r="EL119">
        <v>1.0462</v>
      </c>
      <c r="EM119">
        <v>1.0384599999999999</v>
      </c>
      <c r="EN119">
        <v>1.0768200000000001</v>
      </c>
      <c r="EO119">
        <v>1.0902000000000001</v>
      </c>
      <c r="EP119">
        <v>0.95657999999999999</v>
      </c>
      <c r="EQ119">
        <v>0.91510000000000002</v>
      </c>
      <c r="ER119">
        <v>0.88282000000000005</v>
      </c>
      <c r="ES119">
        <v>0.97899999999999998</v>
      </c>
    </row>
    <row r="120" spans="1:149" x14ac:dyDescent="0.35">
      <c r="A120" s="77"/>
      <c r="B120" s="77">
        <v>518</v>
      </c>
      <c r="C120" s="77">
        <v>0.55132000000000003</v>
      </c>
      <c r="D120" s="77">
        <v>0.39566000000000001</v>
      </c>
      <c r="E120" s="77">
        <v>0.60160999999999998</v>
      </c>
      <c r="F120" s="77">
        <v>0.46059</v>
      </c>
      <c r="G120" s="77">
        <v>0.51083000000000001</v>
      </c>
      <c r="H120" s="77">
        <v>0.49231999999999998</v>
      </c>
      <c r="I120" s="77">
        <v>0.51607999999999998</v>
      </c>
      <c r="J120" s="77">
        <v>0.47209000000000001</v>
      </c>
      <c r="K120" s="77">
        <v>0.52164999999999995</v>
      </c>
      <c r="L120" s="77">
        <v>0.51798999999999995</v>
      </c>
      <c r="M120" s="77">
        <v>0.53695999999999999</v>
      </c>
      <c r="N120" s="77">
        <v>0.54359000000000002</v>
      </c>
      <c r="O120" s="77">
        <v>0.47710999999999998</v>
      </c>
      <c r="P120" s="77">
        <v>0.45644000000000001</v>
      </c>
      <c r="Q120" s="77">
        <v>0.44034000000000001</v>
      </c>
      <c r="R120" s="77">
        <v>0.48834</v>
      </c>
      <c r="T120">
        <v>518</v>
      </c>
      <c r="U120">
        <f t="shared" si="16"/>
        <v>1.1026400000000001</v>
      </c>
      <c r="V120">
        <f t="shared" si="17"/>
        <v>0.79132000000000002</v>
      </c>
      <c r="W120">
        <f t="shared" si="18"/>
        <v>1.20322</v>
      </c>
      <c r="X120">
        <f t="shared" si="19"/>
        <v>0.92118</v>
      </c>
      <c r="Y120">
        <f t="shared" si="20"/>
        <v>1.02166</v>
      </c>
      <c r="Z120">
        <f t="shared" si="21"/>
        <v>0.98463999999999996</v>
      </c>
      <c r="AA120">
        <f t="shared" si="22"/>
        <v>1.03216</v>
      </c>
      <c r="AB120">
        <f t="shared" si="23"/>
        <v>0.94418000000000002</v>
      </c>
      <c r="AC120">
        <f t="shared" si="24"/>
        <v>1.0432999999999999</v>
      </c>
      <c r="AD120">
        <f t="shared" si="25"/>
        <v>1.0359799999999999</v>
      </c>
      <c r="AE120">
        <f t="shared" si="26"/>
        <v>1.07392</v>
      </c>
      <c r="AF120">
        <f t="shared" si="27"/>
        <v>1.08718</v>
      </c>
      <c r="AG120">
        <f t="shared" si="28"/>
        <v>0.95421999999999996</v>
      </c>
      <c r="AH120">
        <f t="shared" si="29"/>
        <v>0.91288000000000002</v>
      </c>
      <c r="AI120">
        <f t="shared" si="30"/>
        <v>0.88068000000000002</v>
      </c>
      <c r="AJ120">
        <f t="shared" si="31"/>
        <v>0.97667999999999999</v>
      </c>
      <c r="EC120">
        <v>518</v>
      </c>
      <c r="ED120">
        <v>1.1026400000000001</v>
      </c>
      <c r="EE120">
        <v>0.79132000000000002</v>
      </c>
      <c r="EF120">
        <v>1.20322</v>
      </c>
      <c r="EG120">
        <v>0.92118</v>
      </c>
      <c r="EH120">
        <v>1.02166</v>
      </c>
      <c r="EI120">
        <v>0.98463999999999996</v>
      </c>
      <c r="EJ120">
        <v>1.03216</v>
      </c>
      <c r="EK120">
        <v>0.94418000000000002</v>
      </c>
      <c r="EL120">
        <v>1.0432999999999999</v>
      </c>
      <c r="EM120">
        <v>1.0359799999999999</v>
      </c>
      <c r="EN120">
        <v>1.07392</v>
      </c>
      <c r="EO120">
        <v>1.08718</v>
      </c>
      <c r="EP120">
        <v>0.95421999999999996</v>
      </c>
      <c r="EQ120">
        <v>0.91288000000000002</v>
      </c>
      <c r="ER120">
        <v>0.88068000000000002</v>
      </c>
      <c r="ES120">
        <v>0.97667999999999999</v>
      </c>
    </row>
    <row r="121" spans="1:149" x14ac:dyDescent="0.35">
      <c r="A121" s="77"/>
      <c r="B121" s="77">
        <v>519</v>
      </c>
      <c r="C121" s="77">
        <v>0.54844999999999999</v>
      </c>
      <c r="D121" s="77">
        <v>0.39349000000000001</v>
      </c>
      <c r="E121" s="77">
        <v>0.59833000000000003</v>
      </c>
      <c r="F121" s="77">
        <v>0.45791999999999999</v>
      </c>
      <c r="G121" s="77">
        <v>0.50931000000000004</v>
      </c>
      <c r="H121" s="77">
        <v>0.49077999999999999</v>
      </c>
      <c r="I121" s="77">
        <v>0.51458999999999999</v>
      </c>
      <c r="J121" s="77">
        <v>0.47089999999999999</v>
      </c>
      <c r="K121" s="77">
        <v>0.52024999999999999</v>
      </c>
      <c r="L121" s="77">
        <v>0.51668999999999998</v>
      </c>
      <c r="M121" s="77">
        <v>0.53554999999999997</v>
      </c>
      <c r="N121" s="77">
        <v>0.54215999999999998</v>
      </c>
      <c r="O121" s="77">
        <v>0.47599999999999998</v>
      </c>
      <c r="P121" s="77">
        <v>0.45545999999999998</v>
      </c>
      <c r="Q121" s="77">
        <v>0.43944</v>
      </c>
      <c r="R121" s="77">
        <v>0.48720000000000002</v>
      </c>
      <c r="T121">
        <v>519</v>
      </c>
      <c r="U121">
        <f t="shared" si="16"/>
        <v>1.0969</v>
      </c>
      <c r="V121">
        <f t="shared" si="17"/>
        <v>0.78698000000000001</v>
      </c>
      <c r="W121">
        <f t="shared" si="18"/>
        <v>1.1966600000000001</v>
      </c>
      <c r="X121">
        <f t="shared" si="19"/>
        <v>0.91583999999999999</v>
      </c>
      <c r="Y121">
        <f t="shared" si="20"/>
        <v>1.0186200000000001</v>
      </c>
      <c r="Z121">
        <f t="shared" si="21"/>
        <v>0.98155999999999999</v>
      </c>
      <c r="AA121">
        <f t="shared" si="22"/>
        <v>1.02918</v>
      </c>
      <c r="AB121">
        <f t="shared" si="23"/>
        <v>0.94179999999999997</v>
      </c>
      <c r="AC121">
        <f t="shared" si="24"/>
        <v>1.0405</v>
      </c>
      <c r="AD121">
        <f t="shared" si="25"/>
        <v>1.03338</v>
      </c>
      <c r="AE121">
        <f t="shared" si="26"/>
        <v>1.0710999999999999</v>
      </c>
      <c r="AF121">
        <f t="shared" si="27"/>
        <v>1.08432</v>
      </c>
      <c r="AG121">
        <f t="shared" si="28"/>
        <v>0.95199999999999996</v>
      </c>
      <c r="AH121">
        <f t="shared" si="29"/>
        <v>0.91091999999999995</v>
      </c>
      <c r="AI121">
        <f t="shared" si="30"/>
        <v>0.87887999999999999</v>
      </c>
      <c r="AJ121">
        <f t="shared" si="31"/>
        <v>0.97440000000000004</v>
      </c>
      <c r="EC121">
        <v>519</v>
      </c>
      <c r="ED121">
        <v>1.0969</v>
      </c>
      <c r="EE121">
        <v>0.78698000000000001</v>
      </c>
      <c r="EF121">
        <v>1.1966600000000001</v>
      </c>
      <c r="EG121">
        <v>0.91583999999999999</v>
      </c>
      <c r="EH121">
        <v>1.0186200000000001</v>
      </c>
      <c r="EI121">
        <v>0.98155999999999999</v>
      </c>
      <c r="EJ121">
        <v>1.02918</v>
      </c>
      <c r="EK121">
        <v>0.94179999999999997</v>
      </c>
      <c r="EL121">
        <v>1.0405</v>
      </c>
      <c r="EM121">
        <v>1.03338</v>
      </c>
      <c r="EN121">
        <v>1.0710999999999999</v>
      </c>
      <c r="EO121">
        <v>1.08432</v>
      </c>
      <c r="EP121">
        <v>0.95199999999999996</v>
      </c>
      <c r="EQ121">
        <v>0.91091999999999995</v>
      </c>
      <c r="ER121">
        <v>0.87887999999999999</v>
      </c>
      <c r="ES121">
        <v>0.97440000000000004</v>
      </c>
    </row>
    <row r="122" spans="1:149" x14ac:dyDescent="0.35">
      <c r="A122" s="77"/>
      <c r="B122" s="77">
        <v>520</v>
      </c>
      <c r="C122" s="77">
        <v>0.54554999999999998</v>
      </c>
      <c r="D122" s="77">
        <v>0.39143</v>
      </c>
      <c r="E122" s="77">
        <v>0.59487999999999996</v>
      </c>
      <c r="F122" s="77">
        <v>0.45534999999999998</v>
      </c>
      <c r="G122" s="77">
        <v>0.50797999999999999</v>
      </c>
      <c r="H122" s="77">
        <v>0.48937999999999998</v>
      </c>
      <c r="I122" s="77">
        <v>0.51327999999999996</v>
      </c>
      <c r="J122" s="77">
        <v>0.46984999999999999</v>
      </c>
      <c r="K122" s="77">
        <v>0.51902999999999999</v>
      </c>
      <c r="L122" s="77">
        <v>0.51541000000000003</v>
      </c>
      <c r="M122" s="77">
        <v>0.53417999999999999</v>
      </c>
      <c r="N122" s="77">
        <v>0.54085000000000005</v>
      </c>
      <c r="O122" s="77">
        <v>0.47500999999999999</v>
      </c>
      <c r="P122" s="77">
        <v>0.45441999999999999</v>
      </c>
      <c r="Q122" s="77">
        <v>0.43847999999999998</v>
      </c>
      <c r="R122" s="77">
        <v>0.48610999999999999</v>
      </c>
      <c r="T122">
        <v>520</v>
      </c>
      <c r="U122">
        <f t="shared" si="16"/>
        <v>1.0911</v>
      </c>
      <c r="V122">
        <f t="shared" si="17"/>
        <v>0.78286</v>
      </c>
      <c r="W122">
        <f t="shared" si="18"/>
        <v>1.1897599999999999</v>
      </c>
      <c r="X122">
        <f t="shared" si="19"/>
        <v>0.91069999999999995</v>
      </c>
      <c r="Y122">
        <f t="shared" si="20"/>
        <v>1.01596</v>
      </c>
      <c r="Z122">
        <f t="shared" si="21"/>
        <v>0.97875999999999996</v>
      </c>
      <c r="AA122">
        <f t="shared" si="22"/>
        <v>1.0265599999999999</v>
      </c>
      <c r="AB122">
        <f t="shared" si="23"/>
        <v>0.93969999999999998</v>
      </c>
      <c r="AC122">
        <f t="shared" si="24"/>
        <v>1.03806</v>
      </c>
      <c r="AD122">
        <f t="shared" si="25"/>
        <v>1.0308200000000001</v>
      </c>
      <c r="AE122">
        <f t="shared" si="26"/>
        <v>1.06836</v>
      </c>
      <c r="AF122">
        <f t="shared" si="27"/>
        <v>1.0817000000000001</v>
      </c>
      <c r="AG122">
        <f t="shared" si="28"/>
        <v>0.95001999999999998</v>
      </c>
      <c r="AH122">
        <f t="shared" si="29"/>
        <v>0.90883999999999998</v>
      </c>
      <c r="AI122">
        <f t="shared" si="30"/>
        <v>0.87695999999999996</v>
      </c>
      <c r="AJ122">
        <f t="shared" si="31"/>
        <v>0.97221999999999997</v>
      </c>
      <c r="EC122">
        <v>520</v>
      </c>
      <c r="ED122">
        <v>1.0911</v>
      </c>
      <c r="EE122">
        <v>0.78286</v>
      </c>
      <c r="EF122">
        <v>1.1897599999999999</v>
      </c>
      <c r="EG122">
        <v>0.91069999999999995</v>
      </c>
      <c r="EH122">
        <v>1.01596</v>
      </c>
      <c r="EI122">
        <v>0.97875999999999996</v>
      </c>
      <c r="EJ122">
        <v>1.0265599999999999</v>
      </c>
      <c r="EK122">
        <v>0.93969999999999998</v>
      </c>
      <c r="EL122">
        <v>1.03806</v>
      </c>
      <c r="EM122">
        <v>1.0308200000000001</v>
      </c>
      <c r="EN122">
        <v>1.06836</v>
      </c>
      <c r="EO122">
        <v>1.0817000000000001</v>
      </c>
      <c r="EP122">
        <v>0.95001999999999998</v>
      </c>
      <c r="EQ122">
        <v>0.90883999999999998</v>
      </c>
      <c r="ER122">
        <v>0.87695999999999996</v>
      </c>
      <c r="ES122">
        <v>0.97221999999999997</v>
      </c>
    </row>
    <row r="123" spans="1:149" x14ac:dyDescent="0.35">
      <c r="A123" s="77"/>
      <c r="B123" s="77">
        <v>521</v>
      </c>
      <c r="C123" s="77">
        <v>0.54276999999999997</v>
      </c>
      <c r="D123" s="77">
        <v>0.38933000000000001</v>
      </c>
      <c r="E123" s="77">
        <v>0.59180999999999995</v>
      </c>
      <c r="F123" s="77">
        <v>0.45284000000000002</v>
      </c>
      <c r="G123" s="77">
        <v>0.50654999999999994</v>
      </c>
      <c r="H123" s="77">
        <v>0.48798999999999998</v>
      </c>
      <c r="I123" s="77">
        <v>0.51170000000000004</v>
      </c>
      <c r="J123" s="77">
        <v>0.46866000000000002</v>
      </c>
      <c r="K123" s="77">
        <v>0.51758000000000004</v>
      </c>
      <c r="L123" s="77">
        <v>0.51424999999999998</v>
      </c>
      <c r="M123" s="77">
        <v>0.53281000000000001</v>
      </c>
      <c r="N123" s="77">
        <v>0.53947000000000001</v>
      </c>
      <c r="O123" s="77">
        <v>0.47391</v>
      </c>
      <c r="P123" s="77">
        <v>0.45345999999999997</v>
      </c>
      <c r="Q123" s="77">
        <v>0.43733</v>
      </c>
      <c r="R123" s="77">
        <v>0.48499999999999999</v>
      </c>
      <c r="T123">
        <v>521</v>
      </c>
      <c r="U123">
        <f t="shared" si="16"/>
        <v>1.0855399999999999</v>
      </c>
      <c r="V123">
        <f t="shared" si="17"/>
        <v>0.77866000000000002</v>
      </c>
      <c r="W123">
        <f t="shared" si="18"/>
        <v>1.1836199999999999</v>
      </c>
      <c r="X123">
        <f t="shared" si="19"/>
        <v>0.90568000000000004</v>
      </c>
      <c r="Y123">
        <f t="shared" si="20"/>
        <v>1.0130999999999999</v>
      </c>
      <c r="Z123">
        <f t="shared" si="21"/>
        <v>0.97597999999999996</v>
      </c>
      <c r="AA123">
        <f t="shared" si="22"/>
        <v>1.0234000000000001</v>
      </c>
      <c r="AB123">
        <f t="shared" si="23"/>
        <v>0.93732000000000004</v>
      </c>
      <c r="AC123">
        <f t="shared" si="24"/>
        <v>1.0351600000000001</v>
      </c>
      <c r="AD123">
        <f t="shared" si="25"/>
        <v>1.0285</v>
      </c>
      <c r="AE123">
        <f t="shared" si="26"/>
        <v>1.06562</v>
      </c>
      <c r="AF123">
        <f t="shared" si="27"/>
        <v>1.07894</v>
      </c>
      <c r="AG123">
        <f t="shared" si="28"/>
        <v>0.94782</v>
      </c>
      <c r="AH123">
        <f t="shared" si="29"/>
        <v>0.90691999999999995</v>
      </c>
      <c r="AI123">
        <f t="shared" si="30"/>
        <v>0.87465999999999999</v>
      </c>
      <c r="AJ123">
        <f t="shared" si="31"/>
        <v>0.97</v>
      </c>
      <c r="EC123">
        <v>521</v>
      </c>
      <c r="ED123">
        <v>1.0855399999999999</v>
      </c>
      <c r="EE123">
        <v>0.77866000000000002</v>
      </c>
      <c r="EF123">
        <v>1.1836199999999999</v>
      </c>
      <c r="EG123">
        <v>0.90568000000000004</v>
      </c>
      <c r="EH123">
        <v>1.0130999999999999</v>
      </c>
      <c r="EI123">
        <v>0.97597999999999996</v>
      </c>
      <c r="EJ123">
        <v>1.0234000000000001</v>
      </c>
      <c r="EK123">
        <v>0.93732000000000004</v>
      </c>
      <c r="EL123">
        <v>1.0351600000000001</v>
      </c>
      <c r="EM123">
        <v>1.0285</v>
      </c>
      <c r="EN123">
        <v>1.06562</v>
      </c>
      <c r="EO123">
        <v>1.07894</v>
      </c>
      <c r="EP123">
        <v>0.94782</v>
      </c>
      <c r="EQ123">
        <v>0.90691999999999995</v>
      </c>
      <c r="ER123">
        <v>0.87465999999999999</v>
      </c>
      <c r="ES123">
        <v>0.97</v>
      </c>
    </row>
    <row r="124" spans="1:149" x14ac:dyDescent="0.35">
      <c r="A124" s="77"/>
      <c r="B124" s="77">
        <v>522</v>
      </c>
      <c r="C124" s="77">
        <v>0.53986000000000001</v>
      </c>
      <c r="D124" s="77">
        <v>0.38718000000000002</v>
      </c>
      <c r="E124" s="77">
        <v>0.58848999999999996</v>
      </c>
      <c r="F124" s="77">
        <v>0.45038</v>
      </c>
      <c r="G124" s="77">
        <v>0.50519000000000003</v>
      </c>
      <c r="H124" s="77">
        <v>0.48653000000000002</v>
      </c>
      <c r="I124" s="77">
        <v>0.51024999999999998</v>
      </c>
      <c r="J124" s="77">
        <v>0.46740999999999999</v>
      </c>
      <c r="K124" s="77">
        <v>0.51637</v>
      </c>
      <c r="L124" s="77">
        <v>0.51295000000000002</v>
      </c>
      <c r="M124" s="77">
        <v>0.53142</v>
      </c>
      <c r="N124" s="77">
        <v>0.53798999999999997</v>
      </c>
      <c r="O124" s="77">
        <v>0.47278999999999999</v>
      </c>
      <c r="P124" s="77">
        <v>0.45245000000000002</v>
      </c>
      <c r="Q124" s="77">
        <v>0.43648999999999999</v>
      </c>
      <c r="R124" s="77">
        <v>0.4839</v>
      </c>
      <c r="T124">
        <v>522</v>
      </c>
      <c r="U124">
        <f t="shared" si="16"/>
        <v>1.07972</v>
      </c>
      <c r="V124">
        <f t="shared" si="17"/>
        <v>0.77436000000000005</v>
      </c>
      <c r="W124">
        <f t="shared" si="18"/>
        <v>1.1769799999999999</v>
      </c>
      <c r="X124">
        <f t="shared" si="19"/>
        <v>0.90076000000000001</v>
      </c>
      <c r="Y124">
        <f t="shared" si="20"/>
        <v>1.0103800000000001</v>
      </c>
      <c r="Z124">
        <f t="shared" si="21"/>
        <v>0.97306000000000004</v>
      </c>
      <c r="AA124">
        <f t="shared" si="22"/>
        <v>1.0205</v>
      </c>
      <c r="AB124">
        <f t="shared" si="23"/>
        <v>0.93481999999999998</v>
      </c>
      <c r="AC124">
        <f t="shared" si="24"/>
        <v>1.03274</v>
      </c>
      <c r="AD124">
        <f t="shared" si="25"/>
        <v>1.0259</v>
      </c>
      <c r="AE124">
        <f t="shared" si="26"/>
        <v>1.06284</v>
      </c>
      <c r="AF124">
        <f t="shared" si="27"/>
        <v>1.0759799999999999</v>
      </c>
      <c r="AG124">
        <f t="shared" si="28"/>
        <v>0.94557999999999998</v>
      </c>
      <c r="AH124">
        <f t="shared" si="29"/>
        <v>0.90490000000000004</v>
      </c>
      <c r="AI124">
        <f t="shared" si="30"/>
        <v>0.87297999999999998</v>
      </c>
      <c r="AJ124">
        <f t="shared" si="31"/>
        <v>0.96779999999999999</v>
      </c>
      <c r="EC124">
        <v>522</v>
      </c>
      <c r="ED124">
        <v>1.07972</v>
      </c>
      <c r="EE124">
        <v>0.77436000000000005</v>
      </c>
      <c r="EF124">
        <v>1.1769799999999999</v>
      </c>
      <c r="EG124">
        <v>0.90076000000000001</v>
      </c>
      <c r="EH124">
        <v>1.0103800000000001</v>
      </c>
      <c r="EI124">
        <v>0.97306000000000004</v>
      </c>
      <c r="EJ124">
        <v>1.0205</v>
      </c>
      <c r="EK124">
        <v>0.93481999999999998</v>
      </c>
      <c r="EL124">
        <v>1.03274</v>
      </c>
      <c r="EM124">
        <v>1.0259</v>
      </c>
      <c r="EN124">
        <v>1.06284</v>
      </c>
      <c r="EO124">
        <v>1.0759799999999999</v>
      </c>
      <c r="EP124">
        <v>0.94557999999999998</v>
      </c>
      <c r="EQ124">
        <v>0.90490000000000004</v>
      </c>
      <c r="ER124">
        <v>0.87297999999999998</v>
      </c>
      <c r="ES124">
        <v>0.96779999999999999</v>
      </c>
    </row>
    <row r="125" spans="1:149" x14ac:dyDescent="0.35">
      <c r="A125" s="77"/>
      <c r="B125" s="77">
        <v>523</v>
      </c>
      <c r="C125" s="77">
        <v>0.53718999999999995</v>
      </c>
      <c r="D125" s="77">
        <v>0.38538</v>
      </c>
      <c r="E125" s="77">
        <v>0.58557000000000003</v>
      </c>
      <c r="F125" s="77">
        <v>0.44803999999999999</v>
      </c>
      <c r="G125" s="77">
        <v>0.50385000000000002</v>
      </c>
      <c r="H125" s="77">
        <v>0.48515000000000003</v>
      </c>
      <c r="I125" s="77">
        <v>0.50893999999999995</v>
      </c>
      <c r="J125" s="77">
        <v>0.46634999999999999</v>
      </c>
      <c r="K125" s="77">
        <v>0.51500000000000001</v>
      </c>
      <c r="L125" s="77">
        <v>0.51171999999999995</v>
      </c>
      <c r="M125" s="77">
        <v>0.53020999999999996</v>
      </c>
      <c r="N125" s="77">
        <v>0.53683000000000003</v>
      </c>
      <c r="O125" s="77">
        <v>0.47156999999999999</v>
      </c>
      <c r="P125" s="77">
        <v>0.45145999999999997</v>
      </c>
      <c r="Q125" s="77">
        <v>0.43558999999999998</v>
      </c>
      <c r="R125" s="77">
        <v>0.48291000000000001</v>
      </c>
      <c r="T125">
        <v>523</v>
      </c>
      <c r="U125">
        <f t="shared" si="16"/>
        <v>1.0743799999999999</v>
      </c>
      <c r="V125">
        <f t="shared" si="17"/>
        <v>0.77076</v>
      </c>
      <c r="W125">
        <f t="shared" si="18"/>
        <v>1.1711400000000001</v>
      </c>
      <c r="X125">
        <f t="shared" si="19"/>
        <v>0.89607999999999999</v>
      </c>
      <c r="Y125">
        <f t="shared" si="20"/>
        <v>1.0077</v>
      </c>
      <c r="Z125">
        <f t="shared" si="21"/>
        <v>0.97030000000000005</v>
      </c>
      <c r="AA125">
        <f t="shared" si="22"/>
        <v>1.0178799999999999</v>
      </c>
      <c r="AB125">
        <f t="shared" si="23"/>
        <v>0.93269999999999997</v>
      </c>
      <c r="AC125">
        <f t="shared" si="24"/>
        <v>1.03</v>
      </c>
      <c r="AD125">
        <f t="shared" si="25"/>
        <v>1.0234399999999999</v>
      </c>
      <c r="AE125">
        <f t="shared" si="26"/>
        <v>1.0604199999999999</v>
      </c>
      <c r="AF125">
        <f t="shared" si="27"/>
        <v>1.0736600000000001</v>
      </c>
      <c r="AG125">
        <f t="shared" si="28"/>
        <v>0.94313999999999998</v>
      </c>
      <c r="AH125">
        <f t="shared" si="29"/>
        <v>0.90291999999999994</v>
      </c>
      <c r="AI125">
        <f t="shared" si="30"/>
        <v>0.87117999999999995</v>
      </c>
      <c r="AJ125">
        <f t="shared" si="31"/>
        <v>0.96582000000000001</v>
      </c>
      <c r="EC125">
        <v>523</v>
      </c>
      <c r="ED125">
        <v>1.0743799999999999</v>
      </c>
      <c r="EE125">
        <v>0.77076</v>
      </c>
      <c r="EF125">
        <v>1.1711400000000001</v>
      </c>
      <c r="EG125">
        <v>0.89607999999999999</v>
      </c>
      <c r="EH125">
        <v>1.0077</v>
      </c>
      <c r="EI125">
        <v>0.97030000000000005</v>
      </c>
      <c r="EJ125">
        <v>1.0178799999999999</v>
      </c>
      <c r="EK125">
        <v>0.93269999999999997</v>
      </c>
      <c r="EL125">
        <v>1.03</v>
      </c>
      <c r="EM125">
        <v>1.0234399999999999</v>
      </c>
      <c r="EN125">
        <v>1.0604199999999999</v>
      </c>
      <c r="EO125">
        <v>1.0736600000000001</v>
      </c>
      <c r="EP125">
        <v>0.94313999999999998</v>
      </c>
      <c r="EQ125">
        <v>0.90291999999999994</v>
      </c>
      <c r="ER125">
        <v>0.87117999999999995</v>
      </c>
      <c r="ES125">
        <v>0.96582000000000001</v>
      </c>
    </row>
    <row r="126" spans="1:149" x14ac:dyDescent="0.35">
      <c r="A126" s="77"/>
      <c r="B126" s="77">
        <v>524</v>
      </c>
      <c r="C126" s="77">
        <v>0.53434999999999999</v>
      </c>
      <c r="D126" s="77">
        <v>0.38306000000000001</v>
      </c>
      <c r="E126" s="77">
        <v>0.58233999999999997</v>
      </c>
      <c r="F126" s="77">
        <v>0.44551000000000002</v>
      </c>
      <c r="G126" s="77">
        <v>0.50256000000000001</v>
      </c>
      <c r="H126" s="77">
        <v>0.48370000000000002</v>
      </c>
      <c r="I126" s="77">
        <v>0.50746000000000002</v>
      </c>
      <c r="J126" s="77">
        <v>0.46496999999999999</v>
      </c>
      <c r="K126" s="77">
        <v>0.51368999999999998</v>
      </c>
      <c r="L126" s="77">
        <v>0.51034999999999997</v>
      </c>
      <c r="M126" s="77">
        <v>0.52866999999999997</v>
      </c>
      <c r="N126" s="77">
        <v>0.53534999999999999</v>
      </c>
      <c r="O126" s="77">
        <v>0.47062999999999999</v>
      </c>
      <c r="P126" s="77">
        <v>0.45057999999999998</v>
      </c>
      <c r="Q126" s="77">
        <v>0.43475000000000003</v>
      </c>
      <c r="R126" s="77">
        <v>0.48194999999999999</v>
      </c>
      <c r="T126">
        <v>524</v>
      </c>
      <c r="U126">
        <f t="shared" si="16"/>
        <v>1.0687</v>
      </c>
      <c r="V126">
        <f t="shared" si="17"/>
        <v>0.76612000000000002</v>
      </c>
      <c r="W126">
        <f t="shared" si="18"/>
        <v>1.1646799999999999</v>
      </c>
      <c r="X126">
        <f t="shared" si="19"/>
        <v>0.89102000000000003</v>
      </c>
      <c r="Y126">
        <f t="shared" si="20"/>
        <v>1.00512</v>
      </c>
      <c r="Z126">
        <f t="shared" si="21"/>
        <v>0.96740000000000004</v>
      </c>
      <c r="AA126">
        <f t="shared" si="22"/>
        <v>1.01492</v>
      </c>
      <c r="AB126">
        <f t="shared" si="23"/>
        <v>0.92993999999999999</v>
      </c>
      <c r="AC126">
        <f t="shared" si="24"/>
        <v>1.02738</v>
      </c>
      <c r="AD126">
        <f t="shared" si="25"/>
        <v>1.0206999999999999</v>
      </c>
      <c r="AE126">
        <f t="shared" si="26"/>
        <v>1.0573399999999999</v>
      </c>
      <c r="AF126">
        <f t="shared" si="27"/>
        <v>1.0707</v>
      </c>
      <c r="AG126">
        <f t="shared" si="28"/>
        <v>0.94125999999999999</v>
      </c>
      <c r="AH126">
        <f t="shared" si="29"/>
        <v>0.90115999999999996</v>
      </c>
      <c r="AI126">
        <f t="shared" si="30"/>
        <v>0.86950000000000005</v>
      </c>
      <c r="AJ126">
        <f t="shared" si="31"/>
        <v>0.96389999999999998</v>
      </c>
      <c r="EC126">
        <v>524</v>
      </c>
      <c r="ED126">
        <v>1.0687</v>
      </c>
      <c r="EE126">
        <v>0.76612000000000002</v>
      </c>
      <c r="EF126">
        <v>1.1646799999999999</v>
      </c>
      <c r="EG126">
        <v>0.89102000000000003</v>
      </c>
      <c r="EH126">
        <v>1.00512</v>
      </c>
      <c r="EI126">
        <v>0.96740000000000004</v>
      </c>
      <c r="EJ126">
        <v>1.01492</v>
      </c>
      <c r="EK126">
        <v>0.92993999999999999</v>
      </c>
      <c r="EL126">
        <v>1.02738</v>
      </c>
      <c r="EM126">
        <v>1.0206999999999999</v>
      </c>
      <c r="EN126">
        <v>1.0573399999999999</v>
      </c>
      <c r="EO126">
        <v>1.0707</v>
      </c>
      <c r="EP126">
        <v>0.94125999999999999</v>
      </c>
      <c r="EQ126">
        <v>0.90115999999999996</v>
      </c>
      <c r="ER126">
        <v>0.86950000000000005</v>
      </c>
      <c r="ES126">
        <v>0.96389999999999998</v>
      </c>
    </row>
    <row r="127" spans="1:149" x14ac:dyDescent="0.35">
      <c r="A127" s="77"/>
      <c r="B127" s="77">
        <v>525</v>
      </c>
      <c r="C127" s="77">
        <v>0.53190999999999999</v>
      </c>
      <c r="D127" s="77">
        <v>0.38124000000000002</v>
      </c>
      <c r="E127" s="77">
        <v>0.57955999999999996</v>
      </c>
      <c r="F127" s="77">
        <v>0.44330000000000003</v>
      </c>
      <c r="G127" s="77">
        <v>0.50151000000000001</v>
      </c>
      <c r="H127" s="77">
        <v>0.48259000000000002</v>
      </c>
      <c r="I127" s="77">
        <v>0.50644</v>
      </c>
      <c r="J127" s="77">
        <v>0.46406999999999998</v>
      </c>
      <c r="K127" s="77">
        <v>0.51273000000000002</v>
      </c>
      <c r="L127" s="77">
        <v>0.50944999999999996</v>
      </c>
      <c r="M127" s="77">
        <v>0.52763000000000004</v>
      </c>
      <c r="N127" s="77">
        <v>0.53435999999999995</v>
      </c>
      <c r="O127" s="77">
        <v>0.46978999999999999</v>
      </c>
      <c r="P127" s="77">
        <v>0.44966</v>
      </c>
      <c r="Q127" s="77">
        <v>0.43385000000000001</v>
      </c>
      <c r="R127" s="77">
        <v>0.48093999999999998</v>
      </c>
      <c r="T127">
        <v>525</v>
      </c>
      <c r="U127">
        <f t="shared" si="16"/>
        <v>1.06382</v>
      </c>
      <c r="V127">
        <f t="shared" si="17"/>
        <v>0.76248000000000005</v>
      </c>
      <c r="W127">
        <f t="shared" si="18"/>
        <v>1.1591199999999999</v>
      </c>
      <c r="X127">
        <f t="shared" si="19"/>
        <v>0.88660000000000005</v>
      </c>
      <c r="Y127">
        <f t="shared" si="20"/>
        <v>1.00302</v>
      </c>
      <c r="Z127">
        <f t="shared" si="21"/>
        <v>0.96518000000000004</v>
      </c>
      <c r="AA127">
        <f t="shared" si="22"/>
        <v>1.01288</v>
      </c>
      <c r="AB127">
        <f t="shared" si="23"/>
        <v>0.92813999999999997</v>
      </c>
      <c r="AC127">
        <f t="shared" si="24"/>
        <v>1.02546</v>
      </c>
      <c r="AD127">
        <f t="shared" si="25"/>
        <v>1.0188999999999999</v>
      </c>
      <c r="AE127">
        <f t="shared" si="26"/>
        <v>1.0552600000000001</v>
      </c>
      <c r="AF127">
        <f t="shared" si="27"/>
        <v>1.0687199999999999</v>
      </c>
      <c r="AG127">
        <f t="shared" si="28"/>
        <v>0.93957999999999997</v>
      </c>
      <c r="AH127">
        <f t="shared" si="29"/>
        <v>0.89932000000000001</v>
      </c>
      <c r="AI127">
        <f t="shared" si="30"/>
        <v>0.86770000000000003</v>
      </c>
      <c r="AJ127">
        <f t="shared" si="31"/>
        <v>0.96187999999999996</v>
      </c>
      <c r="EC127">
        <v>525</v>
      </c>
      <c r="ED127">
        <v>1.06382</v>
      </c>
      <c r="EE127">
        <v>0.76248000000000005</v>
      </c>
      <c r="EF127">
        <v>1.1591199999999999</v>
      </c>
      <c r="EG127">
        <v>0.88660000000000005</v>
      </c>
      <c r="EH127">
        <v>1.00302</v>
      </c>
      <c r="EI127">
        <v>0.96518000000000004</v>
      </c>
      <c r="EJ127">
        <v>1.01288</v>
      </c>
      <c r="EK127">
        <v>0.92813999999999997</v>
      </c>
      <c r="EL127">
        <v>1.02546</v>
      </c>
      <c r="EM127">
        <v>1.0188999999999999</v>
      </c>
      <c r="EN127">
        <v>1.0552600000000001</v>
      </c>
      <c r="EO127">
        <v>1.0687199999999999</v>
      </c>
      <c r="EP127">
        <v>0.93957999999999997</v>
      </c>
      <c r="EQ127">
        <v>0.89932000000000001</v>
      </c>
      <c r="ER127">
        <v>0.86770000000000003</v>
      </c>
      <c r="ES127">
        <v>0.96187999999999996</v>
      </c>
    </row>
    <row r="128" spans="1:149" x14ac:dyDescent="0.35">
      <c r="A128" s="77"/>
      <c r="B128" s="77">
        <v>526</v>
      </c>
      <c r="C128" s="77">
        <v>0.52915999999999996</v>
      </c>
      <c r="D128" s="77">
        <v>0.37925999999999999</v>
      </c>
      <c r="E128" s="77">
        <v>0.57647999999999999</v>
      </c>
      <c r="F128" s="77">
        <v>0.44108999999999998</v>
      </c>
      <c r="G128" s="77">
        <v>0.50007999999999997</v>
      </c>
      <c r="H128" s="77">
        <v>0.48109000000000002</v>
      </c>
      <c r="I128" s="77">
        <v>0.50497000000000003</v>
      </c>
      <c r="J128" s="77">
        <v>0.46279999999999999</v>
      </c>
      <c r="K128" s="77">
        <v>0.51126000000000005</v>
      </c>
      <c r="L128" s="77">
        <v>0.50812999999999997</v>
      </c>
      <c r="M128" s="77">
        <v>0.52615000000000001</v>
      </c>
      <c r="N128" s="77">
        <v>0.53295999999999999</v>
      </c>
      <c r="O128" s="77">
        <v>0.46877999999999997</v>
      </c>
      <c r="P128" s="77">
        <v>0.44874999999999998</v>
      </c>
      <c r="Q128" s="77">
        <v>0.433</v>
      </c>
      <c r="R128" s="77">
        <v>0.47998000000000002</v>
      </c>
      <c r="T128">
        <v>526</v>
      </c>
      <c r="U128">
        <f t="shared" si="16"/>
        <v>1.0583199999999999</v>
      </c>
      <c r="V128">
        <f t="shared" si="17"/>
        <v>0.75851999999999997</v>
      </c>
      <c r="W128">
        <f t="shared" si="18"/>
        <v>1.15296</v>
      </c>
      <c r="X128">
        <f t="shared" si="19"/>
        <v>0.88217999999999996</v>
      </c>
      <c r="Y128">
        <f t="shared" si="20"/>
        <v>1.0001599999999999</v>
      </c>
      <c r="Z128">
        <f t="shared" si="21"/>
        <v>0.96218000000000004</v>
      </c>
      <c r="AA128">
        <f t="shared" si="22"/>
        <v>1.0099400000000001</v>
      </c>
      <c r="AB128">
        <f t="shared" si="23"/>
        <v>0.92559999999999998</v>
      </c>
      <c r="AC128">
        <f t="shared" si="24"/>
        <v>1.0225200000000001</v>
      </c>
      <c r="AD128">
        <f t="shared" si="25"/>
        <v>1.0162599999999999</v>
      </c>
      <c r="AE128">
        <f t="shared" si="26"/>
        <v>1.0523</v>
      </c>
      <c r="AF128">
        <f t="shared" si="27"/>
        <v>1.06592</v>
      </c>
      <c r="AG128">
        <f t="shared" si="28"/>
        <v>0.93755999999999995</v>
      </c>
      <c r="AH128">
        <f t="shared" si="29"/>
        <v>0.89749999999999996</v>
      </c>
      <c r="AI128">
        <f t="shared" si="30"/>
        <v>0.86599999999999999</v>
      </c>
      <c r="AJ128">
        <f t="shared" si="31"/>
        <v>0.95996000000000004</v>
      </c>
      <c r="EC128">
        <v>526</v>
      </c>
      <c r="ED128">
        <v>1.0583199999999999</v>
      </c>
      <c r="EE128">
        <v>0.75851999999999997</v>
      </c>
      <c r="EF128">
        <v>1.15296</v>
      </c>
      <c r="EG128">
        <v>0.88217999999999996</v>
      </c>
      <c r="EH128">
        <v>1.0001599999999999</v>
      </c>
      <c r="EI128">
        <v>0.96218000000000004</v>
      </c>
      <c r="EJ128">
        <v>1.0099400000000001</v>
      </c>
      <c r="EK128">
        <v>0.92559999999999998</v>
      </c>
      <c r="EL128">
        <v>1.0225200000000001</v>
      </c>
      <c r="EM128">
        <v>1.0162599999999999</v>
      </c>
      <c r="EN128">
        <v>1.0523</v>
      </c>
      <c r="EO128">
        <v>1.06592</v>
      </c>
      <c r="EP128">
        <v>0.93755999999999995</v>
      </c>
      <c r="EQ128">
        <v>0.89749999999999996</v>
      </c>
      <c r="ER128">
        <v>0.86599999999999999</v>
      </c>
      <c r="ES128">
        <v>0.95996000000000004</v>
      </c>
    </row>
    <row r="129" spans="1:149" x14ac:dyDescent="0.35">
      <c r="A129" s="77"/>
      <c r="B129" s="77">
        <v>527</v>
      </c>
      <c r="C129" s="77">
        <v>0.52661000000000002</v>
      </c>
      <c r="D129" s="77">
        <v>0.37736999999999998</v>
      </c>
      <c r="E129" s="77">
        <v>0.57369999999999999</v>
      </c>
      <c r="F129" s="77">
        <v>0.43867</v>
      </c>
      <c r="G129" s="77">
        <v>0.49891999999999997</v>
      </c>
      <c r="H129" s="77">
        <v>0.47994999999999999</v>
      </c>
      <c r="I129" s="77">
        <v>0.50383</v>
      </c>
      <c r="J129" s="77">
        <v>0.46181</v>
      </c>
      <c r="K129" s="77">
        <v>0.51022000000000001</v>
      </c>
      <c r="L129" s="77">
        <v>0.50722999999999996</v>
      </c>
      <c r="M129" s="77">
        <v>0.52507000000000004</v>
      </c>
      <c r="N129" s="77">
        <v>0.53180000000000005</v>
      </c>
      <c r="O129" s="77">
        <v>0.46764</v>
      </c>
      <c r="P129" s="77">
        <v>0.44779999999999998</v>
      </c>
      <c r="Q129" s="77">
        <v>0.43203999999999998</v>
      </c>
      <c r="R129" s="77">
        <v>0.47893000000000002</v>
      </c>
      <c r="T129">
        <v>527</v>
      </c>
      <c r="U129">
        <f t="shared" si="16"/>
        <v>1.05322</v>
      </c>
      <c r="V129">
        <f t="shared" si="17"/>
        <v>0.75473999999999997</v>
      </c>
      <c r="W129">
        <f t="shared" si="18"/>
        <v>1.1474</v>
      </c>
      <c r="X129">
        <f t="shared" si="19"/>
        <v>0.87734000000000001</v>
      </c>
      <c r="Y129">
        <f t="shared" si="20"/>
        <v>0.99783999999999995</v>
      </c>
      <c r="Z129">
        <f t="shared" si="21"/>
        <v>0.95989999999999998</v>
      </c>
      <c r="AA129">
        <f t="shared" si="22"/>
        <v>1.00766</v>
      </c>
      <c r="AB129">
        <f t="shared" si="23"/>
        <v>0.92362</v>
      </c>
      <c r="AC129">
        <f t="shared" si="24"/>
        <v>1.02044</v>
      </c>
      <c r="AD129">
        <f t="shared" si="25"/>
        <v>1.0144599999999999</v>
      </c>
      <c r="AE129">
        <f t="shared" si="26"/>
        <v>1.0501400000000001</v>
      </c>
      <c r="AF129">
        <f t="shared" si="27"/>
        <v>1.0636000000000001</v>
      </c>
      <c r="AG129">
        <f t="shared" si="28"/>
        <v>0.93528</v>
      </c>
      <c r="AH129">
        <f t="shared" si="29"/>
        <v>0.89559999999999995</v>
      </c>
      <c r="AI129">
        <f t="shared" si="30"/>
        <v>0.86407999999999996</v>
      </c>
      <c r="AJ129">
        <f t="shared" si="31"/>
        <v>0.95786000000000004</v>
      </c>
      <c r="EC129">
        <v>527</v>
      </c>
      <c r="ED129">
        <v>1.05322</v>
      </c>
      <c r="EE129">
        <v>0.75473999999999997</v>
      </c>
      <c r="EF129">
        <v>1.1474</v>
      </c>
      <c r="EG129">
        <v>0.87734000000000001</v>
      </c>
      <c r="EH129">
        <v>0.99783999999999995</v>
      </c>
      <c r="EI129">
        <v>0.95989999999999998</v>
      </c>
      <c r="EJ129">
        <v>1.00766</v>
      </c>
      <c r="EK129">
        <v>0.92362</v>
      </c>
      <c r="EL129">
        <v>1.02044</v>
      </c>
      <c r="EM129">
        <v>1.0144599999999999</v>
      </c>
      <c r="EN129">
        <v>1.0501400000000001</v>
      </c>
      <c r="EO129">
        <v>1.0636000000000001</v>
      </c>
      <c r="EP129">
        <v>0.93528</v>
      </c>
      <c r="EQ129">
        <v>0.89559999999999995</v>
      </c>
      <c r="ER129">
        <v>0.86407999999999996</v>
      </c>
      <c r="ES129">
        <v>0.95786000000000004</v>
      </c>
    </row>
    <row r="130" spans="1:149" x14ac:dyDescent="0.35">
      <c r="A130" s="77"/>
      <c r="B130" s="77">
        <v>528</v>
      </c>
      <c r="C130" s="77">
        <v>0.52397000000000005</v>
      </c>
      <c r="D130" s="77">
        <v>0.3755</v>
      </c>
      <c r="E130" s="77">
        <v>0.57094</v>
      </c>
      <c r="F130" s="77">
        <v>0.43648999999999999</v>
      </c>
      <c r="G130" s="77">
        <v>0.498</v>
      </c>
      <c r="H130" s="77">
        <v>0.47883999999999999</v>
      </c>
      <c r="I130" s="77">
        <v>0.50275000000000003</v>
      </c>
      <c r="J130" s="77">
        <v>0.46100000000000002</v>
      </c>
      <c r="K130" s="77">
        <v>0.50924999999999998</v>
      </c>
      <c r="L130" s="77">
        <v>0.50619999999999998</v>
      </c>
      <c r="M130" s="77">
        <v>0.52397000000000005</v>
      </c>
      <c r="N130" s="77">
        <v>0.53078999999999998</v>
      </c>
      <c r="O130" s="77">
        <v>0.46666000000000002</v>
      </c>
      <c r="P130" s="77">
        <v>0.44692999999999999</v>
      </c>
      <c r="Q130" s="77">
        <v>0.43131999999999998</v>
      </c>
      <c r="R130" s="77">
        <v>0.47817999999999999</v>
      </c>
      <c r="T130">
        <v>528</v>
      </c>
      <c r="U130">
        <f t="shared" si="16"/>
        <v>1.0479400000000001</v>
      </c>
      <c r="V130">
        <f t="shared" si="17"/>
        <v>0.751</v>
      </c>
      <c r="W130">
        <f t="shared" si="18"/>
        <v>1.14188</v>
      </c>
      <c r="X130">
        <f t="shared" si="19"/>
        <v>0.87297999999999998</v>
      </c>
      <c r="Y130">
        <f t="shared" si="20"/>
        <v>0.996</v>
      </c>
      <c r="Z130">
        <f t="shared" si="21"/>
        <v>0.95767999999999998</v>
      </c>
      <c r="AA130">
        <f t="shared" si="22"/>
        <v>1.0055000000000001</v>
      </c>
      <c r="AB130">
        <f t="shared" si="23"/>
        <v>0.92200000000000004</v>
      </c>
      <c r="AC130">
        <f t="shared" si="24"/>
        <v>1.0185</v>
      </c>
      <c r="AD130">
        <f t="shared" si="25"/>
        <v>1.0124</v>
      </c>
      <c r="AE130">
        <f t="shared" si="26"/>
        <v>1.0479400000000001</v>
      </c>
      <c r="AF130">
        <f t="shared" si="27"/>
        <v>1.06158</v>
      </c>
      <c r="AG130">
        <f t="shared" si="28"/>
        <v>0.93332000000000004</v>
      </c>
      <c r="AH130">
        <f t="shared" si="29"/>
        <v>0.89385999999999999</v>
      </c>
      <c r="AI130">
        <f t="shared" si="30"/>
        <v>0.86263999999999996</v>
      </c>
      <c r="AJ130">
        <f t="shared" si="31"/>
        <v>0.95635999999999999</v>
      </c>
      <c r="EC130">
        <v>528</v>
      </c>
      <c r="ED130">
        <v>1.0479400000000001</v>
      </c>
      <c r="EE130">
        <v>0.751</v>
      </c>
      <c r="EF130">
        <v>1.14188</v>
      </c>
      <c r="EG130">
        <v>0.87297999999999998</v>
      </c>
      <c r="EH130">
        <v>0.996</v>
      </c>
      <c r="EI130">
        <v>0.95767999999999998</v>
      </c>
      <c r="EJ130">
        <v>1.0055000000000001</v>
      </c>
      <c r="EK130">
        <v>0.92200000000000004</v>
      </c>
      <c r="EL130">
        <v>1.0185</v>
      </c>
      <c r="EM130">
        <v>1.0124</v>
      </c>
      <c r="EN130">
        <v>1.0479400000000001</v>
      </c>
      <c r="EO130">
        <v>1.06158</v>
      </c>
      <c r="EP130">
        <v>0.93332000000000004</v>
      </c>
      <c r="EQ130">
        <v>0.89385999999999999</v>
      </c>
      <c r="ER130">
        <v>0.86263999999999996</v>
      </c>
      <c r="ES130">
        <v>0.95635999999999999</v>
      </c>
    </row>
    <row r="131" spans="1:149" x14ac:dyDescent="0.35">
      <c r="A131" s="77"/>
      <c r="B131" s="77">
        <v>529</v>
      </c>
      <c r="C131" s="77">
        <v>0.52144999999999997</v>
      </c>
      <c r="D131" s="77">
        <v>0.37358000000000002</v>
      </c>
      <c r="E131" s="77">
        <v>0.56786999999999999</v>
      </c>
      <c r="F131" s="77">
        <v>0.43414000000000003</v>
      </c>
      <c r="G131" s="77">
        <v>0.49661</v>
      </c>
      <c r="H131" s="77">
        <v>0.47743000000000002</v>
      </c>
      <c r="I131" s="77">
        <v>0.50144999999999995</v>
      </c>
      <c r="J131" s="77">
        <v>0.45974999999999999</v>
      </c>
      <c r="K131" s="77">
        <v>0.50792000000000004</v>
      </c>
      <c r="L131" s="77">
        <v>0.50492999999999999</v>
      </c>
      <c r="M131" s="77">
        <v>0.52256999999999998</v>
      </c>
      <c r="N131" s="77">
        <v>0.52947999999999995</v>
      </c>
      <c r="O131" s="77">
        <v>0.46566999999999997</v>
      </c>
      <c r="P131" s="77">
        <v>0.44595000000000001</v>
      </c>
      <c r="Q131" s="77">
        <v>0.43034</v>
      </c>
      <c r="R131" s="77">
        <v>0.47697000000000001</v>
      </c>
      <c r="T131">
        <v>529</v>
      </c>
      <c r="U131">
        <f t="shared" ref="U131:U194" si="32">C131*2</f>
        <v>1.0428999999999999</v>
      </c>
      <c r="V131">
        <f t="shared" ref="V131:V194" si="33">D131*2</f>
        <v>0.74716000000000005</v>
      </c>
      <c r="W131">
        <f t="shared" ref="W131:W194" si="34">E131*2</f>
        <v>1.13574</v>
      </c>
      <c r="X131">
        <f t="shared" ref="X131:X194" si="35">F131*2</f>
        <v>0.86828000000000005</v>
      </c>
      <c r="Y131">
        <f t="shared" ref="Y131:Y194" si="36">G131*2</f>
        <v>0.99321999999999999</v>
      </c>
      <c r="Z131">
        <f t="shared" ref="Z131:Z194" si="37">H131*2</f>
        <v>0.95486000000000004</v>
      </c>
      <c r="AA131">
        <f t="shared" ref="AA131:AA194" si="38">I131*2</f>
        <v>1.0028999999999999</v>
      </c>
      <c r="AB131">
        <f t="shared" ref="AB131:AB194" si="39">J131*2</f>
        <v>0.91949999999999998</v>
      </c>
      <c r="AC131">
        <f t="shared" ref="AC131:AC194" si="40">K131*2</f>
        <v>1.0158400000000001</v>
      </c>
      <c r="AD131">
        <f t="shared" ref="AD131:AD194" si="41">L131*2</f>
        <v>1.00986</v>
      </c>
      <c r="AE131">
        <f t="shared" ref="AE131:AE194" si="42">M131*2</f>
        <v>1.04514</v>
      </c>
      <c r="AF131">
        <f t="shared" ref="AF131:AF194" si="43">N131*2</f>
        <v>1.0589599999999999</v>
      </c>
      <c r="AG131">
        <f t="shared" ref="AG131:AG194" si="44">O131*2</f>
        <v>0.93133999999999995</v>
      </c>
      <c r="AH131">
        <f t="shared" ref="AH131:AH194" si="45">P131*2</f>
        <v>0.89190000000000003</v>
      </c>
      <c r="AI131">
        <f t="shared" ref="AI131:AI194" si="46">Q131*2</f>
        <v>0.86068</v>
      </c>
      <c r="AJ131">
        <f t="shared" ref="AJ131:AJ194" si="47">R131*2</f>
        <v>0.95394000000000001</v>
      </c>
      <c r="EC131">
        <v>529</v>
      </c>
      <c r="ED131">
        <v>1.0428999999999999</v>
      </c>
      <c r="EE131">
        <v>0.74716000000000005</v>
      </c>
      <c r="EF131">
        <v>1.13574</v>
      </c>
      <c r="EG131">
        <v>0.86828000000000005</v>
      </c>
      <c r="EH131">
        <v>0.99321999999999999</v>
      </c>
      <c r="EI131">
        <v>0.95486000000000004</v>
      </c>
      <c r="EJ131">
        <v>1.0028999999999999</v>
      </c>
      <c r="EK131">
        <v>0.91949999999999998</v>
      </c>
      <c r="EL131">
        <v>1.0158400000000001</v>
      </c>
      <c r="EM131">
        <v>1.00986</v>
      </c>
      <c r="EN131">
        <v>1.04514</v>
      </c>
      <c r="EO131">
        <v>1.0589599999999999</v>
      </c>
      <c r="EP131">
        <v>0.93133999999999995</v>
      </c>
      <c r="EQ131">
        <v>0.89190000000000003</v>
      </c>
      <c r="ER131">
        <v>0.86068</v>
      </c>
      <c r="ES131">
        <v>0.95394000000000001</v>
      </c>
    </row>
    <row r="132" spans="1:149" x14ac:dyDescent="0.35">
      <c r="A132" s="77"/>
      <c r="B132" s="77">
        <v>530</v>
      </c>
      <c r="C132" s="77">
        <v>0.51895000000000002</v>
      </c>
      <c r="D132" s="77">
        <v>0.37169999999999997</v>
      </c>
      <c r="E132" s="77">
        <v>0.56508999999999998</v>
      </c>
      <c r="F132" s="77">
        <v>0.43192999999999998</v>
      </c>
      <c r="G132" s="77">
        <v>0.49553999999999998</v>
      </c>
      <c r="H132" s="77">
        <v>0.47638999999999998</v>
      </c>
      <c r="I132" s="77">
        <v>0.50026000000000004</v>
      </c>
      <c r="J132" s="77">
        <v>0.45883000000000002</v>
      </c>
      <c r="K132" s="77">
        <v>0.50687000000000004</v>
      </c>
      <c r="L132" s="77">
        <v>0.50394000000000005</v>
      </c>
      <c r="M132" s="77">
        <v>0.52146999999999999</v>
      </c>
      <c r="N132" s="77">
        <v>0.52832000000000001</v>
      </c>
      <c r="O132" s="77">
        <v>0.46468999999999999</v>
      </c>
      <c r="P132" s="77">
        <v>0.44513999999999998</v>
      </c>
      <c r="Q132" s="77">
        <v>0.42953000000000002</v>
      </c>
      <c r="R132" s="77">
        <v>0.47606999999999999</v>
      </c>
      <c r="T132">
        <v>530</v>
      </c>
      <c r="U132">
        <f t="shared" si="32"/>
        <v>1.0379</v>
      </c>
      <c r="V132">
        <f t="shared" si="33"/>
        <v>0.74339999999999995</v>
      </c>
      <c r="W132">
        <f t="shared" si="34"/>
        <v>1.13018</v>
      </c>
      <c r="X132">
        <f t="shared" si="35"/>
        <v>0.86385999999999996</v>
      </c>
      <c r="Y132">
        <f t="shared" si="36"/>
        <v>0.99107999999999996</v>
      </c>
      <c r="Z132">
        <f t="shared" si="37"/>
        <v>0.95277999999999996</v>
      </c>
      <c r="AA132">
        <f t="shared" si="38"/>
        <v>1.0005200000000001</v>
      </c>
      <c r="AB132">
        <f t="shared" si="39"/>
        <v>0.91766000000000003</v>
      </c>
      <c r="AC132">
        <f t="shared" si="40"/>
        <v>1.0137400000000001</v>
      </c>
      <c r="AD132">
        <f t="shared" si="41"/>
        <v>1.0078800000000001</v>
      </c>
      <c r="AE132">
        <f t="shared" si="42"/>
        <v>1.04294</v>
      </c>
      <c r="AF132">
        <f t="shared" si="43"/>
        <v>1.05664</v>
      </c>
      <c r="AG132">
        <f t="shared" si="44"/>
        <v>0.92937999999999998</v>
      </c>
      <c r="AH132">
        <f t="shared" si="45"/>
        <v>0.89027999999999996</v>
      </c>
      <c r="AI132">
        <f t="shared" si="46"/>
        <v>0.85906000000000005</v>
      </c>
      <c r="AJ132">
        <f t="shared" si="47"/>
        <v>0.95213999999999999</v>
      </c>
      <c r="EC132">
        <v>530</v>
      </c>
      <c r="ED132">
        <v>1.0379</v>
      </c>
      <c r="EE132">
        <v>0.74339999999999995</v>
      </c>
      <c r="EF132">
        <v>1.13018</v>
      </c>
      <c r="EG132">
        <v>0.86385999999999996</v>
      </c>
      <c r="EH132">
        <v>0.99107999999999996</v>
      </c>
      <c r="EI132">
        <v>0.95277999999999996</v>
      </c>
      <c r="EJ132">
        <v>1.0005200000000001</v>
      </c>
      <c r="EK132">
        <v>0.91766000000000003</v>
      </c>
      <c r="EL132">
        <v>1.0137400000000001</v>
      </c>
      <c r="EM132">
        <v>1.0078800000000001</v>
      </c>
      <c r="EN132">
        <v>1.04294</v>
      </c>
      <c r="EO132">
        <v>1.05664</v>
      </c>
      <c r="EP132">
        <v>0.92937999999999998</v>
      </c>
      <c r="EQ132">
        <v>0.89027999999999996</v>
      </c>
      <c r="ER132">
        <v>0.85906000000000005</v>
      </c>
      <c r="ES132">
        <v>0.95213999999999999</v>
      </c>
    </row>
    <row r="133" spans="1:149" x14ac:dyDescent="0.35">
      <c r="A133" s="77"/>
      <c r="B133" s="77">
        <v>531</v>
      </c>
      <c r="C133" s="77">
        <v>0.51665000000000005</v>
      </c>
      <c r="D133" s="77">
        <v>0.37</v>
      </c>
      <c r="E133" s="77">
        <v>0.56242000000000003</v>
      </c>
      <c r="F133" s="77">
        <v>0.42996000000000001</v>
      </c>
      <c r="G133" s="77">
        <v>0.49435000000000001</v>
      </c>
      <c r="H133" s="77">
        <v>0.47532999999999997</v>
      </c>
      <c r="I133" s="77">
        <v>0.49913000000000002</v>
      </c>
      <c r="J133" s="77">
        <v>0.45778000000000002</v>
      </c>
      <c r="K133" s="77">
        <v>0.50575000000000003</v>
      </c>
      <c r="L133" s="77">
        <v>0.50300999999999996</v>
      </c>
      <c r="M133" s="77">
        <v>0.52034000000000002</v>
      </c>
      <c r="N133" s="77">
        <v>0.52719000000000005</v>
      </c>
      <c r="O133" s="77">
        <v>0.46384999999999998</v>
      </c>
      <c r="P133" s="77">
        <v>0.44438</v>
      </c>
      <c r="Q133" s="77">
        <v>0.42879</v>
      </c>
      <c r="R133" s="77">
        <v>0.47516999999999998</v>
      </c>
      <c r="T133">
        <v>531</v>
      </c>
      <c r="U133">
        <f t="shared" si="32"/>
        <v>1.0333000000000001</v>
      </c>
      <c r="V133">
        <f t="shared" si="33"/>
        <v>0.74</v>
      </c>
      <c r="W133">
        <f t="shared" si="34"/>
        <v>1.1248400000000001</v>
      </c>
      <c r="X133">
        <f t="shared" si="35"/>
        <v>0.85992000000000002</v>
      </c>
      <c r="Y133">
        <f t="shared" si="36"/>
        <v>0.98870000000000002</v>
      </c>
      <c r="Z133">
        <f t="shared" si="37"/>
        <v>0.95065999999999995</v>
      </c>
      <c r="AA133">
        <f t="shared" si="38"/>
        <v>0.99826000000000004</v>
      </c>
      <c r="AB133">
        <f t="shared" si="39"/>
        <v>0.91556000000000004</v>
      </c>
      <c r="AC133">
        <f t="shared" si="40"/>
        <v>1.0115000000000001</v>
      </c>
      <c r="AD133">
        <f t="shared" si="41"/>
        <v>1.0060199999999999</v>
      </c>
      <c r="AE133">
        <f t="shared" si="42"/>
        <v>1.04068</v>
      </c>
      <c r="AF133">
        <f t="shared" si="43"/>
        <v>1.0543800000000001</v>
      </c>
      <c r="AG133">
        <f t="shared" si="44"/>
        <v>0.92769999999999997</v>
      </c>
      <c r="AH133">
        <f t="shared" si="45"/>
        <v>0.88875999999999999</v>
      </c>
      <c r="AI133">
        <f t="shared" si="46"/>
        <v>0.85758000000000001</v>
      </c>
      <c r="AJ133">
        <f t="shared" si="47"/>
        <v>0.95033999999999996</v>
      </c>
      <c r="EC133">
        <v>531</v>
      </c>
      <c r="ED133">
        <v>1.0333000000000001</v>
      </c>
      <c r="EE133">
        <v>0.74</v>
      </c>
      <c r="EF133">
        <v>1.1248400000000001</v>
      </c>
      <c r="EG133">
        <v>0.85992000000000002</v>
      </c>
      <c r="EH133">
        <v>0.98870000000000002</v>
      </c>
      <c r="EI133">
        <v>0.95065999999999995</v>
      </c>
      <c r="EJ133">
        <v>0.99826000000000004</v>
      </c>
      <c r="EK133">
        <v>0.91556000000000004</v>
      </c>
      <c r="EL133">
        <v>1.0115000000000001</v>
      </c>
      <c r="EM133">
        <v>1.0060199999999999</v>
      </c>
      <c r="EN133">
        <v>1.04068</v>
      </c>
      <c r="EO133">
        <v>1.0543800000000001</v>
      </c>
      <c r="EP133">
        <v>0.92769999999999997</v>
      </c>
      <c r="EQ133">
        <v>0.88875999999999999</v>
      </c>
      <c r="ER133">
        <v>0.85758000000000001</v>
      </c>
      <c r="ES133">
        <v>0.95033999999999996</v>
      </c>
    </row>
    <row r="134" spans="1:149" x14ac:dyDescent="0.35">
      <c r="A134" s="77"/>
      <c r="B134" s="77">
        <v>532</v>
      </c>
      <c r="C134" s="77">
        <v>0.51443000000000005</v>
      </c>
      <c r="D134" s="77">
        <v>0.36836000000000002</v>
      </c>
      <c r="E134" s="77">
        <v>0.56013000000000002</v>
      </c>
      <c r="F134" s="77">
        <v>0.42798999999999998</v>
      </c>
      <c r="G134" s="77">
        <v>0.49325999999999998</v>
      </c>
      <c r="H134" s="77">
        <v>0.47422999999999998</v>
      </c>
      <c r="I134" s="77">
        <v>0.49796000000000001</v>
      </c>
      <c r="J134" s="77">
        <v>0.45683000000000001</v>
      </c>
      <c r="K134" s="77">
        <v>0.50475000000000003</v>
      </c>
      <c r="L134" s="77">
        <v>0.50188999999999995</v>
      </c>
      <c r="M134" s="77">
        <v>0.51929999999999998</v>
      </c>
      <c r="N134" s="77">
        <v>0.5262</v>
      </c>
      <c r="O134" s="77">
        <v>0.46298</v>
      </c>
      <c r="P134" s="77">
        <v>0.44356000000000001</v>
      </c>
      <c r="Q134" s="77">
        <v>0.42798999999999998</v>
      </c>
      <c r="R134" s="77">
        <v>0.47437000000000001</v>
      </c>
      <c r="T134">
        <v>532</v>
      </c>
      <c r="U134">
        <f t="shared" si="32"/>
        <v>1.0288600000000001</v>
      </c>
      <c r="V134">
        <f t="shared" si="33"/>
        <v>0.73672000000000004</v>
      </c>
      <c r="W134">
        <f t="shared" si="34"/>
        <v>1.12026</v>
      </c>
      <c r="X134">
        <f t="shared" si="35"/>
        <v>0.85597999999999996</v>
      </c>
      <c r="Y134">
        <f t="shared" si="36"/>
        <v>0.98651999999999995</v>
      </c>
      <c r="Z134">
        <f t="shared" si="37"/>
        <v>0.94845999999999997</v>
      </c>
      <c r="AA134">
        <f t="shared" si="38"/>
        <v>0.99592000000000003</v>
      </c>
      <c r="AB134">
        <f t="shared" si="39"/>
        <v>0.91366000000000003</v>
      </c>
      <c r="AC134">
        <f t="shared" si="40"/>
        <v>1.0095000000000001</v>
      </c>
      <c r="AD134">
        <f t="shared" si="41"/>
        <v>1.0037799999999999</v>
      </c>
      <c r="AE134">
        <f t="shared" si="42"/>
        <v>1.0386</v>
      </c>
      <c r="AF134">
        <f t="shared" si="43"/>
        <v>1.0524</v>
      </c>
      <c r="AG134">
        <f t="shared" si="44"/>
        <v>0.92596000000000001</v>
      </c>
      <c r="AH134">
        <f t="shared" si="45"/>
        <v>0.88712000000000002</v>
      </c>
      <c r="AI134">
        <f t="shared" si="46"/>
        <v>0.85597999999999996</v>
      </c>
      <c r="AJ134">
        <f t="shared" si="47"/>
        <v>0.94874000000000003</v>
      </c>
      <c r="EC134">
        <v>532</v>
      </c>
      <c r="ED134">
        <v>1.0288600000000001</v>
      </c>
      <c r="EE134">
        <v>0.73672000000000004</v>
      </c>
      <c r="EF134">
        <v>1.12026</v>
      </c>
      <c r="EG134">
        <v>0.85597999999999996</v>
      </c>
      <c r="EH134">
        <v>0.98651999999999995</v>
      </c>
      <c r="EI134">
        <v>0.94845999999999997</v>
      </c>
      <c r="EJ134">
        <v>0.99592000000000003</v>
      </c>
      <c r="EK134">
        <v>0.91366000000000003</v>
      </c>
      <c r="EL134">
        <v>1.0095000000000001</v>
      </c>
      <c r="EM134">
        <v>1.0037799999999999</v>
      </c>
      <c r="EN134">
        <v>1.0386</v>
      </c>
      <c r="EO134">
        <v>1.0524</v>
      </c>
      <c r="EP134">
        <v>0.92596000000000001</v>
      </c>
      <c r="EQ134">
        <v>0.88712000000000002</v>
      </c>
      <c r="ER134">
        <v>0.85597999999999996</v>
      </c>
      <c r="ES134">
        <v>0.94874000000000003</v>
      </c>
    </row>
    <row r="135" spans="1:149" x14ac:dyDescent="0.35">
      <c r="A135" s="77"/>
      <c r="B135" s="77">
        <v>533</v>
      </c>
      <c r="C135" s="77">
        <v>0.51217999999999997</v>
      </c>
      <c r="D135" s="77">
        <v>0.36670000000000003</v>
      </c>
      <c r="E135" s="77">
        <v>0.55747999999999998</v>
      </c>
      <c r="F135" s="77">
        <v>0.42601</v>
      </c>
      <c r="G135" s="77">
        <v>0.49231000000000003</v>
      </c>
      <c r="H135" s="77">
        <v>0.47310000000000002</v>
      </c>
      <c r="I135" s="77">
        <v>0.49692999999999998</v>
      </c>
      <c r="J135" s="77">
        <v>0.45598</v>
      </c>
      <c r="K135" s="77">
        <v>0.50375000000000003</v>
      </c>
      <c r="L135" s="77">
        <v>0.50104000000000004</v>
      </c>
      <c r="M135" s="77">
        <v>0.51822999999999997</v>
      </c>
      <c r="N135" s="77">
        <v>0.52500999999999998</v>
      </c>
      <c r="O135" s="77">
        <v>0.46206999999999998</v>
      </c>
      <c r="P135" s="77">
        <v>0.44263999999999998</v>
      </c>
      <c r="Q135" s="77">
        <v>0.42714999999999997</v>
      </c>
      <c r="R135" s="77">
        <v>0.47336</v>
      </c>
      <c r="T135">
        <v>533</v>
      </c>
      <c r="U135">
        <f t="shared" si="32"/>
        <v>1.0243599999999999</v>
      </c>
      <c r="V135">
        <f t="shared" si="33"/>
        <v>0.73340000000000005</v>
      </c>
      <c r="W135">
        <f t="shared" si="34"/>
        <v>1.11496</v>
      </c>
      <c r="X135">
        <f t="shared" si="35"/>
        <v>0.85202</v>
      </c>
      <c r="Y135">
        <f t="shared" si="36"/>
        <v>0.98462000000000005</v>
      </c>
      <c r="Z135">
        <f t="shared" si="37"/>
        <v>0.94620000000000004</v>
      </c>
      <c r="AA135">
        <f t="shared" si="38"/>
        <v>0.99385999999999997</v>
      </c>
      <c r="AB135">
        <f t="shared" si="39"/>
        <v>0.91195999999999999</v>
      </c>
      <c r="AC135">
        <f t="shared" si="40"/>
        <v>1.0075000000000001</v>
      </c>
      <c r="AD135">
        <f t="shared" si="41"/>
        <v>1.0020800000000001</v>
      </c>
      <c r="AE135">
        <f t="shared" si="42"/>
        <v>1.0364599999999999</v>
      </c>
      <c r="AF135">
        <f t="shared" si="43"/>
        <v>1.05002</v>
      </c>
      <c r="AG135">
        <f t="shared" si="44"/>
        <v>0.92413999999999996</v>
      </c>
      <c r="AH135">
        <f t="shared" si="45"/>
        <v>0.88527999999999996</v>
      </c>
      <c r="AI135">
        <f t="shared" si="46"/>
        <v>0.85429999999999995</v>
      </c>
      <c r="AJ135">
        <f t="shared" si="47"/>
        <v>0.94672000000000001</v>
      </c>
      <c r="EC135">
        <v>533</v>
      </c>
      <c r="ED135">
        <v>1.0243599999999999</v>
      </c>
      <c r="EE135">
        <v>0.73340000000000005</v>
      </c>
      <c r="EF135">
        <v>1.11496</v>
      </c>
      <c r="EG135">
        <v>0.85202</v>
      </c>
      <c r="EH135">
        <v>0.98462000000000005</v>
      </c>
      <c r="EI135">
        <v>0.94620000000000004</v>
      </c>
      <c r="EJ135">
        <v>0.99385999999999997</v>
      </c>
      <c r="EK135">
        <v>0.91195999999999999</v>
      </c>
      <c r="EL135">
        <v>1.0075000000000001</v>
      </c>
      <c r="EM135">
        <v>1.0020800000000001</v>
      </c>
      <c r="EN135">
        <v>1.0364599999999999</v>
      </c>
      <c r="EO135">
        <v>1.05002</v>
      </c>
      <c r="EP135">
        <v>0.92413999999999996</v>
      </c>
      <c r="EQ135">
        <v>0.88527999999999996</v>
      </c>
      <c r="ER135">
        <v>0.85429999999999995</v>
      </c>
      <c r="ES135">
        <v>0.94672000000000001</v>
      </c>
    </row>
    <row r="136" spans="1:149" x14ac:dyDescent="0.35">
      <c r="A136" s="77"/>
      <c r="B136" s="77">
        <v>534</v>
      </c>
      <c r="C136" s="77">
        <v>0.50992999999999999</v>
      </c>
      <c r="D136" s="77">
        <v>0.36498999999999998</v>
      </c>
      <c r="E136" s="77">
        <v>0.55501999999999996</v>
      </c>
      <c r="F136" s="77">
        <v>0.42412</v>
      </c>
      <c r="G136" s="77">
        <v>0.49131999999999998</v>
      </c>
      <c r="H136" s="77">
        <v>0.47223999999999999</v>
      </c>
      <c r="I136" s="77">
        <v>0.49608000000000002</v>
      </c>
      <c r="J136" s="77">
        <v>0.45512000000000002</v>
      </c>
      <c r="K136" s="77">
        <v>0.50287000000000004</v>
      </c>
      <c r="L136" s="77">
        <v>0.50034000000000001</v>
      </c>
      <c r="M136" s="77">
        <v>0.51727000000000001</v>
      </c>
      <c r="N136" s="77">
        <v>0.52415</v>
      </c>
      <c r="O136" s="77">
        <v>0.46111000000000002</v>
      </c>
      <c r="P136" s="77">
        <v>0.44177</v>
      </c>
      <c r="Q136" s="77">
        <v>0.42615999999999998</v>
      </c>
      <c r="R136" s="77">
        <v>0.47241</v>
      </c>
      <c r="T136">
        <v>534</v>
      </c>
      <c r="U136">
        <f t="shared" si="32"/>
        <v>1.01986</v>
      </c>
      <c r="V136">
        <f t="shared" si="33"/>
        <v>0.72997999999999996</v>
      </c>
      <c r="W136">
        <f t="shared" si="34"/>
        <v>1.1100399999999999</v>
      </c>
      <c r="X136">
        <f t="shared" si="35"/>
        <v>0.84823999999999999</v>
      </c>
      <c r="Y136">
        <f t="shared" si="36"/>
        <v>0.98263999999999996</v>
      </c>
      <c r="Z136">
        <f t="shared" si="37"/>
        <v>0.94447999999999999</v>
      </c>
      <c r="AA136">
        <f t="shared" si="38"/>
        <v>0.99216000000000004</v>
      </c>
      <c r="AB136">
        <f t="shared" si="39"/>
        <v>0.91024000000000005</v>
      </c>
      <c r="AC136">
        <f t="shared" si="40"/>
        <v>1.0057400000000001</v>
      </c>
      <c r="AD136">
        <f t="shared" si="41"/>
        <v>1.00068</v>
      </c>
      <c r="AE136">
        <f t="shared" si="42"/>
        <v>1.03454</v>
      </c>
      <c r="AF136">
        <f t="shared" si="43"/>
        <v>1.0483</v>
      </c>
      <c r="AG136">
        <f t="shared" si="44"/>
        <v>0.92222000000000004</v>
      </c>
      <c r="AH136">
        <f t="shared" si="45"/>
        <v>0.88353999999999999</v>
      </c>
      <c r="AI136">
        <f t="shared" si="46"/>
        <v>0.85231999999999997</v>
      </c>
      <c r="AJ136">
        <f t="shared" si="47"/>
        <v>0.94481999999999999</v>
      </c>
      <c r="EC136">
        <v>534</v>
      </c>
      <c r="ED136">
        <v>1.01986</v>
      </c>
      <c r="EE136">
        <v>0.72997999999999996</v>
      </c>
      <c r="EF136">
        <v>1.1100399999999999</v>
      </c>
      <c r="EG136">
        <v>0.84823999999999999</v>
      </c>
      <c r="EH136">
        <v>0.98263999999999996</v>
      </c>
      <c r="EI136">
        <v>0.94447999999999999</v>
      </c>
      <c r="EJ136">
        <v>0.99216000000000004</v>
      </c>
      <c r="EK136">
        <v>0.91024000000000005</v>
      </c>
      <c r="EL136">
        <v>1.0057400000000001</v>
      </c>
      <c r="EM136">
        <v>1.00068</v>
      </c>
      <c r="EN136">
        <v>1.03454</v>
      </c>
      <c r="EO136">
        <v>1.0483</v>
      </c>
      <c r="EP136">
        <v>0.92222000000000004</v>
      </c>
      <c r="EQ136">
        <v>0.88353999999999999</v>
      </c>
      <c r="ER136">
        <v>0.85231999999999997</v>
      </c>
      <c r="ES136">
        <v>0.94481999999999999</v>
      </c>
    </row>
    <row r="137" spans="1:149" x14ac:dyDescent="0.35">
      <c r="A137" s="77"/>
      <c r="B137" s="77">
        <v>535</v>
      </c>
      <c r="C137" s="77">
        <v>0.50766</v>
      </c>
      <c r="D137" s="77">
        <v>0.36326999999999998</v>
      </c>
      <c r="E137" s="77">
        <v>0.55254000000000003</v>
      </c>
      <c r="F137" s="77">
        <v>0.42209000000000002</v>
      </c>
      <c r="G137" s="77">
        <v>0.49025999999999997</v>
      </c>
      <c r="H137" s="77">
        <v>0.47116000000000002</v>
      </c>
      <c r="I137" s="77">
        <v>0.49501000000000001</v>
      </c>
      <c r="J137" s="77">
        <v>0.45421</v>
      </c>
      <c r="K137" s="77">
        <v>0.50194000000000005</v>
      </c>
      <c r="L137" s="77">
        <v>0.49936999999999998</v>
      </c>
      <c r="M137" s="77">
        <v>0.51634000000000002</v>
      </c>
      <c r="N137" s="77">
        <v>0.52310000000000001</v>
      </c>
      <c r="O137" s="77">
        <v>0.46023999999999998</v>
      </c>
      <c r="P137" s="77">
        <v>0.44103999999999999</v>
      </c>
      <c r="Q137" s="77">
        <v>0.42570000000000002</v>
      </c>
      <c r="R137" s="77">
        <v>0.47162999999999999</v>
      </c>
      <c r="T137">
        <v>535</v>
      </c>
      <c r="U137">
        <f t="shared" si="32"/>
        <v>1.01532</v>
      </c>
      <c r="V137">
        <f t="shared" si="33"/>
        <v>0.72653999999999996</v>
      </c>
      <c r="W137">
        <f t="shared" si="34"/>
        <v>1.1050800000000001</v>
      </c>
      <c r="X137">
        <f t="shared" si="35"/>
        <v>0.84418000000000004</v>
      </c>
      <c r="Y137">
        <f t="shared" si="36"/>
        <v>0.98051999999999995</v>
      </c>
      <c r="Z137">
        <f t="shared" si="37"/>
        <v>0.94232000000000005</v>
      </c>
      <c r="AA137">
        <f t="shared" si="38"/>
        <v>0.99002000000000001</v>
      </c>
      <c r="AB137">
        <f t="shared" si="39"/>
        <v>0.90842000000000001</v>
      </c>
      <c r="AC137">
        <f t="shared" si="40"/>
        <v>1.0038800000000001</v>
      </c>
      <c r="AD137">
        <f t="shared" si="41"/>
        <v>0.99873999999999996</v>
      </c>
      <c r="AE137">
        <f t="shared" si="42"/>
        <v>1.03268</v>
      </c>
      <c r="AF137">
        <f t="shared" si="43"/>
        <v>1.0462</v>
      </c>
      <c r="AG137">
        <f t="shared" si="44"/>
        <v>0.92047999999999996</v>
      </c>
      <c r="AH137">
        <f t="shared" si="45"/>
        <v>0.88207999999999998</v>
      </c>
      <c r="AI137">
        <f t="shared" si="46"/>
        <v>0.85140000000000005</v>
      </c>
      <c r="AJ137">
        <f t="shared" si="47"/>
        <v>0.94325999999999999</v>
      </c>
      <c r="EC137">
        <v>535</v>
      </c>
      <c r="ED137">
        <v>1.01532</v>
      </c>
      <c r="EE137">
        <v>0.72653999999999996</v>
      </c>
      <c r="EF137">
        <v>1.1050800000000001</v>
      </c>
      <c r="EG137">
        <v>0.84418000000000004</v>
      </c>
      <c r="EH137">
        <v>0.98051999999999995</v>
      </c>
      <c r="EI137">
        <v>0.94232000000000005</v>
      </c>
      <c r="EJ137">
        <v>0.99002000000000001</v>
      </c>
      <c r="EK137">
        <v>0.90842000000000001</v>
      </c>
      <c r="EL137">
        <v>1.0038800000000001</v>
      </c>
      <c r="EM137">
        <v>0.99873999999999996</v>
      </c>
      <c r="EN137">
        <v>1.03268</v>
      </c>
      <c r="EO137">
        <v>1.0462</v>
      </c>
      <c r="EP137">
        <v>0.92047999999999996</v>
      </c>
      <c r="EQ137">
        <v>0.88207999999999998</v>
      </c>
      <c r="ER137">
        <v>0.85140000000000005</v>
      </c>
      <c r="ES137">
        <v>0.94325999999999999</v>
      </c>
    </row>
    <row r="138" spans="1:149" x14ac:dyDescent="0.35">
      <c r="A138" s="77"/>
      <c r="B138" s="77">
        <v>536</v>
      </c>
      <c r="C138" s="77">
        <v>0.50561999999999996</v>
      </c>
      <c r="D138" s="77">
        <v>0.36182999999999998</v>
      </c>
      <c r="E138" s="77">
        <v>0.55013999999999996</v>
      </c>
      <c r="F138" s="77">
        <v>0.42032999999999998</v>
      </c>
      <c r="G138" s="77">
        <v>0.48953000000000002</v>
      </c>
      <c r="H138" s="77">
        <v>0.47026000000000001</v>
      </c>
      <c r="I138" s="77">
        <v>0.49408999999999997</v>
      </c>
      <c r="J138" s="77">
        <v>0.45337</v>
      </c>
      <c r="K138" s="77">
        <v>0.50116000000000005</v>
      </c>
      <c r="L138" s="77">
        <v>0.49848999999999999</v>
      </c>
      <c r="M138" s="77">
        <v>0.51541000000000003</v>
      </c>
      <c r="N138" s="77">
        <v>0.52227999999999997</v>
      </c>
      <c r="O138" s="77">
        <v>0.45944000000000002</v>
      </c>
      <c r="P138" s="77">
        <v>0.44034000000000001</v>
      </c>
      <c r="Q138" s="77">
        <v>0.42493999999999998</v>
      </c>
      <c r="R138" s="77">
        <v>0.47095999999999999</v>
      </c>
      <c r="T138">
        <v>536</v>
      </c>
      <c r="U138">
        <f t="shared" si="32"/>
        <v>1.0112399999999999</v>
      </c>
      <c r="V138">
        <f t="shared" si="33"/>
        <v>0.72365999999999997</v>
      </c>
      <c r="W138">
        <f t="shared" si="34"/>
        <v>1.1002799999999999</v>
      </c>
      <c r="X138">
        <f t="shared" si="35"/>
        <v>0.84065999999999996</v>
      </c>
      <c r="Y138">
        <f t="shared" si="36"/>
        <v>0.97906000000000004</v>
      </c>
      <c r="Z138">
        <f t="shared" si="37"/>
        <v>0.94052000000000002</v>
      </c>
      <c r="AA138">
        <f t="shared" si="38"/>
        <v>0.98817999999999995</v>
      </c>
      <c r="AB138">
        <f t="shared" si="39"/>
        <v>0.90673999999999999</v>
      </c>
      <c r="AC138">
        <f t="shared" si="40"/>
        <v>1.0023200000000001</v>
      </c>
      <c r="AD138">
        <f t="shared" si="41"/>
        <v>0.99697999999999998</v>
      </c>
      <c r="AE138">
        <f t="shared" si="42"/>
        <v>1.0308200000000001</v>
      </c>
      <c r="AF138">
        <f t="shared" si="43"/>
        <v>1.0445599999999999</v>
      </c>
      <c r="AG138">
        <f t="shared" si="44"/>
        <v>0.91888000000000003</v>
      </c>
      <c r="AH138">
        <f t="shared" si="45"/>
        <v>0.88068000000000002</v>
      </c>
      <c r="AI138">
        <f t="shared" si="46"/>
        <v>0.84987999999999997</v>
      </c>
      <c r="AJ138">
        <f t="shared" si="47"/>
        <v>0.94191999999999998</v>
      </c>
      <c r="EC138">
        <v>536</v>
      </c>
      <c r="ED138">
        <v>1.0112399999999999</v>
      </c>
      <c r="EE138">
        <v>0.72365999999999997</v>
      </c>
      <c r="EF138">
        <v>1.1002799999999999</v>
      </c>
      <c r="EG138">
        <v>0.84065999999999996</v>
      </c>
      <c r="EH138">
        <v>0.97906000000000004</v>
      </c>
      <c r="EI138">
        <v>0.94052000000000002</v>
      </c>
      <c r="EJ138">
        <v>0.98817999999999995</v>
      </c>
      <c r="EK138">
        <v>0.90673999999999999</v>
      </c>
      <c r="EL138">
        <v>1.0023200000000001</v>
      </c>
      <c r="EM138">
        <v>0.99697999999999998</v>
      </c>
      <c r="EN138">
        <v>1.0308200000000001</v>
      </c>
      <c r="EO138">
        <v>1.0445599999999999</v>
      </c>
      <c r="EP138">
        <v>0.91888000000000003</v>
      </c>
      <c r="EQ138">
        <v>0.88068000000000002</v>
      </c>
      <c r="ER138">
        <v>0.84987999999999997</v>
      </c>
      <c r="ES138">
        <v>0.94191999999999998</v>
      </c>
    </row>
    <row r="139" spans="1:149" x14ac:dyDescent="0.35">
      <c r="A139" s="77"/>
      <c r="B139" s="77">
        <v>537</v>
      </c>
      <c r="C139" s="77">
        <v>0.50310999999999995</v>
      </c>
      <c r="D139" s="77">
        <v>0.35992000000000002</v>
      </c>
      <c r="E139" s="77">
        <v>0.54737999999999998</v>
      </c>
      <c r="F139" s="77">
        <v>0.41814000000000001</v>
      </c>
      <c r="G139" s="77">
        <v>0.48836000000000002</v>
      </c>
      <c r="H139" s="77">
        <v>0.46899000000000002</v>
      </c>
      <c r="I139" s="77">
        <v>0.49293999999999999</v>
      </c>
      <c r="J139" s="77">
        <v>0.45229000000000003</v>
      </c>
      <c r="K139" s="77">
        <v>0.50007999999999997</v>
      </c>
      <c r="L139" s="77">
        <v>0.49741999999999997</v>
      </c>
      <c r="M139" s="77">
        <v>0.51415999999999995</v>
      </c>
      <c r="N139" s="77">
        <v>0.52107000000000003</v>
      </c>
      <c r="O139" s="77">
        <v>0.45837</v>
      </c>
      <c r="P139" s="77">
        <v>0.43918000000000001</v>
      </c>
      <c r="Q139" s="77">
        <v>0.42398000000000002</v>
      </c>
      <c r="R139" s="77">
        <v>0.46982000000000002</v>
      </c>
      <c r="T139">
        <v>537</v>
      </c>
      <c r="U139">
        <f t="shared" si="32"/>
        <v>1.0062199999999999</v>
      </c>
      <c r="V139">
        <f t="shared" si="33"/>
        <v>0.71984000000000004</v>
      </c>
      <c r="W139">
        <f t="shared" si="34"/>
        <v>1.09476</v>
      </c>
      <c r="X139">
        <f t="shared" si="35"/>
        <v>0.83628000000000002</v>
      </c>
      <c r="Y139">
        <f t="shared" si="36"/>
        <v>0.97672000000000003</v>
      </c>
      <c r="Z139">
        <f t="shared" si="37"/>
        <v>0.93798000000000004</v>
      </c>
      <c r="AA139">
        <f t="shared" si="38"/>
        <v>0.98587999999999998</v>
      </c>
      <c r="AB139">
        <f t="shared" si="39"/>
        <v>0.90458000000000005</v>
      </c>
      <c r="AC139">
        <f t="shared" si="40"/>
        <v>1.0001599999999999</v>
      </c>
      <c r="AD139">
        <f t="shared" si="41"/>
        <v>0.99483999999999995</v>
      </c>
      <c r="AE139">
        <f t="shared" si="42"/>
        <v>1.0283199999999999</v>
      </c>
      <c r="AF139">
        <f t="shared" si="43"/>
        <v>1.0421400000000001</v>
      </c>
      <c r="AG139">
        <f t="shared" si="44"/>
        <v>0.91674</v>
      </c>
      <c r="AH139">
        <f t="shared" si="45"/>
        <v>0.87836000000000003</v>
      </c>
      <c r="AI139">
        <f t="shared" si="46"/>
        <v>0.84796000000000005</v>
      </c>
      <c r="AJ139">
        <f t="shared" si="47"/>
        <v>0.93964000000000003</v>
      </c>
      <c r="EC139">
        <v>537</v>
      </c>
      <c r="ED139">
        <v>1.0062199999999999</v>
      </c>
      <c r="EE139">
        <v>0.71984000000000004</v>
      </c>
      <c r="EF139">
        <v>1.09476</v>
      </c>
      <c r="EG139">
        <v>0.83628000000000002</v>
      </c>
      <c r="EH139">
        <v>0.97672000000000003</v>
      </c>
      <c r="EI139">
        <v>0.93798000000000004</v>
      </c>
      <c r="EJ139">
        <v>0.98587999999999998</v>
      </c>
      <c r="EK139">
        <v>0.90458000000000005</v>
      </c>
      <c r="EL139">
        <v>1.0001599999999999</v>
      </c>
      <c r="EM139">
        <v>0.99483999999999995</v>
      </c>
      <c r="EN139">
        <v>1.0283199999999999</v>
      </c>
      <c r="EO139">
        <v>1.0421400000000001</v>
      </c>
      <c r="EP139">
        <v>0.91674</v>
      </c>
      <c r="EQ139">
        <v>0.87836000000000003</v>
      </c>
      <c r="ER139">
        <v>0.84796000000000005</v>
      </c>
      <c r="ES139">
        <v>0.93964000000000003</v>
      </c>
    </row>
    <row r="140" spans="1:149" x14ac:dyDescent="0.35">
      <c r="A140" s="77"/>
      <c r="B140" s="77">
        <v>538</v>
      </c>
      <c r="C140" s="77">
        <v>0.50111000000000006</v>
      </c>
      <c r="D140" s="77">
        <v>0.3584</v>
      </c>
      <c r="E140" s="77">
        <v>0.54517000000000004</v>
      </c>
      <c r="F140" s="77">
        <v>0.41639999999999999</v>
      </c>
      <c r="G140" s="77">
        <v>0.48723</v>
      </c>
      <c r="H140" s="77">
        <v>0.46805000000000002</v>
      </c>
      <c r="I140" s="77">
        <v>0.49198999999999998</v>
      </c>
      <c r="J140" s="77">
        <v>0.45145000000000002</v>
      </c>
      <c r="K140" s="77">
        <v>0.49920999999999999</v>
      </c>
      <c r="L140" s="77">
        <v>0.49654999999999999</v>
      </c>
      <c r="M140" s="77">
        <v>0.51329000000000002</v>
      </c>
      <c r="N140" s="77">
        <v>0.52017000000000002</v>
      </c>
      <c r="O140" s="77">
        <v>0.45745999999999998</v>
      </c>
      <c r="P140" s="77">
        <v>0.43829000000000001</v>
      </c>
      <c r="Q140" s="77">
        <v>0.42315999999999998</v>
      </c>
      <c r="R140" s="77">
        <v>0.46889999999999998</v>
      </c>
      <c r="T140">
        <v>538</v>
      </c>
      <c r="U140">
        <f t="shared" si="32"/>
        <v>1.0022200000000001</v>
      </c>
      <c r="V140">
        <f t="shared" si="33"/>
        <v>0.71679999999999999</v>
      </c>
      <c r="W140">
        <f t="shared" si="34"/>
        <v>1.0903400000000001</v>
      </c>
      <c r="X140">
        <f t="shared" si="35"/>
        <v>0.83279999999999998</v>
      </c>
      <c r="Y140">
        <f t="shared" si="36"/>
        <v>0.97445999999999999</v>
      </c>
      <c r="Z140">
        <f t="shared" si="37"/>
        <v>0.93610000000000004</v>
      </c>
      <c r="AA140">
        <f t="shared" si="38"/>
        <v>0.98397999999999997</v>
      </c>
      <c r="AB140">
        <f t="shared" si="39"/>
        <v>0.90290000000000004</v>
      </c>
      <c r="AC140">
        <f t="shared" si="40"/>
        <v>0.99841999999999997</v>
      </c>
      <c r="AD140">
        <f t="shared" si="41"/>
        <v>0.99309999999999998</v>
      </c>
      <c r="AE140">
        <f t="shared" si="42"/>
        <v>1.02658</v>
      </c>
      <c r="AF140">
        <f t="shared" si="43"/>
        <v>1.04034</v>
      </c>
      <c r="AG140">
        <f t="shared" si="44"/>
        <v>0.91491999999999996</v>
      </c>
      <c r="AH140">
        <f t="shared" si="45"/>
        <v>0.87658000000000003</v>
      </c>
      <c r="AI140">
        <f t="shared" si="46"/>
        <v>0.84631999999999996</v>
      </c>
      <c r="AJ140">
        <f t="shared" si="47"/>
        <v>0.93779999999999997</v>
      </c>
      <c r="EC140">
        <v>538</v>
      </c>
      <c r="ED140">
        <v>1.0022200000000001</v>
      </c>
      <c r="EE140">
        <v>0.71679999999999999</v>
      </c>
      <c r="EF140">
        <v>1.0903400000000001</v>
      </c>
      <c r="EG140">
        <v>0.83279999999999998</v>
      </c>
      <c r="EH140">
        <v>0.97445999999999999</v>
      </c>
      <c r="EI140">
        <v>0.93610000000000004</v>
      </c>
      <c r="EJ140">
        <v>0.98397999999999997</v>
      </c>
      <c r="EK140">
        <v>0.90290000000000004</v>
      </c>
      <c r="EL140">
        <v>0.99841999999999997</v>
      </c>
      <c r="EM140">
        <v>0.99309999999999998</v>
      </c>
      <c r="EN140">
        <v>1.02658</v>
      </c>
      <c r="EO140">
        <v>1.04034</v>
      </c>
      <c r="EP140">
        <v>0.91491999999999996</v>
      </c>
      <c r="EQ140">
        <v>0.87658000000000003</v>
      </c>
      <c r="ER140">
        <v>0.84631999999999996</v>
      </c>
      <c r="ES140">
        <v>0.93779999999999997</v>
      </c>
    </row>
    <row r="141" spans="1:149" x14ac:dyDescent="0.35">
      <c r="A141" s="77"/>
      <c r="B141" s="77">
        <v>539</v>
      </c>
      <c r="C141" s="77">
        <v>0.49941999999999998</v>
      </c>
      <c r="D141" s="77">
        <v>0.35700999999999999</v>
      </c>
      <c r="E141" s="77">
        <v>0.54318</v>
      </c>
      <c r="F141" s="77">
        <v>0.41478999999999999</v>
      </c>
      <c r="G141" s="77">
        <v>0.48662</v>
      </c>
      <c r="H141" s="77">
        <v>0.46732000000000001</v>
      </c>
      <c r="I141" s="77">
        <v>0.49126999999999998</v>
      </c>
      <c r="J141" s="77">
        <v>0.45073000000000002</v>
      </c>
      <c r="K141" s="77">
        <v>0.49852000000000002</v>
      </c>
      <c r="L141" s="77">
        <v>0.49596000000000001</v>
      </c>
      <c r="M141" s="77">
        <v>0.51256999999999997</v>
      </c>
      <c r="N141" s="77">
        <v>0.51944999999999997</v>
      </c>
      <c r="O141" s="77">
        <v>0.45677000000000001</v>
      </c>
      <c r="P141" s="77">
        <v>0.43775999999999998</v>
      </c>
      <c r="Q141" s="77">
        <v>0.42255999999999999</v>
      </c>
      <c r="R141" s="77">
        <v>0.46827999999999997</v>
      </c>
      <c r="T141">
        <v>539</v>
      </c>
      <c r="U141">
        <f t="shared" si="32"/>
        <v>0.99883999999999995</v>
      </c>
      <c r="V141">
        <f t="shared" si="33"/>
        <v>0.71401999999999999</v>
      </c>
      <c r="W141">
        <f t="shared" si="34"/>
        <v>1.08636</v>
      </c>
      <c r="X141">
        <f t="shared" si="35"/>
        <v>0.82957999999999998</v>
      </c>
      <c r="Y141">
        <f t="shared" si="36"/>
        <v>0.97323999999999999</v>
      </c>
      <c r="Z141">
        <f t="shared" si="37"/>
        <v>0.93464000000000003</v>
      </c>
      <c r="AA141">
        <f t="shared" si="38"/>
        <v>0.98253999999999997</v>
      </c>
      <c r="AB141">
        <f t="shared" si="39"/>
        <v>0.90146000000000004</v>
      </c>
      <c r="AC141">
        <f t="shared" si="40"/>
        <v>0.99704000000000004</v>
      </c>
      <c r="AD141">
        <f t="shared" si="41"/>
        <v>0.99192000000000002</v>
      </c>
      <c r="AE141">
        <f t="shared" si="42"/>
        <v>1.0251399999999999</v>
      </c>
      <c r="AF141">
        <f t="shared" si="43"/>
        <v>1.0388999999999999</v>
      </c>
      <c r="AG141">
        <f t="shared" si="44"/>
        <v>0.91354000000000002</v>
      </c>
      <c r="AH141">
        <f t="shared" si="45"/>
        <v>0.87551999999999996</v>
      </c>
      <c r="AI141">
        <f t="shared" si="46"/>
        <v>0.84511999999999998</v>
      </c>
      <c r="AJ141">
        <f t="shared" si="47"/>
        <v>0.93655999999999995</v>
      </c>
      <c r="EC141">
        <v>539</v>
      </c>
      <c r="ED141">
        <v>0.99883999999999995</v>
      </c>
      <c r="EE141">
        <v>0.71401999999999999</v>
      </c>
      <c r="EF141">
        <v>1.08636</v>
      </c>
      <c r="EG141">
        <v>0.82957999999999998</v>
      </c>
      <c r="EH141">
        <v>0.97323999999999999</v>
      </c>
      <c r="EI141">
        <v>0.93464000000000003</v>
      </c>
      <c r="EJ141">
        <v>0.98253999999999997</v>
      </c>
      <c r="EK141">
        <v>0.90146000000000004</v>
      </c>
      <c r="EL141">
        <v>0.99704000000000004</v>
      </c>
      <c r="EM141">
        <v>0.99192000000000002</v>
      </c>
      <c r="EN141">
        <v>1.0251399999999999</v>
      </c>
      <c r="EO141">
        <v>1.0388999999999999</v>
      </c>
      <c r="EP141">
        <v>0.91354000000000002</v>
      </c>
      <c r="EQ141">
        <v>0.87551999999999996</v>
      </c>
      <c r="ER141">
        <v>0.84511999999999998</v>
      </c>
      <c r="ES141">
        <v>0.93655999999999995</v>
      </c>
    </row>
    <row r="142" spans="1:149" x14ac:dyDescent="0.35">
      <c r="A142" s="77"/>
      <c r="B142" s="77">
        <v>540</v>
      </c>
      <c r="C142" s="77">
        <v>0.49745</v>
      </c>
      <c r="D142" s="77">
        <v>0.35558000000000001</v>
      </c>
      <c r="E142" s="77">
        <v>0.54096999999999995</v>
      </c>
      <c r="F142" s="77">
        <v>0.41313</v>
      </c>
      <c r="G142" s="77">
        <v>0.4859</v>
      </c>
      <c r="H142" s="77">
        <v>0.46654000000000001</v>
      </c>
      <c r="I142" s="77">
        <v>0.49063000000000001</v>
      </c>
      <c r="J142" s="77">
        <v>0.45004</v>
      </c>
      <c r="K142" s="77">
        <v>0.49770999999999999</v>
      </c>
      <c r="L142" s="77">
        <v>0.49520999999999998</v>
      </c>
      <c r="M142" s="77">
        <v>0.51183000000000001</v>
      </c>
      <c r="N142" s="77">
        <v>0.51868000000000003</v>
      </c>
      <c r="O142" s="77">
        <v>0.45584000000000002</v>
      </c>
      <c r="P142" s="77">
        <v>0.43697000000000003</v>
      </c>
      <c r="Q142" s="77">
        <v>0.42171999999999998</v>
      </c>
      <c r="R142" s="77">
        <v>0.46738000000000002</v>
      </c>
      <c r="T142">
        <v>540</v>
      </c>
      <c r="U142">
        <f t="shared" si="32"/>
        <v>0.99490000000000001</v>
      </c>
      <c r="V142">
        <f t="shared" si="33"/>
        <v>0.71116000000000001</v>
      </c>
      <c r="W142">
        <f t="shared" si="34"/>
        <v>1.0819399999999999</v>
      </c>
      <c r="X142">
        <f t="shared" si="35"/>
        <v>0.82625999999999999</v>
      </c>
      <c r="Y142">
        <f t="shared" si="36"/>
        <v>0.9718</v>
      </c>
      <c r="Z142">
        <f t="shared" si="37"/>
        <v>0.93308000000000002</v>
      </c>
      <c r="AA142">
        <f t="shared" si="38"/>
        <v>0.98126000000000002</v>
      </c>
      <c r="AB142">
        <f t="shared" si="39"/>
        <v>0.90007999999999999</v>
      </c>
      <c r="AC142">
        <f t="shared" si="40"/>
        <v>0.99541999999999997</v>
      </c>
      <c r="AD142">
        <f t="shared" si="41"/>
        <v>0.99041999999999997</v>
      </c>
      <c r="AE142">
        <f t="shared" si="42"/>
        <v>1.02366</v>
      </c>
      <c r="AF142">
        <f t="shared" si="43"/>
        <v>1.0373600000000001</v>
      </c>
      <c r="AG142">
        <f t="shared" si="44"/>
        <v>0.91168000000000005</v>
      </c>
      <c r="AH142">
        <f t="shared" si="45"/>
        <v>0.87394000000000005</v>
      </c>
      <c r="AI142">
        <f t="shared" si="46"/>
        <v>0.84343999999999997</v>
      </c>
      <c r="AJ142">
        <f t="shared" si="47"/>
        <v>0.93476000000000004</v>
      </c>
      <c r="EC142">
        <v>540</v>
      </c>
      <c r="ED142">
        <v>0.99490000000000001</v>
      </c>
      <c r="EE142">
        <v>0.71116000000000001</v>
      </c>
      <c r="EF142">
        <v>1.0819399999999999</v>
      </c>
      <c r="EG142">
        <v>0.82625999999999999</v>
      </c>
      <c r="EH142">
        <v>0.9718</v>
      </c>
      <c r="EI142">
        <v>0.93308000000000002</v>
      </c>
      <c r="EJ142">
        <v>0.98126000000000002</v>
      </c>
      <c r="EK142">
        <v>0.90007999999999999</v>
      </c>
      <c r="EL142">
        <v>0.99541999999999997</v>
      </c>
      <c r="EM142">
        <v>0.99041999999999997</v>
      </c>
      <c r="EN142">
        <v>1.02366</v>
      </c>
      <c r="EO142">
        <v>1.0373600000000001</v>
      </c>
      <c r="EP142">
        <v>0.91168000000000005</v>
      </c>
      <c r="EQ142">
        <v>0.87394000000000005</v>
      </c>
      <c r="ER142">
        <v>0.84343999999999997</v>
      </c>
      <c r="ES142">
        <v>0.93476000000000004</v>
      </c>
    </row>
    <row r="143" spans="1:149" x14ac:dyDescent="0.35">
      <c r="A143" s="77"/>
      <c r="B143" s="77">
        <v>541</v>
      </c>
      <c r="C143" s="77">
        <v>0.49560999999999999</v>
      </c>
      <c r="D143" s="77">
        <v>0.35422999999999999</v>
      </c>
      <c r="E143" s="77">
        <v>0.53908999999999996</v>
      </c>
      <c r="F143" s="77">
        <v>0.41164000000000001</v>
      </c>
      <c r="G143" s="77">
        <v>0.48515000000000003</v>
      </c>
      <c r="H143" s="77">
        <v>0.46565000000000001</v>
      </c>
      <c r="I143" s="77">
        <v>0.48975999999999997</v>
      </c>
      <c r="J143" s="77">
        <v>0.44935999999999998</v>
      </c>
      <c r="K143" s="77">
        <v>0.49691999999999997</v>
      </c>
      <c r="L143" s="77">
        <v>0.49446000000000001</v>
      </c>
      <c r="M143" s="77">
        <v>0.51102000000000003</v>
      </c>
      <c r="N143" s="77">
        <v>0.51785000000000003</v>
      </c>
      <c r="O143" s="77">
        <v>0.45515</v>
      </c>
      <c r="P143" s="77">
        <v>0.43628</v>
      </c>
      <c r="Q143" s="77">
        <v>0.42119000000000001</v>
      </c>
      <c r="R143" s="77">
        <v>0.46672000000000002</v>
      </c>
      <c r="T143">
        <v>541</v>
      </c>
      <c r="U143">
        <f t="shared" si="32"/>
        <v>0.99121999999999999</v>
      </c>
      <c r="V143">
        <f t="shared" si="33"/>
        <v>0.70845999999999998</v>
      </c>
      <c r="W143">
        <f t="shared" si="34"/>
        <v>1.0781799999999999</v>
      </c>
      <c r="X143">
        <f t="shared" si="35"/>
        <v>0.82328000000000001</v>
      </c>
      <c r="Y143">
        <f t="shared" si="36"/>
        <v>0.97030000000000005</v>
      </c>
      <c r="Z143">
        <f t="shared" si="37"/>
        <v>0.93130000000000002</v>
      </c>
      <c r="AA143">
        <f t="shared" si="38"/>
        <v>0.97951999999999995</v>
      </c>
      <c r="AB143">
        <f t="shared" si="39"/>
        <v>0.89871999999999996</v>
      </c>
      <c r="AC143">
        <f t="shared" si="40"/>
        <v>0.99383999999999995</v>
      </c>
      <c r="AD143">
        <f t="shared" si="41"/>
        <v>0.98892000000000002</v>
      </c>
      <c r="AE143">
        <f t="shared" si="42"/>
        <v>1.0220400000000001</v>
      </c>
      <c r="AF143">
        <f t="shared" si="43"/>
        <v>1.0357000000000001</v>
      </c>
      <c r="AG143">
        <f t="shared" si="44"/>
        <v>0.9103</v>
      </c>
      <c r="AH143">
        <f t="shared" si="45"/>
        <v>0.87256</v>
      </c>
      <c r="AI143">
        <f t="shared" si="46"/>
        <v>0.84238000000000002</v>
      </c>
      <c r="AJ143">
        <f t="shared" si="47"/>
        <v>0.93344000000000005</v>
      </c>
      <c r="EC143">
        <v>541</v>
      </c>
      <c r="ED143">
        <v>0.99121999999999999</v>
      </c>
      <c r="EE143">
        <v>0.70845999999999998</v>
      </c>
      <c r="EF143">
        <v>1.0781799999999999</v>
      </c>
      <c r="EG143">
        <v>0.82328000000000001</v>
      </c>
      <c r="EH143">
        <v>0.97030000000000005</v>
      </c>
      <c r="EI143">
        <v>0.93130000000000002</v>
      </c>
      <c r="EJ143">
        <v>0.97951999999999995</v>
      </c>
      <c r="EK143">
        <v>0.89871999999999996</v>
      </c>
      <c r="EL143">
        <v>0.99383999999999995</v>
      </c>
      <c r="EM143">
        <v>0.98892000000000002</v>
      </c>
      <c r="EN143">
        <v>1.0220400000000001</v>
      </c>
      <c r="EO143">
        <v>1.0357000000000001</v>
      </c>
      <c r="EP143">
        <v>0.9103</v>
      </c>
      <c r="EQ143">
        <v>0.87256</v>
      </c>
      <c r="ER143">
        <v>0.84238000000000002</v>
      </c>
      <c r="ES143">
        <v>0.93344000000000005</v>
      </c>
    </row>
    <row r="144" spans="1:149" x14ac:dyDescent="0.35">
      <c r="A144" s="77"/>
      <c r="B144" s="77">
        <v>542</v>
      </c>
      <c r="C144" s="77">
        <v>0.49380000000000002</v>
      </c>
      <c r="D144" s="77">
        <v>0.3528</v>
      </c>
      <c r="E144" s="77">
        <v>0.53715999999999997</v>
      </c>
      <c r="F144" s="77">
        <v>0.41010000000000002</v>
      </c>
      <c r="G144" s="77">
        <v>0.48431000000000002</v>
      </c>
      <c r="H144" s="77">
        <v>0.46481</v>
      </c>
      <c r="I144" s="77">
        <v>0.48898000000000003</v>
      </c>
      <c r="J144" s="77">
        <v>0.44858999999999999</v>
      </c>
      <c r="K144" s="77">
        <v>0.49629000000000001</v>
      </c>
      <c r="L144" s="77">
        <v>0.49376999999999999</v>
      </c>
      <c r="M144" s="77">
        <v>0.51007000000000002</v>
      </c>
      <c r="N144" s="77">
        <v>0.51698</v>
      </c>
      <c r="O144" s="77">
        <v>0.45438000000000001</v>
      </c>
      <c r="P144" s="77">
        <v>0.43561</v>
      </c>
      <c r="Q144" s="77">
        <v>0.42052</v>
      </c>
      <c r="R144" s="77">
        <v>0.46600000000000003</v>
      </c>
      <c r="T144">
        <v>542</v>
      </c>
      <c r="U144">
        <f t="shared" si="32"/>
        <v>0.98760000000000003</v>
      </c>
      <c r="V144">
        <f t="shared" si="33"/>
        <v>0.7056</v>
      </c>
      <c r="W144">
        <f t="shared" si="34"/>
        <v>1.0743199999999999</v>
      </c>
      <c r="X144">
        <f t="shared" si="35"/>
        <v>0.82020000000000004</v>
      </c>
      <c r="Y144">
        <f t="shared" si="36"/>
        <v>0.96862000000000004</v>
      </c>
      <c r="Z144">
        <f t="shared" si="37"/>
        <v>0.92962</v>
      </c>
      <c r="AA144">
        <f t="shared" si="38"/>
        <v>0.97796000000000005</v>
      </c>
      <c r="AB144">
        <f t="shared" si="39"/>
        <v>0.89717999999999998</v>
      </c>
      <c r="AC144">
        <f t="shared" si="40"/>
        <v>0.99258000000000002</v>
      </c>
      <c r="AD144">
        <f t="shared" si="41"/>
        <v>0.98753999999999997</v>
      </c>
      <c r="AE144">
        <f t="shared" si="42"/>
        <v>1.02014</v>
      </c>
      <c r="AF144">
        <f t="shared" si="43"/>
        <v>1.03396</v>
      </c>
      <c r="AG144">
        <f t="shared" si="44"/>
        <v>0.90876000000000001</v>
      </c>
      <c r="AH144">
        <f t="shared" si="45"/>
        <v>0.87121999999999999</v>
      </c>
      <c r="AI144">
        <f t="shared" si="46"/>
        <v>0.84104000000000001</v>
      </c>
      <c r="AJ144">
        <f t="shared" si="47"/>
        <v>0.93200000000000005</v>
      </c>
      <c r="EC144">
        <v>542</v>
      </c>
      <c r="ED144">
        <v>0.98760000000000003</v>
      </c>
      <c r="EE144">
        <v>0.7056</v>
      </c>
      <c r="EF144">
        <v>1.0743199999999999</v>
      </c>
      <c r="EG144">
        <v>0.82020000000000004</v>
      </c>
      <c r="EH144">
        <v>0.96862000000000004</v>
      </c>
      <c r="EI144">
        <v>0.92962</v>
      </c>
      <c r="EJ144">
        <v>0.97796000000000005</v>
      </c>
      <c r="EK144">
        <v>0.89717999999999998</v>
      </c>
      <c r="EL144">
        <v>0.99258000000000002</v>
      </c>
      <c r="EM144">
        <v>0.98753999999999997</v>
      </c>
      <c r="EN144">
        <v>1.02014</v>
      </c>
      <c r="EO144">
        <v>1.03396</v>
      </c>
      <c r="EP144">
        <v>0.90876000000000001</v>
      </c>
      <c r="EQ144">
        <v>0.87121999999999999</v>
      </c>
      <c r="ER144">
        <v>0.84104000000000001</v>
      </c>
      <c r="ES144">
        <v>0.93200000000000005</v>
      </c>
    </row>
    <row r="145" spans="1:149" x14ac:dyDescent="0.35">
      <c r="A145" s="77"/>
      <c r="B145" s="77">
        <v>543</v>
      </c>
      <c r="C145" s="77">
        <v>0.49221999999999999</v>
      </c>
      <c r="D145" s="77">
        <v>0.35159000000000001</v>
      </c>
      <c r="E145" s="77">
        <v>0.53532000000000002</v>
      </c>
      <c r="F145" s="77">
        <v>0.40858</v>
      </c>
      <c r="G145" s="77">
        <v>0.48364000000000001</v>
      </c>
      <c r="H145" s="77">
        <v>0.46418999999999999</v>
      </c>
      <c r="I145" s="77">
        <v>0.48830000000000001</v>
      </c>
      <c r="J145" s="77">
        <v>0.44800000000000001</v>
      </c>
      <c r="K145" s="77">
        <v>0.49564999999999998</v>
      </c>
      <c r="L145" s="77">
        <v>0.49319000000000002</v>
      </c>
      <c r="M145" s="77">
        <v>0.50943000000000005</v>
      </c>
      <c r="N145" s="77">
        <v>0.51639999999999997</v>
      </c>
      <c r="O145" s="77">
        <v>0.45380999999999999</v>
      </c>
      <c r="P145" s="77">
        <v>0.43502999999999997</v>
      </c>
      <c r="Q145" s="77">
        <v>0.41998000000000002</v>
      </c>
      <c r="R145" s="77">
        <v>0.46539000000000003</v>
      </c>
      <c r="T145">
        <v>543</v>
      </c>
      <c r="U145">
        <f t="shared" si="32"/>
        <v>0.98443999999999998</v>
      </c>
      <c r="V145">
        <f t="shared" si="33"/>
        <v>0.70318000000000003</v>
      </c>
      <c r="W145">
        <f t="shared" si="34"/>
        <v>1.07064</v>
      </c>
      <c r="X145">
        <f t="shared" si="35"/>
        <v>0.81716</v>
      </c>
      <c r="Y145">
        <f t="shared" si="36"/>
        <v>0.96728000000000003</v>
      </c>
      <c r="Z145">
        <f t="shared" si="37"/>
        <v>0.92837999999999998</v>
      </c>
      <c r="AA145">
        <f t="shared" si="38"/>
        <v>0.97660000000000002</v>
      </c>
      <c r="AB145">
        <f t="shared" si="39"/>
        <v>0.89600000000000002</v>
      </c>
      <c r="AC145">
        <f t="shared" si="40"/>
        <v>0.99129999999999996</v>
      </c>
      <c r="AD145">
        <f t="shared" si="41"/>
        <v>0.98638000000000003</v>
      </c>
      <c r="AE145">
        <f t="shared" si="42"/>
        <v>1.0188600000000001</v>
      </c>
      <c r="AF145">
        <f t="shared" si="43"/>
        <v>1.0327999999999999</v>
      </c>
      <c r="AG145">
        <f t="shared" si="44"/>
        <v>0.90761999999999998</v>
      </c>
      <c r="AH145">
        <f t="shared" si="45"/>
        <v>0.87005999999999994</v>
      </c>
      <c r="AI145">
        <f t="shared" si="46"/>
        <v>0.83996000000000004</v>
      </c>
      <c r="AJ145">
        <f t="shared" si="47"/>
        <v>0.93078000000000005</v>
      </c>
      <c r="EC145">
        <v>543</v>
      </c>
      <c r="ED145">
        <v>0.98443999999999998</v>
      </c>
      <c r="EE145">
        <v>0.70318000000000003</v>
      </c>
      <c r="EF145">
        <v>1.07064</v>
      </c>
      <c r="EG145">
        <v>0.81716</v>
      </c>
      <c r="EH145">
        <v>0.96728000000000003</v>
      </c>
      <c r="EI145">
        <v>0.92837999999999998</v>
      </c>
      <c r="EJ145">
        <v>0.97660000000000002</v>
      </c>
      <c r="EK145">
        <v>0.89600000000000002</v>
      </c>
      <c r="EL145">
        <v>0.99129999999999996</v>
      </c>
      <c r="EM145">
        <v>0.98638000000000003</v>
      </c>
      <c r="EN145">
        <v>1.0188600000000001</v>
      </c>
      <c r="EO145">
        <v>1.0327999999999999</v>
      </c>
      <c r="EP145">
        <v>0.90761999999999998</v>
      </c>
      <c r="EQ145">
        <v>0.87005999999999994</v>
      </c>
      <c r="ER145">
        <v>0.83996000000000004</v>
      </c>
      <c r="ES145">
        <v>0.93078000000000005</v>
      </c>
    </row>
    <row r="146" spans="1:149" x14ac:dyDescent="0.35">
      <c r="A146" s="77"/>
      <c r="B146" s="77">
        <v>544</v>
      </c>
      <c r="C146" s="77">
        <v>0.49069000000000002</v>
      </c>
      <c r="D146" s="77">
        <v>0.35048000000000001</v>
      </c>
      <c r="E146" s="77">
        <v>0.53359999999999996</v>
      </c>
      <c r="F146" s="77">
        <v>0.40732000000000002</v>
      </c>
      <c r="G146" s="77">
        <v>0.48302</v>
      </c>
      <c r="H146" s="77">
        <v>0.46351999999999999</v>
      </c>
      <c r="I146" s="77">
        <v>0.48773</v>
      </c>
      <c r="J146" s="77">
        <v>0.44739000000000001</v>
      </c>
      <c r="K146" s="77">
        <v>0.49497999999999998</v>
      </c>
      <c r="L146" s="77">
        <v>0.49257000000000001</v>
      </c>
      <c r="M146" s="77">
        <v>0.50876999999999994</v>
      </c>
      <c r="N146" s="77">
        <v>0.51580999999999999</v>
      </c>
      <c r="O146" s="77">
        <v>0.45316000000000001</v>
      </c>
      <c r="P146" s="77">
        <v>0.43445</v>
      </c>
      <c r="Q146" s="77">
        <v>0.41948999999999997</v>
      </c>
      <c r="R146" s="77">
        <v>0.46483999999999998</v>
      </c>
      <c r="T146">
        <v>544</v>
      </c>
      <c r="U146">
        <f t="shared" si="32"/>
        <v>0.98138000000000003</v>
      </c>
      <c r="V146">
        <f t="shared" si="33"/>
        <v>0.70096000000000003</v>
      </c>
      <c r="W146">
        <f t="shared" si="34"/>
        <v>1.0671999999999999</v>
      </c>
      <c r="X146">
        <f t="shared" si="35"/>
        <v>0.81464000000000003</v>
      </c>
      <c r="Y146">
        <f t="shared" si="36"/>
        <v>0.96604000000000001</v>
      </c>
      <c r="Z146">
        <f t="shared" si="37"/>
        <v>0.92703999999999998</v>
      </c>
      <c r="AA146">
        <f t="shared" si="38"/>
        <v>0.97545999999999999</v>
      </c>
      <c r="AB146">
        <f t="shared" si="39"/>
        <v>0.89478000000000002</v>
      </c>
      <c r="AC146">
        <f t="shared" si="40"/>
        <v>0.98995999999999995</v>
      </c>
      <c r="AD146">
        <f t="shared" si="41"/>
        <v>0.98514000000000002</v>
      </c>
      <c r="AE146">
        <f t="shared" si="42"/>
        <v>1.0175399999999999</v>
      </c>
      <c r="AF146">
        <f t="shared" si="43"/>
        <v>1.03162</v>
      </c>
      <c r="AG146">
        <f t="shared" si="44"/>
        <v>0.90632000000000001</v>
      </c>
      <c r="AH146">
        <f t="shared" si="45"/>
        <v>0.86890000000000001</v>
      </c>
      <c r="AI146">
        <f t="shared" si="46"/>
        <v>0.83897999999999995</v>
      </c>
      <c r="AJ146">
        <f t="shared" si="47"/>
        <v>0.92967999999999995</v>
      </c>
      <c r="EC146">
        <v>544</v>
      </c>
      <c r="ED146">
        <v>0.98138000000000003</v>
      </c>
      <c r="EE146">
        <v>0.70096000000000003</v>
      </c>
      <c r="EF146">
        <v>1.0671999999999999</v>
      </c>
      <c r="EG146">
        <v>0.81464000000000003</v>
      </c>
      <c r="EH146">
        <v>0.96604000000000001</v>
      </c>
      <c r="EI146">
        <v>0.92703999999999998</v>
      </c>
      <c r="EJ146">
        <v>0.97545999999999999</v>
      </c>
      <c r="EK146">
        <v>0.89478000000000002</v>
      </c>
      <c r="EL146">
        <v>0.98995999999999995</v>
      </c>
      <c r="EM146">
        <v>0.98514000000000002</v>
      </c>
      <c r="EN146">
        <v>1.0175399999999999</v>
      </c>
      <c r="EO146">
        <v>1.03162</v>
      </c>
      <c r="EP146">
        <v>0.90632000000000001</v>
      </c>
      <c r="EQ146">
        <v>0.86890000000000001</v>
      </c>
      <c r="ER146">
        <v>0.83897999999999995</v>
      </c>
      <c r="ES146">
        <v>0.92967999999999995</v>
      </c>
    </row>
    <row r="147" spans="1:149" x14ac:dyDescent="0.35">
      <c r="A147" s="77"/>
      <c r="B147" s="77">
        <v>545</v>
      </c>
      <c r="C147" s="77">
        <v>0.48899999999999999</v>
      </c>
      <c r="D147" s="77">
        <v>0.34920000000000001</v>
      </c>
      <c r="E147" s="77">
        <v>0.53176999999999996</v>
      </c>
      <c r="F147" s="77">
        <v>0.40583999999999998</v>
      </c>
      <c r="G147" s="77">
        <v>0.48218</v>
      </c>
      <c r="H147" s="77">
        <v>0.46268999999999999</v>
      </c>
      <c r="I147" s="77">
        <v>0.48694999999999999</v>
      </c>
      <c r="J147" s="77">
        <v>0.44667000000000001</v>
      </c>
      <c r="K147" s="77">
        <v>0.49437999999999999</v>
      </c>
      <c r="L147" s="77">
        <v>0.4919</v>
      </c>
      <c r="M147" s="77">
        <v>0.50809000000000004</v>
      </c>
      <c r="N147" s="77">
        <v>0.51517999999999997</v>
      </c>
      <c r="O147" s="77">
        <v>0.45244000000000001</v>
      </c>
      <c r="P147" s="77">
        <v>0.43380999999999997</v>
      </c>
      <c r="Q147" s="77">
        <v>0.41881000000000002</v>
      </c>
      <c r="R147" s="77">
        <v>0.46416000000000002</v>
      </c>
      <c r="T147">
        <v>545</v>
      </c>
      <c r="U147">
        <f t="shared" si="32"/>
        <v>0.97799999999999998</v>
      </c>
      <c r="V147">
        <f t="shared" si="33"/>
        <v>0.69840000000000002</v>
      </c>
      <c r="W147">
        <f t="shared" si="34"/>
        <v>1.0635399999999999</v>
      </c>
      <c r="X147">
        <f t="shared" si="35"/>
        <v>0.81167999999999996</v>
      </c>
      <c r="Y147">
        <f t="shared" si="36"/>
        <v>0.96435999999999999</v>
      </c>
      <c r="Z147">
        <f t="shared" si="37"/>
        <v>0.92537999999999998</v>
      </c>
      <c r="AA147">
        <f t="shared" si="38"/>
        <v>0.97389999999999999</v>
      </c>
      <c r="AB147">
        <f t="shared" si="39"/>
        <v>0.89334000000000002</v>
      </c>
      <c r="AC147">
        <f t="shared" si="40"/>
        <v>0.98875999999999997</v>
      </c>
      <c r="AD147">
        <f t="shared" si="41"/>
        <v>0.98380000000000001</v>
      </c>
      <c r="AE147">
        <f t="shared" si="42"/>
        <v>1.0161800000000001</v>
      </c>
      <c r="AF147">
        <f t="shared" si="43"/>
        <v>1.0303599999999999</v>
      </c>
      <c r="AG147">
        <f t="shared" si="44"/>
        <v>0.90488000000000002</v>
      </c>
      <c r="AH147">
        <f t="shared" si="45"/>
        <v>0.86761999999999995</v>
      </c>
      <c r="AI147">
        <f t="shared" si="46"/>
        <v>0.83762000000000003</v>
      </c>
      <c r="AJ147">
        <f t="shared" si="47"/>
        <v>0.92832000000000003</v>
      </c>
      <c r="EC147">
        <v>545</v>
      </c>
      <c r="ED147">
        <v>0.97799999999999998</v>
      </c>
      <c r="EE147">
        <v>0.69840000000000002</v>
      </c>
      <c r="EF147">
        <v>1.0635399999999999</v>
      </c>
      <c r="EG147">
        <v>0.81167999999999996</v>
      </c>
      <c r="EH147">
        <v>0.96435999999999999</v>
      </c>
      <c r="EI147">
        <v>0.92537999999999998</v>
      </c>
      <c r="EJ147">
        <v>0.97389999999999999</v>
      </c>
      <c r="EK147">
        <v>0.89334000000000002</v>
      </c>
      <c r="EL147">
        <v>0.98875999999999997</v>
      </c>
      <c r="EM147">
        <v>0.98380000000000001</v>
      </c>
      <c r="EN147">
        <v>1.0161800000000001</v>
      </c>
      <c r="EO147">
        <v>1.0303599999999999</v>
      </c>
      <c r="EP147">
        <v>0.90488000000000002</v>
      </c>
      <c r="EQ147">
        <v>0.86761999999999995</v>
      </c>
      <c r="ER147">
        <v>0.83762000000000003</v>
      </c>
      <c r="ES147">
        <v>0.92832000000000003</v>
      </c>
    </row>
    <row r="148" spans="1:149" x14ac:dyDescent="0.35">
      <c r="A148" s="77"/>
      <c r="B148" s="77">
        <v>546</v>
      </c>
      <c r="C148" s="77">
        <v>0.48753000000000002</v>
      </c>
      <c r="D148" s="77">
        <v>0.34813</v>
      </c>
      <c r="E148" s="77">
        <v>0.53017999999999998</v>
      </c>
      <c r="F148" s="77">
        <v>0.40450999999999998</v>
      </c>
      <c r="G148" s="77">
        <v>0.48181000000000002</v>
      </c>
      <c r="H148" s="77">
        <v>0.46224999999999999</v>
      </c>
      <c r="I148" s="77">
        <v>0.48649999999999999</v>
      </c>
      <c r="J148" s="77">
        <v>0.44625999999999999</v>
      </c>
      <c r="K148" s="77">
        <v>0.49386999999999998</v>
      </c>
      <c r="L148" s="77">
        <v>0.49152000000000001</v>
      </c>
      <c r="M148" s="77">
        <v>0.50749</v>
      </c>
      <c r="N148" s="77">
        <v>0.51459999999999995</v>
      </c>
      <c r="O148" s="77">
        <v>0.45189000000000001</v>
      </c>
      <c r="P148" s="77">
        <v>0.43324000000000001</v>
      </c>
      <c r="Q148" s="77">
        <v>0.41832999999999998</v>
      </c>
      <c r="R148" s="77">
        <v>0.46349000000000001</v>
      </c>
      <c r="T148">
        <v>546</v>
      </c>
      <c r="U148">
        <f t="shared" si="32"/>
        <v>0.97506000000000004</v>
      </c>
      <c r="V148">
        <f t="shared" si="33"/>
        <v>0.69625999999999999</v>
      </c>
      <c r="W148">
        <f t="shared" si="34"/>
        <v>1.06036</v>
      </c>
      <c r="X148">
        <f t="shared" si="35"/>
        <v>0.80901999999999996</v>
      </c>
      <c r="Y148">
        <f t="shared" si="36"/>
        <v>0.96362000000000003</v>
      </c>
      <c r="Z148">
        <f t="shared" si="37"/>
        <v>0.92449999999999999</v>
      </c>
      <c r="AA148">
        <f t="shared" si="38"/>
        <v>0.97299999999999998</v>
      </c>
      <c r="AB148">
        <f t="shared" si="39"/>
        <v>0.89251999999999998</v>
      </c>
      <c r="AC148">
        <f t="shared" si="40"/>
        <v>0.98773999999999995</v>
      </c>
      <c r="AD148">
        <f t="shared" si="41"/>
        <v>0.98304000000000002</v>
      </c>
      <c r="AE148">
        <f t="shared" si="42"/>
        <v>1.01498</v>
      </c>
      <c r="AF148">
        <f t="shared" si="43"/>
        <v>1.0291999999999999</v>
      </c>
      <c r="AG148">
        <f t="shared" si="44"/>
        <v>0.90378000000000003</v>
      </c>
      <c r="AH148">
        <f t="shared" si="45"/>
        <v>0.86648000000000003</v>
      </c>
      <c r="AI148">
        <f t="shared" si="46"/>
        <v>0.83665999999999996</v>
      </c>
      <c r="AJ148">
        <f t="shared" si="47"/>
        <v>0.92698000000000003</v>
      </c>
      <c r="EC148">
        <v>546</v>
      </c>
      <c r="ED148">
        <v>0.97506000000000004</v>
      </c>
      <c r="EE148">
        <v>0.69625999999999999</v>
      </c>
      <c r="EF148">
        <v>1.06036</v>
      </c>
      <c r="EG148">
        <v>0.80901999999999996</v>
      </c>
      <c r="EH148">
        <v>0.96362000000000003</v>
      </c>
      <c r="EI148">
        <v>0.92449999999999999</v>
      </c>
      <c r="EJ148">
        <v>0.97299999999999998</v>
      </c>
      <c r="EK148">
        <v>0.89251999999999998</v>
      </c>
      <c r="EL148">
        <v>0.98773999999999995</v>
      </c>
      <c r="EM148">
        <v>0.98304000000000002</v>
      </c>
      <c r="EN148">
        <v>1.01498</v>
      </c>
      <c r="EO148">
        <v>1.0291999999999999</v>
      </c>
      <c r="EP148">
        <v>0.90378000000000003</v>
      </c>
      <c r="EQ148">
        <v>0.86648000000000003</v>
      </c>
      <c r="ER148">
        <v>0.83665999999999996</v>
      </c>
      <c r="ES148">
        <v>0.92698000000000003</v>
      </c>
    </row>
    <row r="149" spans="1:149" x14ac:dyDescent="0.35">
      <c r="A149" s="77"/>
      <c r="B149" s="77">
        <v>547</v>
      </c>
      <c r="C149" s="77">
        <v>0.48601</v>
      </c>
      <c r="D149" s="77">
        <v>0.34698000000000001</v>
      </c>
      <c r="E149" s="77">
        <v>0.52864</v>
      </c>
      <c r="F149" s="77">
        <v>0.40326000000000001</v>
      </c>
      <c r="G149" s="77">
        <v>0.48116999999999999</v>
      </c>
      <c r="H149" s="77">
        <v>0.46163999999999999</v>
      </c>
      <c r="I149" s="77">
        <v>0.48592999999999997</v>
      </c>
      <c r="J149" s="77">
        <v>0.44564999999999999</v>
      </c>
      <c r="K149" s="77">
        <v>0.49329000000000001</v>
      </c>
      <c r="L149" s="77">
        <v>0.49103999999999998</v>
      </c>
      <c r="M149" s="77">
        <v>0.50693999999999995</v>
      </c>
      <c r="N149" s="77">
        <v>0.51397999999999999</v>
      </c>
      <c r="O149" s="77">
        <v>0.45132</v>
      </c>
      <c r="P149" s="77">
        <v>0.43271999999999999</v>
      </c>
      <c r="Q149" s="77">
        <v>0.41782999999999998</v>
      </c>
      <c r="R149" s="77">
        <v>0.46298</v>
      </c>
      <c r="T149">
        <v>547</v>
      </c>
      <c r="U149">
        <f t="shared" si="32"/>
        <v>0.97202</v>
      </c>
      <c r="V149">
        <f t="shared" si="33"/>
        <v>0.69396000000000002</v>
      </c>
      <c r="W149">
        <f t="shared" si="34"/>
        <v>1.05728</v>
      </c>
      <c r="X149">
        <f t="shared" si="35"/>
        <v>0.80652000000000001</v>
      </c>
      <c r="Y149">
        <f t="shared" si="36"/>
        <v>0.96233999999999997</v>
      </c>
      <c r="Z149">
        <f t="shared" si="37"/>
        <v>0.92327999999999999</v>
      </c>
      <c r="AA149">
        <f t="shared" si="38"/>
        <v>0.97185999999999995</v>
      </c>
      <c r="AB149">
        <f t="shared" si="39"/>
        <v>0.89129999999999998</v>
      </c>
      <c r="AC149">
        <f t="shared" si="40"/>
        <v>0.98658000000000001</v>
      </c>
      <c r="AD149">
        <f t="shared" si="41"/>
        <v>0.98207999999999995</v>
      </c>
      <c r="AE149">
        <f t="shared" si="42"/>
        <v>1.0138799999999999</v>
      </c>
      <c r="AF149">
        <f t="shared" si="43"/>
        <v>1.02796</v>
      </c>
      <c r="AG149">
        <f t="shared" si="44"/>
        <v>0.90264</v>
      </c>
      <c r="AH149">
        <f t="shared" si="45"/>
        <v>0.86543999999999999</v>
      </c>
      <c r="AI149">
        <f t="shared" si="46"/>
        <v>0.83565999999999996</v>
      </c>
      <c r="AJ149">
        <f t="shared" si="47"/>
        <v>0.92596000000000001</v>
      </c>
      <c r="EC149">
        <v>547</v>
      </c>
      <c r="ED149">
        <v>0.97202</v>
      </c>
      <c r="EE149">
        <v>0.69396000000000002</v>
      </c>
      <c r="EF149">
        <v>1.05728</v>
      </c>
      <c r="EG149">
        <v>0.80652000000000001</v>
      </c>
      <c r="EH149">
        <v>0.96233999999999997</v>
      </c>
      <c r="EI149">
        <v>0.92327999999999999</v>
      </c>
      <c r="EJ149">
        <v>0.97185999999999995</v>
      </c>
      <c r="EK149">
        <v>0.89129999999999998</v>
      </c>
      <c r="EL149">
        <v>0.98658000000000001</v>
      </c>
      <c r="EM149">
        <v>0.98207999999999995</v>
      </c>
      <c r="EN149">
        <v>1.0138799999999999</v>
      </c>
      <c r="EO149">
        <v>1.02796</v>
      </c>
      <c r="EP149">
        <v>0.90264</v>
      </c>
      <c r="EQ149">
        <v>0.86543999999999999</v>
      </c>
      <c r="ER149">
        <v>0.83565999999999996</v>
      </c>
      <c r="ES149">
        <v>0.92596000000000001</v>
      </c>
    </row>
    <row r="150" spans="1:149" x14ac:dyDescent="0.35">
      <c r="A150" s="77"/>
      <c r="B150" s="77">
        <v>548</v>
      </c>
      <c r="C150" s="77">
        <v>0.48472999999999999</v>
      </c>
      <c r="D150" s="77">
        <v>0.34583999999999998</v>
      </c>
      <c r="E150" s="77">
        <v>0.52698999999999996</v>
      </c>
      <c r="F150" s="77">
        <v>0.40189000000000002</v>
      </c>
      <c r="G150" s="77">
        <v>0.48047000000000001</v>
      </c>
      <c r="H150" s="77">
        <v>0.46095000000000003</v>
      </c>
      <c r="I150" s="77">
        <v>0.48522999999999999</v>
      </c>
      <c r="J150" s="77">
        <v>0.44502000000000003</v>
      </c>
      <c r="K150" s="77">
        <v>0.49264999999999998</v>
      </c>
      <c r="L150" s="77">
        <v>0.49038999999999999</v>
      </c>
      <c r="M150" s="77">
        <v>0.50621000000000005</v>
      </c>
      <c r="N150" s="77">
        <v>0.51327999999999996</v>
      </c>
      <c r="O150" s="77">
        <v>0.45063999999999999</v>
      </c>
      <c r="P150" s="77">
        <v>0.43217</v>
      </c>
      <c r="Q150" s="77">
        <v>0.41714000000000001</v>
      </c>
      <c r="R150" s="77">
        <v>0.46242</v>
      </c>
      <c r="T150">
        <v>548</v>
      </c>
      <c r="U150">
        <f t="shared" si="32"/>
        <v>0.96945999999999999</v>
      </c>
      <c r="V150">
        <f t="shared" si="33"/>
        <v>0.69167999999999996</v>
      </c>
      <c r="W150">
        <f t="shared" si="34"/>
        <v>1.0539799999999999</v>
      </c>
      <c r="X150">
        <f t="shared" si="35"/>
        <v>0.80378000000000005</v>
      </c>
      <c r="Y150">
        <f t="shared" si="36"/>
        <v>0.96094000000000002</v>
      </c>
      <c r="Z150">
        <f t="shared" si="37"/>
        <v>0.92190000000000005</v>
      </c>
      <c r="AA150">
        <f t="shared" si="38"/>
        <v>0.97045999999999999</v>
      </c>
      <c r="AB150">
        <f t="shared" si="39"/>
        <v>0.89004000000000005</v>
      </c>
      <c r="AC150">
        <f t="shared" si="40"/>
        <v>0.98529999999999995</v>
      </c>
      <c r="AD150">
        <f t="shared" si="41"/>
        <v>0.98077999999999999</v>
      </c>
      <c r="AE150">
        <f t="shared" si="42"/>
        <v>1.0124200000000001</v>
      </c>
      <c r="AF150">
        <f t="shared" si="43"/>
        <v>1.0265599999999999</v>
      </c>
      <c r="AG150">
        <f t="shared" si="44"/>
        <v>0.90127999999999997</v>
      </c>
      <c r="AH150">
        <f t="shared" si="45"/>
        <v>0.86434</v>
      </c>
      <c r="AI150">
        <f t="shared" si="46"/>
        <v>0.83428000000000002</v>
      </c>
      <c r="AJ150">
        <f t="shared" si="47"/>
        <v>0.92484</v>
      </c>
      <c r="EC150">
        <v>548</v>
      </c>
      <c r="ED150">
        <v>0.96945999999999999</v>
      </c>
      <c r="EE150">
        <v>0.69167999999999996</v>
      </c>
      <c r="EF150">
        <v>1.0539799999999999</v>
      </c>
      <c r="EG150">
        <v>0.80378000000000005</v>
      </c>
      <c r="EH150">
        <v>0.96094000000000002</v>
      </c>
      <c r="EI150">
        <v>0.92190000000000005</v>
      </c>
      <c r="EJ150">
        <v>0.97045999999999999</v>
      </c>
      <c r="EK150">
        <v>0.89004000000000005</v>
      </c>
      <c r="EL150">
        <v>0.98529999999999995</v>
      </c>
      <c r="EM150">
        <v>0.98077999999999999</v>
      </c>
      <c r="EN150">
        <v>1.0124200000000001</v>
      </c>
      <c r="EO150">
        <v>1.0265599999999999</v>
      </c>
      <c r="EP150">
        <v>0.90127999999999997</v>
      </c>
      <c r="EQ150">
        <v>0.86434</v>
      </c>
      <c r="ER150">
        <v>0.83428000000000002</v>
      </c>
      <c r="ES150">
        <v>0.92484</v>
      </c>
    </row>
    <row r="151" spans="1:149" x14ac:dyDescent="0.35">
      <c r="A151" s="77"/>
      <c r="B151" s="77">
        <v>549</v>
      </c>
      <c r="C151" s="77">
        <v>0.48320000000000002</v>
      </c>
      <c r="D151" s="77">
        <v>0.34478999999999999</v>
      </c>
      <c r="E151" s="77">
        <v>0.52553000000000005</v>
      </c>
      <c r="F151" s="77">
        <v>0.40071000000000001</v>
      </c>
      <c r="G151" s="77">
        <v>0.48007</v>
      </c>
      <c r="H151" s="77">
        <v>0.46050999999999997</v>
      </c>
      <c r="I151" s="77">
        <v>0.48480000000000001</v>
      </c>
      <c r="J151" s="77">
        <v>0.44452000000000003</v>
      </c>
      <c r="K151" s="77">
        <v>0.49236000000000002</v>
      </c>
      <c r="L151" s="77">
        <v>0.49004999999999999</v>
      </c>
      <c r="M151" s="77">
        <v>0.50583</v>
      </c>
      <c r="N151" s="77">
        <v>0.51295000000000002</v>
      </c>
      <c r="O151" s="77">
        <v>0.45001000000000002</v>
      </c>
      <c r="P151" s="77">
        <v>0.43158000000000002</v>
      </c>
      <c r="Q151" s="77">
        <v>0.41663</v>
      </c>
      <c r="R151" s="77">
        <v>0.4617</v>
      </c>
      <c r="T151">
        <v>549</v>
      </c>
      <c r="U151">
        <f t="shared" si="32"/>
        <v>0.96640000000000004</v>
      </c>
      <c r="V151">
        <f t="shared" si="33"/>
        <v>0.68957999999999997</v>
      </c>
      <c r="W151">
        <f t="shared" si="34"/>
        <v>1.0510600000000001</v>
      </c>
      <c r="X151">
        <f t="shared" si="35"/>
        <v>0.80142000000000002</v>
      </c>
      <c r="Y151">
        <f t="shared" si="36"/>
        <v>0.96013999999999999</v>
      </c>
      <c r="Z151">
        <f t="shared" si="37"/>
        <v>0.92101999999999995</v>
      </c>
      <c r="AA151">
        <f t="shared" si="38"/>
        <v>0.96960000000000002</v>
      </c>
      <c r="AB151">
        <f t="shared" si="39"/>
        <v>0.88904000000000005</v>
      </c>
      <c r="AC151">
        <f t="shared" si="40"/>
        <v>0.98472000000000004</v>
      </c>
      <c r="AD151">
        <f t="shared" si="41"/>
        <v>0.98009999999999997</v>
      </c>
      <c r="AE151">
        <f t="shared" si="42"/>
        <v>1.01166</v>
      </c>
      <c r="AF151">
        <f t="shared" si="43"/>
        <v>1.0259</v>
      </c>
      <c r="AG151">
        <f t="shared" si="44"/>
        <v>0.90002000000000004</v>
      </c>
      <c r="AH151">
        <f t="shared" si="45"/>
        <v>0.86316000000000004</v>
      </c>
      <c r="AI151">
        <f t="shared" si="46"/>
        <v>0.83326</v>
      </c>
      <c r="AJ151">
        <f t="shared" si="47"/>
        <v>0.9234</v>
      </c>
      <c r="EC151">
        <v>549</v>
      </c>
      <c r="ED151">
        <v>0.96640000000000004</v>
      </c>
      <c r="EE151">
        <v>0.68957999999999997</v>
      </c>
      <c r="EF151">
        <v>1.0510600000000001</v>
      </c>
      <c r="EG151">
        <v>0.80142000000000002</v>
      </c>
      <c r="EH151">
        <v>0.96013999999999999</v>
      </c>
      <c r="EI151">
        <v>0.92101999999999995</v>
      </c>
      <c r="EJ151">
        <v>0.96960000000000002</v>
      </c>
      <c r="EK151">
        <v>0.88904000000000005</v>
      </c>
      <c r="EL151">
        <v>0.98472000000000004</v>
      </c>
      <c r="EM151">
        <v>0.98009999999999997</v>
      </c>
      <c r="EN151">
        <v>1.01166</v>
      </c>
      <c r="EO151">
        <v>1.0259</v>
      </c>
      <c r="EP151">
        <v>0.90002000000000004</v>
      </c>
      <c r="EQ151">
        <v>0.86316000000000004</v>
      </c>
      <c r="ER151">
        <v>0.83326</v>
      </c>
      <c r="ES151">
        <v>0.9234</v>
      </c>
    </row>
    <row r="152" spans="1:149" x14ac:dyDescent="0.35">
      <c r="A152" s="77"/>
      <c r="B152" s="77">
        <v>550</v>
      </c>
      <c r="C152" s="77">
        <v>0.48182999999999998</v>
      </c>
      <c r="D152" s="77">
        <v>0.34375</v>
      </c>
      <c r="E152" s="77">
        <v>0.52405999999999997</v>
      </c>
      <c r="F152" s="77">
        <v>0.39954000000000001</v>
      </c>
      <c r="G152" s="77">
        <v>0.47938999999999998</v>
      </c>
      <c r="H152" s="77">
        <v>0.45976</v>
      </c>
      <c r="I152" s="77">
        <v>0.48415000000000002</v>
      </c>
      <c r="J152" s="77">
        <v>0.44402000000000003</v>
      </c>
      <c r="K152" s="77">
        <v>0.49175999999999997</v>
      </c>
      <c r="L152" s="77">
        <v>0.48949999999999999</v>
      </c>
      <c r="M152" s="77">
        <v>0.50514000000000003</v>
      </c>
      <c r="N152" s="77">
        <v>0.51227</v>
      </c>
      <c r="O152" s="77">
        <v>0.44941999999999999</v>
      </c>
      <c r="P152" s="77">
        <v>0.43102000000000001</v>
      </c>
      <c r="Q152" s="77">
        <v>0.41615000000000002</v>
      </c>
      <c r="R152" s="77">
        <v>0.46106999999999998</v>
      </c>
      <c r="T152">
        <v>550</v>
      </c>
      <c r="U152">
        <f t="shared" si="32"/>
        <v>0.96365999999999996</v>
      </c>
      <c r="V152">
        <f t="shared" si="33"/>
        <v>0.6875</v>
      </c>
      <c r="W152">
        <f t="shared" si="34"/>
        <v>1.0481199999999999</v>
      </c>
      <c r="X152">
        <f t="shared" si="35"/>
        <v>0.79908000000000001</v>
      </c>
      <c r="Y152">
        <f t="shared" si="36"/>
        <v>0.95877999999999997</v>
      </c>
      <c r="Z152">
        <f t="shared" si="37"/>
        <v>0.91952</v>
      </c>
      <c r="AA152">
        <f t="shared" si="38"/>
        <v>0.96830000000000005</v>
      </c>
      <c r="AB152">
        <f t="shared" si="39"/>
        <v>0.88804000000000005</v>
      </c>
      <c r="AC152">
        <f t="shared" si="40"/>
        <v>0.98351999999999995</v>
      </c>
      <c r="AD152">
        <f t="shared" si="41"/>
        <v>0.97899999999999998</v>
      </c>
      <c r="AE152">
        <f t="shared" si="42"/>
        <v>1.0102800000000001</v>
      </c>
      <c r="AF152">
        <f t="shared" si="43"/>
        <v>1.02454</v>
      </c>
      <c r="AG152">
        <f t="shared" si="44"/>
        <v>0.89883999999999997</v>
      </c>
      <c r="AH152">
        <f t="shared" si="45"/>
        <v>0.86204000000000003</v>
      </c>
      <c r="AI152">
        <f t="shared" si="46"/>
        <v>0.83230000000000004</v>
      </c>
      <c r="AJ152">
        <f t="shared" si="47"/>
        <v>0.92213999999999996</v>
      </c>
      <c r="EC152">
        <v>550</v>
      </c>
      <c r="ED152">
        <v>0.96365999999999996</v>
      </c>
      <c r="EE152">
        <v>0.6875</v>
      </c>
      <c r="EF152">
        <v>1.0481199999999999</v>
      </c>
      <c r="EG152">
        <v>0.79908000000000001</v>
      </c>
      <c r="EH152">
        <v>0.95877999999999997</v>
      </c>
      <c r="EI152">
        <v>0.91952</v>
      </c>
      <c r="EJ152">
        <v>0.96830000000000005</v>
      </c>
      <c r="EK152">
        <v>0.88804000000000005</v>
      </c>
      <c r="EL152">
        <v>0.98351999999999995</v>
      </c>
      <c r="EM152">
        <v>0.97899999999999998</v>
      </c>
      <c r="EN152">
        <v>1.0102800000000001</v>
      </c>
      <c r="EO152">
        <v>1.02454</v>
      </c>
      <c r="EP152">
        <v>0.89883999999999997</v>
      </c>
      <c r="EQ152">
        <v>0.86204000000000003</v>
      </c>
      <c r="ER152">
        <v>0.83230000000000004</v>
      </c>
      <c r="ES152">
        <v>0.92213999999999996</v>
      </c>
    </row>
    <row r="153" spans="1:149" x14ac:dyDescent="0.35">
      <c r="A153" s="77"/>
      <c r="B153" s="77">
        <v>551</v>
      </c>
      <c r="C153" s="77">
        <v>0.48058000000000001</v>
      </c>
      <c r="D153" s="77">
        <v>0.34278999999999998</v>
      </c>
      <c r="E153" s="77">
        <v>0.52266999999999997</v>
      </c>
      <c r="F153" s="77">
        <v>0.39840999999999999</v>
      </c>
      <c r="G153" s="77">
        <v>0.47891</v>
      </c>
      <c r="H153" s="77">
        <v>0.45929999999999999</v>
      </c>
      <c r="I153" s="77">
        <v>0.48370000000000002</v>
      </c>
      <c r="J153" s="77">
        <v>0.44351000000000002</v>
      </c>
      <c r="K153" s="77">
        <v>0.49117</v>
      </c>
      <c r="L153" s="77">
        <v>0.48898000000000003</v>
      </c>
      <c r="M153" s="77">
        <v>0.50458999999999998</v>
      </c>
      <c r="N153" s="77">
        <v>0.51171999999999995</v>
      </c>
      <c r="O153" s="77">
        <v>0.44890999999999998</v>
      </c>
      <c r="P153" s="77">
        <v>0.43053000000000002</v>
      </c>
      <c r="Q153" s="77">
        <v>0.41576000000000002</v>
      </c>
      <c r="R153" s="77">
        <v>0.46056000000000002</v>
      </c>
      <c r="T153">
        <v>551</v>
      </c>
      <c r="U153">
        <f t="shared" si="32"/>
        <v>0.96116000000000001</v>
      </c>
      <c r="V153">
        <f t="shared" si="33"/>
        <v>0.68557999999999997</v>
      </c>
      <c r="W153">
        <f t="shared" si="34"/>
        <v>1.0453399999999999</v>
      </c>
      <c r="X153">
        <f t="shared" si="35"/>
        <v>0.79681999999999997</v>
      </c>
      <c r="Y153">
        <f t="shared" si="36"/>
        <v>0.95782</v>
      </c>
      <c r="Z153">
        <f t="shared" si="37"/>
        <v>0.91859999999999997</v>
      </c>
      <c r="AA153">
        <f t="shared" si="38"/>
        <v>0.96740000000000004</v>
      </c>
      <c r="AB153">
        <f t="shared" si="39"/>
        <v>0.88702000000000003</v>
      </c>
      <c r="AC153">
        <f t="shared" si="40"/>
        <v>0.98233999999999999</v>
      </c>
      <c r="AD153">
        <f t="shared" si="41"/>
        <v>0.97796000000000005</v>
      </c>
      <c r="AE153">
        <f t="shared" si="42"/>
        <v>1.00918</v>
      </c>
      <c r="AF153">
        <f t="shared" si="43"/>
        <v>1.0234399999999999</v>
      </c>
      <c r="AG153">
        <f t="shared" si="44"/>
        <v>0.89781999999999995</v>
      </c>
      <c r="AH153">
        <f t="shared" si="45"/>
        <v>0.86106000000000005</v>
      </c>
      <c r="AI153">
        <f t="shared" si="46"/>
        <v>0.83152000000000004</v>
      </c>
      <c r="AJ153">
        <f t="shared" si="47"/>
        <v>0.92112000000000005</v>
      </c>
      <c r="EC153">
        <v>551</v>
      </c>
      <c r="ED153">
        <v>0.96116000000000001</v>
      </c>
      <c r="EE153">
        <v>0.68557999999999997</v>
      </c>
      <c r="EF153">
        <v>1.0453399999999999</v>
      </c>
      <c r="EG153">
        <v>0.79681999999999997</v>
      </c>
      <c r="EH153">
        <v>0.95782</v>
      </c>
      <c r="EI153">
        <v>0.91859999999999997</v>
      </c>
      <c r="EJ153">
        <v>0.96740000000000004</v>
      </c>
      <c r="EK153">
        <v>0.88702000000000003</v>
      </c>
      <c r="EL153">
        <v>0.98233999999999999</v>
      </c>
      <c r="EM153">
        <v>0.97796000000000005</v>
      </c>
      <c r="EN153">
        <v>1.00918</v>
      </c>
      <c r="EO153">
        <v>1.0234399999999999</v>
      </c>
      <c r="EP153">
        <v>0.89781999999999995</v>
      </c>
      <c r="EQ153">
        <v>0.86106000000000005</v>
      </c>
      <c r="ER153">
        <v>0.83152000000000004</v>
      </c>
      <c r="ES153">
        <v>0.92112000000000005</v>
      </c>
    </row>
    <row r="154" spans="1:149" x14ac:dyDescent="0.35">
      <c r="A154" s="77"/>
      <c r="B154" s="77">
        <v>552</v>
      </c>
      <c r="C154" s="77">
        <v>0.47939999999999999</v>
      </c>
      <c r="D154" s="77">
        <v>0.34183999999999998</v>
      </c>
      <c r="E154" s="77">
        <v>0.52141999999999999</v>
      </c>
      <c r="F154" s="77">
        <v>0.39728999999999998</v>
      </c>
      <c r="G154" s="77">
        <v>0.47838999999999998</v>
      </c>
      <c r="H154" s="77">
        <v>0.45868999999999999</v>
      </c>
      <c r="I154" s="77">
        <v>0.48321999999999998</v>
      </c>
      <c r="J154" s="77">
        <v>0.44305</v>
      </c>
      <c r="K154" s="77">
        <v>0.49071999999999999</v>
      </c>
      <c r="L154" s="77">
        <v>0.48857</v>
      </c>
      <c r="M154" s="77">
        <v>0.50414000000000003</v>
      </c>
      <c r="N154" s="77">
        <v>0.51127999999999996</v>
      </c>
      <c r="O154" s="77">
        <v>0.44840999999999998</v>
      </c>
      <c r="P154" s="77">
        <v>0.42992000000000002</v>
      </c>
      <c r="Q154" s="77">
        <v>0.41517999999999999</v>
      </c>
      <c r="R154" s="77">
        <v>0.46006999999999998</v>
      </c>
      <c r="T154">
        <v>552</v>
      </c>
      <c r="U154">
        <f t="shared" si="32"/>
        <v>0.95879999999999999</v>
      </c>
      <c r="V154">
        <f t="shared" si="33"/>
        <v>0.68367999999999995</v>
      </c>
      <c r="W154">
        <f t="shared" si="34"/>
        <v>1.04284</v>
      </c>
      <c r="X154">
        <f t="shared" si="35"/>
        <v>0.79457999999999995</v>
      </c>
      <c r="Y154">
        <f t="shared" si="36"/>
        <v>0.95677999999999996</v>
      </c>
      <c r="Z154">
        <f t="shared" si="37"/>
        <v>0.91737999999999997</v>
      </c>
      <c r="AA154">
        <f t="shared" si="38"/>
        <v>0.96643999999999997</v>
      </c>
      <c r="AB154">
        <f t="shared" si="39"/>
        <v>0.8861</v>
      </c>
      <c r="AC154">
        <f t="shared" si="40"/>
        <v>0.98143999999999998</v>
      </c>
      <c r="AD154">
        <f t="shared" si="41"/>
        <v>0.97714000000000001</v>
      </c>
      <c r="AE154">
        <f t="shared" si="42"/>
        <v>1.0082800000000001</v>
      </c>
      <c r="AF154">
        <f t="shared" si="43"/>
        <v>1.0225599999999999</v>
      </c>
      <c r="AG154">
        <f t="shared" si="44"/>
        <v>0.89681999999999995</v>
      </c>
      <c r="AH154">
        <f t="shared" si="45"/>
        <v>0.85984000000000005</v>
      </c>
      <c r="AI154">
        <f t="shared" si="46"/>
        <v>0.83035999999999999</v>
      </c>
      <c r="AJ154">
        <f t="shared" si="47"/>
        <v>0.92013999999999996</v>
      </c>
      <c r="EC154">
        <v>552</v>
      </c>
      <c r="ED154">
        <v>0.95879999999999999</v>
      </c>
      <c r="EE154">
        <v>0.68367999999999995</v>
      </c>
      <c r="EF154">
        <v>1.04284</v>
      </c>
      <c r="EG154">
        <v>0.79457999999999995</v>
      </c>
      <c r="EH154">
        <v>0.95677999999999996</v>
      </c>
      <c r="EI154">
        <v>0.91737999999999997</v>
      </c>
      <c r="EJ154">
        <v>0.96643999999999997</v>
      </c>
      <c r="EK154">
        <v>0.8861</v>
      </c>
      <c r="EL154">
        <v>0.98143999999999998</v>
      </c>
      <c r="EM154">
        <v>0.97714000000000001</v>
      </c>
      <c r="EN154">
        <v>1.0082800000000001</v>
      </c>
      <c r="EO154">
        <v>1.0225599999999999</v>
      </c>
      <c r="EP154">
        <v>0.89681999999999995</v>
      </c>
      <c r="EQ154">
        <v>0.85984000000000005</v>
      </c>
      <c r="ER154">
        <v>0.83035999999999999</v>
      </c>
      <c r="ES154">
        <v>0.92013999999999996</v>
      </c>
    </row>
    <row r="155" spans="1:149" x14ac:dyDescent="0.35">
      <c r="A155" s="77"/>
      <c r="B155" s="77">
        <v>553</v>
      </c>
      <c r="C155" s="77">
        <v>0.47828999999999999</v>
      </c>
      <c r="D155" s="77">
        <v>0.34093000000000001</v>
      </c>
      <c r="E155" s="77">
        <v>0.52014000000000005</v>
      </c>
      <c r="F155" s="77">
        <v>0.39638000000000001</v>
      </c>
      <c r="G155" s="77">
        <v>0.47797000000000001</v>
      </c>
      <c r="H155" s="77">
        <v>0.45824999999999999</v>
      </c>
      <c r="I155" s="77">
        <v>0.48272999999999999</v>
      </c>
      <c r="J155" s="77">
        <v>0.4425</v>
      </c>
      <c r="K155" s="77">
        <v>0.49031000000000002</v>
      </c>
      <c r="L155" s="77">
        <v>0.48810999999999999</v>
      </c>
      <c r="M155" s="77">
        <v>0.50366</v>
      </c>
      <c r="N155" s="77">
        <v>0.51082000000000005</v>
      </c>
      <c r="O155" s="77">
        <v>0.44791999999999998</v>
      </c>
      <c r="P155" s="77">
        <v>0.42946000000000001</v>
      </c>
      <c r="Q155" s="77">
        <v>0.41470000000000001</v>
      </c>
      <c r="R155" s="77">
        <v>0.45967000000000002</v>
      </c>
      <c r="T155">
        <v>553</v>
      </c>
      <c r="U155">
        <f t="shared" si="32"/>
        <v>0.95657999999999999</v>
      </c>
      <c r="V155">
        <f t="shared" si="33"/>
        <v>0.68186000000000002</v>
      </c>
      <c r="W155">
        <f t="shared" si="34"/>
        <v>1.0402800000000001</v>
      </c>
      <c r="X155">
        <f t="shared" si="35"/>
        <v>0.79276000000000002</v>
      </c>
      <c r="Y155">
        <f t="shared" si="36"/>
        <v>0.95594000000000001</v>
      </c>
      <c r="Z155">
        <f t="shared" si="37"/>
        <v>0.91649999999999998</v>
      </c>
      <c r="AA155">
        <f t="shared" si="38"/>
        <v>0.96545999999999998</v>
      </c>
      <c r="AB155">
        <f t="shared" si="39"/>
        <v>0.88500000000000001</v>
      </c>
      <c r="AC155">
        <f t="shared" si="40"/>
        <v>0.98062000000000005</v>
      </c>
      <c r="AD155">
        <f t="shared" si="41"/>
        <v>0.97621999999999998</v>
      </c>
      <c r="AE155">
        <f t="shared" si="42"/>
        <v>1.00732</v>
      </c>
      <c r="AF155">
        <f t="shared" si="43"/>
        <v>1.0216400000000001</v>
      </c>
      <c r="AG155">
        <f t="shared" si="44"/>
        <v>0.89583999999999997</v>
      </c>
      <c r="AH155">
        <f t="shared" si="45"/>
        <v>0.85892000000000002</v>
      </c>
      <c r="AI155">
        <f t="shared" si="46"/>
        <v>0.82940000000000003</v>
      </c>
      <c r="AJ155">
        <f t="shared" si="47"/>
        <v>0.91934000000000005</v>
      </c>
      <c r="EC155">
        <v>553</v>
      </c>
      <c r="ED155">
        <v>0.95657999999999999</v>
      </c>
      <c r="EE155">
        <v>0.68186000000000002</v>
      </c>
      <c r="EF155">
        <v>1.0402800000000001</v>
      </c>
      <c r="EG155">
        <v>0.79276000000000002</v>
      </c>
      <c r="EH155">
        <v>0.95594000000000001</v>
      </c>
      <c r="EI155">
        <v>0.91649999999999998</v>
      </c>
      <c r="EJ155">
        <v>0.96545999999999998</v>
      </c>
      <c r="EK155">
        <v>0.88500000000000001</v>
      </c>
      <c r="EL155">
        <v>0.98062000000000005</v>
      </c>
      <c r="EM155">
        <v>0.97621999999999998</v>
      </c>
      <c r="EN155">
        <v>1.00732</v>
      </c>
      <c r="EO155">
        <v>1.0216400000000001</v>
      </c>
      <c r="EP155">
        <v>0.89583999999999997</v>
      </c>
      <c r="EQ155">
        <v>0.85892000000000002</v>
      </c>
      <c r="ER155">
        <v>0.82940000000000003</v>
      </c>
      <c r="ES155">
        <v>0.91934000000000005</v>
      </c>
    </row>
    <row r="156" spans="1:149" x14ac:dyDescent="0.35">
      <c r="A156" s="77"/>
      <c r="B156" s="77">
        <v>554</v>
      </c>
      <c r="C156" s="77">
        <v>0.47716999999999998</v>
      </c>
      <c r="D156" s="77">
        <v>0.34012999999999999</v>
      </c>
      <c r="E156" s="77">
        <v>0.51897000000000004</v>
      </c>
      <c r="F156" s="77">
        <v>0.39545999999999998</v>
      </c>
      <c r="G156" s="77">
        <v>0.47754000000000002</v>
      </c>
      <c r="H156" s="77">
        <v>0.45785999999999999</v>
      </c>
      <c r="I156" s="77">
        <v>0.48232000000000003</v>
      </c>
      <c r="J156" s="77">
        <v>0.44208999999999998</v>
      </c>
      <c r="K156" s="77">
        <v>0.49001</v>
      </c>
      <c r="L156" s="77">
        <v>0.48775000000000002</v>
      </c>
      <c r="M156" s="77">
        <v>0.50324999999999998</v>
      </c>
      <c r="N156" s="77">
        <v>0.51044</v>
      </c>
      <c r="O156" s="77">
        <v>0.44745000000000001</v>
      </c>
      <c r="P156" s="77">
        <v>0.42912</v>
      </c>
      <c r="Q156" s="77">
        <v>0.41432000000000002</v>
      </c>
      <c r="R156" s="77">
        <v>0.4592</v>
      </c>
      <c r="T156">
        <v>554</v>
      </c>
      <c r="U156">
        <f t="shared" si="32"/>
        <v>0.95433999999999997</v>
      </c>
      <c r="V156">
        <f t="shared" si="33"/>
        <v>0.68025999999999998</v>
      </c>
      <c r="W156">
        <f t="shared" si="34"/>
        <v>1.0379400000000001</v>
      </c>
      <c r="X156">
        <f t="shared" si="35"/>
        <v>0.79091999999999996</v>
      </c>
      <c r="Y156">
        <f t="shared" si="36"/>
        <v>0.95508000000000004</v>
      </c>
      <c r="Z156">
        <f t="shared" si="37"/>
        <v>0.91571999999999998</v>
      </c>
      <c r="AA156">
        <f t="shared" si="38"/>
        <v>0.96464000000000005</v>
      </c>
      <c r="AB156">
        <f t="shared" si="39"/>
        <v>0.88417999999999997</v>
      </c>
      <c r="AC156">
        <f t="shared" si="40"/>
        <v>0.98002</v>
      </c>
      <c r="AD156">
        <f t="shared" si="41"/>
        <v>0.97550000000000003</v>
      </c>
      <c r="AE156">
        <f t="shared" si="42"/>
        <v>1.0065</v>
      </c>
      <c r="AF156">
        <f t="shared" si="43"/>
        <v>1.02088</v>
      </c>
      <c r="AG156">
        <f t="shared" si="44"/>
        <v>0.89490000000000003</v>
      </c>
      <c r="AH156">
        <f t="shared" si="45"/>
        <v>0.85824</v>
      </c>
      <c r="AI156">
        <f t="shared" si="46"/>
        <v>0.82864000000000004</v>
      </c>
      <c r="AJ156">
        <f t="shared" si="47"/>
        <v>0.91839999999999999</v>
      </c>
      <c r="EC156">
        <v>554</v>
      </c>
      <c r="ED156">
        <v>0.95433999999999997</v>
      </c>
      <c r="EE156">
        <v>0.68025999999999998</v>
      </c>
      <c r="EF156">
        <v>1.0379400000000001</v>
      </c>
      <c r="EG156">
        <v>0.79091999999999996</v>
      </c>
      <c r="EH156">
        <v>0.95508000000000004</v>
      </c>
      <c r="EI156">
        <v>0.91571999999999998</v>
      </c>
      <c r="EJ156">
        <v>0.96464000000000005</v>
      </c>
      <c r="EK156">
        <v>0.88417999999999997</v>
      </c>
      <c r="EL156">
        <v>0.98002</v>
      </c>
      <c r="EM156">
        <v>0.97550000000000003</v>
      </c>
      <c r="EN156">
        <v>1.0065</v>
      </c>
      <c r="EO156">
        <v>1.02088</v>
      </c>
      <c r="EP156">
        <v>0.89490000000000003</v>
      </c>
      <c r="EQ156">
        <v>0.85824</v>
      </c>
      <c r="ER156">
        <v>0.82864000000000004</v>
      </c>
      <c r="ES156">
        <v>0.91839999999999999</v>
      </c>
    </row>
    <row r="157" spans="1:149" x14ac:dyDescent="0.35">
      <c r="A157" s="77"/>
      <c r="B157" s="77">
        <v>555</v>
      </c>
      <c r="C157" s="77">
        <v>0.47627000000000003</v>
      </c>
      <c r="D157" s="77">
        <v>0.33939000000000002</v>
      </c>
      <c r="E157" s="77">
        <v>0.51790999999999998</v>
      </c>
      <c r="F157" s="77">
        <v>0.39459</v>
      </c>
      <c r="G157" s="77">
        <v>0.47722999999999999</v>
      </c>
      <c r="H157" s="77">
        <v>0.45749000000000001</v>
      </c>
      <c r="I157" s="77">
        <v>0.48203000000000001</v>
      </c>
      <c r="J157" s="77">
        <v>0.44167000000000001</v>
      </c>
      <c r="K157" s="77">
        <v>0.48960999999999999</v>
      </c>
      <c r="L157" s="77">
        <v>0.48746</v>
      </c>
      <c r="M157" s="77">
        <v>0.50285000000000002</v>
      </c>
      <c r="N157" s="77">
        <v>0.51014999999999999</v>
      </c>
      <c r="O157" s="77">
        <v>0.44705</v>
      </c>
      <c r="P157" s="77">
        <v>0.42864999999999998</v>
      </c>
      <c r="Q157" s="77">
        <v>0.41393999999999997</v>
      </c>
      <c r="R157" s="77">
        <v>0.45883000000000002</v>
      </c>
      <c r="T157">
        <v>555</v>
      </c>
      <c r="U157">
        <f t="shared" si="32"/>
        <v>0.95254000000000005</v>
      </c>
      <c r="V157">
        <f t="shared" si="33"/>
        <v>0.67878000000000005</v>
      </c>
      <c r="W157">
        <f t="shared" si="34"/>
        <v>1.03582</v>
      </c>
      <c r="X157">
        <f t="shared" si="35"/>
        <v>0.78917999999999999</v>
      </c>
      <c r="Y157">
        <f t="shared" si="36"/>
        <v>0.95445999999999998</v>
      </c>
      <c r="Z157">
        <f t="shared" si="37"/>
        <v>0.91498000000000002</v>
      </c>
      <c r="AA157">
        <f t="shared" si="38"/>
        <v>0.96406000000000003</v>
      </c>
      <c r="AB157">
        <f t="shared" si="39"/>
        <v>0.88334000000000001</v>
      </c>
      <c r="AC157">
        <f t="shared" si="40"/>
        <v>0.97921999999999998</v>
      </c>
      <c r="AD157">
        <f t="shared" si="41"/>
        <v>0.97492000000000001</v>
      </c>
      <c r="AE157">
        <f t="shared" si="42"/>
        <v>1.0057</v>
      </c>
      <c r="AF157">
        <f t="shared" si="43"/>
        <v>1.0203</v>
      </c>
      <c r="AG157">
        <f t="shared" si="44"/>
        <v>0.89410000000000001</v>
      </c>
      <c r="AH157">
        <f t="shared" si="45"/>
        <v>0.85729999999999995</v>
      </c>
      <c r="AI157">
        <f t="shared" si="46"/>
        <v>0.82787999999999995</v>
      </c>
      <c r="AJ157">
        <f t="shared" si="47"/>
        <v>0.91766000000000003</v>
      </c>
      <c r="EC157">
        <v>555</v>
      </c>
      <c r="ED157">
        <v>0.95254000000000005</v>
      </c>
      <c r="EE157">
        <v>0.67878000000000005</v>
      </c>
      <c r="EF157">
        <v>1.03582</v>
      </c>
      <c r="EG157">
        <v>0.78917999999999999</v>
      </c>
      <c r="EH157">
        <v>0.95445999999999998</v>
      </c>
      <c r="EI157">
        <v>0.91498000000000002</v>
      </c>
      <c r="EJ157">
        <v>0.96406000000000003</v>
      </c>
      <c r="EK157">
        <v>0.88334000000000001</v>
      </c>
      <c r="EL157">
        <v>0.97921999999999998</v>
      </c>
      <c r="EM157">
        <v>0.97492000000000001</v>
      </c>
      <c r="EN157">
        <v>1.0057</v>
      </c>
      <c r="EO157">
        <v>1.0203</v>
      </c>
      <c r="EP157">
        <v>0.89410000000000001</v>
      </c>
      <c r="EQ157">
        <v>0.85729999999999995</v>
      </c>
      <c r="ER157">
        <v>0.82787999999999995</v>
      </c>
      <c r="ES157">
        <v>0.91766000000000003</v>
      </c>
    </row>
    <row r="158" spans="1:149" x14ac:dyDescent="0.35">
      <c r="A158" s="77"/>
      <c r="B158" s="77">
        <v>556</v>
      </c>
      <c r="C158" s="77">
        <v>0.47527000000000003</v>
      </c>
      <c r="D158" s="77">
        <v>0.33855000000000002</v>
      </c>
      <c r="E158" s="77">
        <v>0.51681999999999995</v>
      </c>
      <c r="F158" s="77">
        <v>0.39368999999999998</v>
      </c>
      <c r="G158" s="77">
        <v>0.47678999999999999</v>
      </c>
      <c r="H158" s="77">
        <v>0.45702999999999999</v>
      </c>
      <c r="I158" s="77">
        <v>0.48157</v>
      </c>
      <c r="J158" s="77">
        <v>0.44133</v>
      </c>
      <c r="K158" s="77">
        <v>0.48936000000000002</v>
      </c>
      <c r="L158" s="77">
        <v>0.48709000000000002</v>
      </c>
      <c r="M158" s="77">
        <v>0.50239999999999996</v>
      </c>
      <c r="N158" s="77">
        <v>0.50971999999999995</v>
      </c>
      <c r="O158" s="77">
        <v>0.44661000000000001</v>
      </c>
      <c r="P158" s="77">
        <v>0.42809999999999998</v>
      </c>
      <c r="Q158" s="77">
        <v>0.41353000000000001</v>
      </c>
      <c r="R158" s="77">
        <v>0.45829999999999999</v>
      </c>
      <c r="T158">
        <v>556</v>
      </c>
      <c r="U158">
        <f t="shared" si="32"/>
        <v>0.95054000000000005</v>
      </c>
      <c r="V158">
        <f t="shared" si="33"/>
        <v>0.67710000000000004</v>
      </c>
      <c r="W158">
        <f t="shared" si="34"/>
        <v>1.0336399999999999</v>
      </c>
      <c r="X158">
        <f t="shared" si="35"/>
        <v>0.78737999999999997</v>
      </c>
      <c r="Y158">
        <f t="shared" si="36"/>
        <v>0.95357999999999998</v>
      </c>
      <c r="Z158">
        <f t="shared" si="37"/>
        <v>0.91405999999999998</v>
      </c>
      <c r="AA158">
        <f t="shared" si="38"/>
        <v>0.96314</v>
      </c>
      <c r="AB158">
        <f t="shared" si="39"/>
        <v>0.88266</v>
      </c>
      <c r="AC158">
        <f t="shared" si="40"/>
        <v>0.97872000000000003</v>
      </c>
      <c r="AD158">
        <f t="shared" si="41"/>
        <v>0.97418000000000005</v>
      </c>
      <c r="AE158">
        <f t="shared" si="42"/>
        <v>1.0047999999999999</v>
      </c>
      <c r="AF158">
        <f t="shared" si="43"/>
        <v>1.0194399999999999</v>
      </c>
      <c r="AG158">
        <f t="shared" si="44"/>
        <v>0.89322000000000001</v>
      </c>
      <c r="AH158">
        <f t="shared" si="45"/>
        <v>0.85619999999999996</v>
      </c>
      <c r="AI158">
        <f t="shared" si="46"/>
        <v>0.82706000000000002</v>
      </c>
      <c r="AJ158">
        <f t="shared" si="47"/>
        <v>0.91659999999999997</v>
      </c>
      <c r="EC158">
        <v>556</v>
      </c>
      <c r="ED158">
        <v>0.95054000000000005</v>
      </c>
      <c r="EE158">
        <v>0.67710000000000004</v>
      </c>
      <c r="EF158">
        <v>1.0336399999999999</v>
      </c>
      <c r="EG158">
        <v>0.78737999999999997</v>
      </c>
      <c r="EH158">
        <v>0.95357999999999998</v>
      </c>
      <c r="EI158">
        <v>0.91405999999999998</v>
      </c>
      <c r="EJ158">
        <v>0.96314</v>
      </c>
      <c r="EK158">
        <v>0.88266</v>
      </c>
      <c r="EL158">
        <v>0.97872000000000003</v>
      </c>
      <c r="EM158">
        <v>0.97418000000000005</v>
      </c>
      <c r="EN158">
        <v>1.0047999999999999</v>
      </c>
      <c r="EO158">
        <v>1.0194399999999999</v>
      </c>
      <c r="EP158">
        <v>0.89322000000000001</v>
      </c>
      <c r="EQ158">
        <v>0.85619999999999996</v>
      </c>
      <c r="ER158">
        <v>0.82706000000000002</v>
      </c>
      <c r="ES158">
        <v>0.91659999999999997</v>
      </c>
    </row>
    <row r="159" spans="1:149" x14ac:dyDescent="0.35">
      <c r="A159" s="77"/>
      <c r="B159" s="77">
        <v>557</v>
      </c>
      <c r="C159" s="77">
        <v>0.47427000000000002</v>
      </c>
      <c r="D159" s="77">
        <v>0.33781</v>
      </c>
      <c r="E159" s="77">
        <v>0.51581999999999995</v>
      </c>
      <c r="F159" s="77">
        <v>0.39287</v>
      </c>
      <c r="G159" s="77">
        <v>0.47643999999999997</v>
      </c>
      <c r="H159" s="77">
        <v>0.45662999999999998</v>
      </c>
      <c r="I159" s="77">
        <v>0.48122999999999999</v>
      </c>
      <c r="J159" s="77">
        <v>0.44084000000000001</v>
      </c>
      <c r="K159" s="77">
        <v>0.48895</v>
      </c>
      <c r="L159" s="77">
        <v>0.48676999999999998</v>
      </c>
      <c r="M159" s="77">
        <v>0.50212000000000001</v>
      </c>
      <c r="N159" s="77">
        <v>0.50934999999999997</v>
      </c>
      <c r="O159" s="77">
        <v>0.44625999999999999</v>
      </c>
      <c r="P159" s="77">
        <v>0.42781000000000002</v>
      </c>
      <c r="Q159" s="77">
        <v>0.41336000000000001</v>
      </c>
      <c r="R159" s="77">
        <v>0.45807999999999999</v>
      </c>
      <c r="T159">
        <v>557</v>
      </c>
      <c r="U159">
        <f t="shared" si="32"/>
        <v>0.94854000000000005</v>
      </c>
      <c r="V159">
        <f t="shared" si="33"/>
        <v>0.67562</v>
      </c>
      <c r="W159">
        <f t="shared" si="34"/>
        <v>1.0316399999999999</v>
      </c>
      <c r="X159">
        <f t="shared" si="35"/>
        <v>0.78573999999999999</v>
      </c>
      <c r="Y159">
        <f t="shared" si="36"/>
        <v>0.95287999999999995</v>
      </c>
      <c r="Z159">
        <f t="shared" si="37"/>
        <v>0.91325999999999996</v>
      </c>
      <c r="AA159">
        <f t="shared" si="38"/>
        <v>0.96245999999999998</v>
      </c>
      <c r="AB159">
        <f t="shared" si="39"/>
        <v>0.88168000000000002</v>
      </c>
      <c r="AC159">
        <f t="shared" si="40"/>
        <v>0.97789999999999999</v>
      </c>
      <c r="AD159">
        <f t="shared" si="41"/>
        <v>0.97353999999999996</v>
      </c>
      <c r="AE159">
        <f t="shared" si="42"/>
        <v>1.00424</v>
      </c>
      <c r="AF159">
        <f t="shared" si="43"/>
        <v>1.0186999999999999</v>
      </c>
      <c r="AG159">
        <f t="shared" si="44"/>
        <v>0.89251999999999998</v>
      </c>
      <c r="AH159">
        <f t="shared" si="45"/>
        <v>0.85562000000000005</v>
      </c>
      <c r="AI159">
        <f t="shared" si="46"/>
        <v>0.82672000000000001</v>
      </c>
      <c r="AJ159">
        <f t="shared" si="47"/>
        <v>0.91615999999999997</v>
      </c>
      <c r="EC159">
        <v>557</v>
      </c>
      <c r="ED159">
        <v>0.94854000000000005</v>
      </c>
      <c r="EE159">
        <v>0.67562</v>
      </c>
      <c r="EF159">
        <v>1.0316399999999999</v>
      </c>
      <c r="EG159">
        <v>0.78573999999999999</v>
      </c>
      <c r="EH159">
        <v>0.95287999999999995</v>
      </c>
      <c r="EI159">
        <v>0.91325999999999996</v>
      </c>
      <c r="EJ159">
        <v>0.96245999999999998</v>
      </c>
      <c r="EK159">
        <v>0.88168000000000002</v>
      </c>
      <c r="EL159">
        <v>0.97789999999999999</v>
      </c>
      <c r="EM159">
        <v>0.97353999999999996</v>
      </c>
      <c r="EN159">
        <v>1.00424</v>
      </c>
      <c r="EO159">
        <v>1.0186999999999999</v>
      </c>
      <c r="EP159">
        <v>0.89251999999999998</v>
      </c>
      <c r="EQ159">
        <v>0.85562000000000005</v>
      </c>
      <c r="ER159">
        <v>0.82672000000000001</v>
      </c>
      <c r="ES159">
        <v>0.91615999999999997</v>
      </c>
    </row>
    <row r="160" spans="1:149" x14ac:dyDescent="0.35">
      <c r="A160" s="77"/>
      <c r="B160" s="77">
        <v>558</v>
      </c>
      <c r="C160" s="77">
        <v>0.47339999999999999</v>
      </c>
      <c r="D160" s="77">
        <v>0.33716000000000002</v>
      </c>
      <c r="E160" s="77">
        <v>0.51497000000000004</v>
      </c>
      <c r="F160" s="77">
        <v>0.39212000000000002</v>
      </c>
      <c r="G160" s="77">
        <v>0.47599999999999998</v>
      </c>
      <c r="H160" s="77">
        <v>0.45644000000000001</v>
      </c>
      <c r="I160" s="77">
        <v>0.48097000000000001</v>
      </c>
      <c r="J160" s="77">
        <v>0.44061</v>
      </c>
      <c r="K160" s="77">
        <v>0.48869000000000001</v>
      </c>
      <c r="L160" s="77">
        <v>0.48657</v>
      </c>
      <c r="M160" s="77">
        <v>0.50178999999999996</v>
      </c>
      <c r="N160" s="77">
        <v>0.50909000000000004</v>
      </c>
      <c r="O160" s="77">
        <v>0.44566</v>
      </c>
      <c r="P160" s="77">
        <v>0.4274</v>
      </c>
      <c r="Q160" s="77">
        <v>0.41288999999999998</v>
      </c>
      <c r="R160" s="77">
        <v>0.45756999999999998</v>
      </c>
      <c r="T160">
        <v>558</v>
      </c>
      <c r="U160">
        <f t="shared" si="32"/>
        <v>0.94679999999999997</v>
      </c>
      <c r="V160">
        <f t="shared" si="33"/>
        <v>0.67432000000000003</v>
      </c>
      <c r="W160">
        <f t="shared" si="34"/>
        <v>1.0299400000000001</v>
      </c>
      <c r="X160">
        <f t="shared" si="35"/>
        <v>0.78424000000000005</v>
      </c>
      <c r="Y160">
        <f t="shared" si="36"/>
        <v>0.95199999999999996</v>
      </c>
      <c r="Z160">
        <f t="shared" si="37"/>
        <v>0.91288000000000002</v>
      </c>
      <c r="AA160">
        <f t="shared" si="38"/>
        <v>0.96194000000000002</v>
      </c>
      <c r="AB160">
        <f t="shared" si="39"/>
        <v>0.88122</v>
      </c>
      <c r="AC160">
        <f t="shared" si="40"/>
        <v>0.97738000000000003</v>
      </c>
      <c r="AD160">
        <f t="shared" si="41"/>
        <v>0.97314000000000001</v>
      </c>
      <c r="AE160">
        <f t="shared" si="42"/>
        <v>1.0035799999999999</v>
      </c>
      <c r="AF160">
        <f t="shared" si="43"/>
        <v>1.0181800000000001</v>
      </c>
      <c r="AG160">
        <f t="shared" si="44"/>
        <v>0.89132</v>
      </c>
      <c r="AH160">
        <f t="shared" si="45"/>
        <v>0.8548</v>
      </c>
      <c r="AI160">
        <f t="shared" si="46"/>
        <v>0.82577999999999996</v>
      </c>
      <c r="AJ160">
        <f t="shared" si="47"/>
        <v>0.91513999999999995</v>
      </c>
      <c r="EC160">
        <v>558</v>
      </c>
      <c r="ED160">
        <v>0.94679999999999997</v>
      </c>
      <c r="EE160">
        <v>0.67432000000000003</v>
      </c>
      <c r="EF160">
        <v>1.0299400000000001</v>
      </c>
      <c r="EG160">
        <v>0.78424000000000005</v>
      </c>
      <c r="EH160">
        <v>0.95199999999999996</v>
      </c>
      <c r="EI160">
        <v>0.91288000000000002</v>
      </c>
      <c r="EJ160">
        <v>0.96194000000000002</v>
      </c>
      <c r="EK160">
        <v>0.88122</v>
      </c>
      <c r="EL160">
        <v>0.97738000000000003</v>
      </c>
      <c r="EM160">
        <v>0.97314000000000001</v>
      </c>
      <c r="EN160">
        <v>1.0035799999999999</v>
      </c>
      <c r="EO160">
        <v>1.0181800000000001</v>
      </c>
      <c r="EP160">
        <v>0.89132</v>
      </c>
      <c r="EQ160">
        <v>0.8548</v>
      </c>
      <c r="ER160">
        <v>0.82577999999999996</v>
      </c>
      <c r="ES160">
        <v>0.91513999999999995</v>
      </c>
    </row>
    <row r="161" spans="1:149" x14ac:dyDescent="0.35">
      <c r="A161" s="77"/>
      <c r="B161" s="77">
        <v>559</v>
      </c>
      <c r="C161" s="77">
        <v>0.47260000000000002</v>
      </c>
      <c r="D161" s="77">
        <v>0.33646999999999999</v>
      </c>
      <c r="E161" s="77">
        <v>0.51400999999999997</v>
      </c>
      <c r="F161" s="77">
        <v>0.39129999999999998</v>
      </c>
      <c r="G161" s="77">
        <v>0.47569</v>
      </c>
      <c r="H161" s="77">
        <v>0.45606999999999998</v>
      </c>
      <c r="I161" s="77">
        <v>0.48066999999999999</v>
      </c>
      <c r="J161" s="77">
        <v>0.44024999999999997</v>
      </c>
      <c r="K161" s="77">
        <v>0.48838999999999999</v>
      </c>
      <c r="L161" s="77">
        <v>0.48624000000000001</v>
      </c>
      <c r="M161" s="77">
        <v>0.50141999999999998</v>
      </c>
      <c r="N161" s="77">
        <v>0.50882000000000005</v>
      </c>
      <c r="O161" s="77">
        <v>0.44534000000000001</v>
      </c>
      <c r="P161" s="77">
        <v>0.42710999999999999</v>
      </c>
      <c r="Q161" s="77">
        <v>0.41243000000000002</v>
      </c>
      <c r="R161" s="77">
        <v>0.45717999999999998</v>
      </c>
      <c r="T161">
        <v>559</v>
      </c>
      <c r="U161">
        <f t="shared" si="32"/>
        <v>0.94520000000000004</v>
      </c>
      <c r="V161">
        <f t="shared" si="33"/>
        <v>0.67293999999999998</v>
      </c>
      <c r="W161">
        <f t="shared" si="34"/>
        <v>1.0280199999999999</v>
      </c>
      <c r="X161">
        <f t="shared" si="35"/>
        <v>0.78259999999999996</v>
      </c>
      <c r="Y161">
        <f t="shared" si="36"/>
        <v>0.95138</v>
      </c>
      <c r="Z161">
        <f t="shared" si="37"/>
        <v>0.91213999999999995</v>
      </c>
      <c r="AA161">
        <f t="shared" si="38"/>
        <v>0.96133999999999997</v>
      </c>
      <c r="AB161">
        <f t="shared" si="39"/>
        <v>0.88049999999999995</v>
      </c>
      <c r="AC161">
        <f t="shared" si="40"/>
        <v>0.97677999999999998</v>
      </c>
      <c r="AD161">
        <f t="shared" si="41"/>
        <v>0.97248000000000001</v>
      </c>
      <c r="AE161">
        <f t="shared" si="42"/>
        <v>1.00284</v>
      </c>
      <c r="AF161">
        <f t="shared" si="43"/>
        <v>1.0176400000000001</v>
      </c>
      <c r="AG161">
        <f t="shared" si="44"/>
        <v>0.89068000000000003</v>
      </c>
      <c r="AH161">
        <f t="shared" si="45"/>
        <v>0.85421999999999998</v>
      </c>
      <c r="AI161">
        <f t="shared" si="46"/>
        <v>0.82486000000000004</v>
      </c>
      <c r="AJ161">
        <f t="shared" si="47"/>
        <v>0.91435999999999995</v>
      </c>
      <c r="EC161">
        <v>559</v>
      </c>
      <c r="ED161">
        <v>0.94520000000000004</v>
      </c>
      <c r="EE161">
        <v>0.67293999999999998</v>
      </c>
      <c r="EF161">
        <v>1.0280199999999999</v>
      </c>
      <c r="EG161">
        <v>0.78259999999999996</v>
      </c>
      <c r="EH161">
        <v>0.95138</v>
      </c>
      <c r="EI161">
        <v>0.91213999999999995</v>
      </c>
      <c r="EJ161">
        <v>0.96133999999999997</v>
      </c>
      <c r="EK161">
        <v>0.88049999999999995</v>
      </c>
      <c r="EL161">
        <v>0.97677999999999998</v>
      </c>
      <c r="EM161">
        <v>0.97248000000000001</v>
      </c>
      <c r="EN161">
        <v>1.00284</v>
      </c>
      <c r="EO161">
        <v>1.0176400000000001</v>
      </c>
      <c r="EP161">
        <v>0.89068000000000003</v>
      </c>
      <c r="EQ161">
        <v>0.85421999999999998</v>
      </c>
      <c r="ER161">
        <v>0.82486000000000004</v>
      </c>
      <c r="ES161">
        <v>0.91435999999999995</v>
      </c>
    </row>
    <row r="162" spans="1:149" x14ac:dyDescent="0.35">
      <c r="A162" s="77"/>
      <c r="B162" s="77">
        <v>560</v>
      </c>
      <c r="C162" s="77">
        <v>0.47176000000000001</v>
      </c>
      <c r="D162" s="77">
        <v>0.33585999999999999</v>
      </c>
      <c r="E162" s="77">
        <v>0.51322999999999996</v>
      </c>
      <c r="F162" s="77">
        <v>0.39068999999999998</v>
      </c>
      <c r="G162" s="77">
        <v>0.47536</v>
      </c>
      <c r="H162" s="77">
        <v>0.45583000000000001</v>
      </c>
      <c r="I162" s="77">
        <v>0.48041</v>
      </c>
      <c r="J162" s="77">
        <v>0.43991000000000002</v>
      </c>
      <c r="K162" s="77">
        <v>0.48815999999999998</v>
      </c>
      <c r="L162" s="77">
        <v>0.48607</v>
      </c>
      <c r="M162" s="77">
        <v>0.50111000000000006</v>
      </c>
      <c r="N162" s="77">
        <v>0.50858000000000003</v>
      </c>
      <c r="O162" s="77">
        <v>0.44501000000000002</v>
      </c>
      <c r="P162" s="77">
        <v>0.42679</v>
      </c>
      <c r="Q162" s="77">
        <v>0.41226000000000002</v>
      </c>
      <c r="R162" s="77">
        <v>0.45691999999999999</v>
      </c>
      <c r="T162">
        <v>560</v>
      </c>
      <c r="U162">
        <f t="shared" si="32"/>
        <v>0.94352000000000003</v>
      </c>
      <c r="V162">
        <f t="shared" si="33"/>
        <v>0.67171999999999998</v>
      </c>
      <c r="W162">
        <f t="shared" si="34"/>
        <v>1.0264599999999999</v>
      </c>
      <c r="X162">
        <f t="shared" si="35"/>
        <v>0.78137999999999996</v>
      </c>
      <c r="Y162">
        <f t="shared" si="36"/>
        <v>0.95072000000000001</v>
      </c>
      <c r="Z162">
        <f t="shared" si="37"/>
        <v>0.91166000000000003</v>
      </c>
      <c r="AA162">
        <f t="shared" si="38"/>
        <v>0.96082000000000001</v>
      </c>
      <c r="AB162">
        <f t="shared" si="39"/>
        <v>0.87982000000000005</v>
      </c>
      <c r="AC162">
        <f t="shared" si="40"/>
        <v>0.97631999999999997</v>
      </c>
      <c r="AD162">
        <f t="shared" si="41"/>
        <v>0.97214</v>
      </c>
      <c r="AE162">
        <f t="shared" si="42"/>
        <v>1.0022200000000001</v>
      </c>
      <c r="AF162">
        <f t="shared" si="43"/>
        <v>1.0171600000000001</v>
      </c>
      <c r="AG162">
        <f t="shared" si="44"/>
        <v>0.89002000000000003</v>
      </c>
      <c r="AH162">
        <f t="shared" si="45"/>
        <v>0.85358000000000001</v>
      </c>
      <c r="AI162">
        <f t="shared" si="46"/>
        <v>0.82452000000000003</v>
      </c>
      <c r="AJ162">
        <f t="shared" si="47"/>
        <v>0.91383999999999999</v>
      </c>
      <c r="EC162">
        <v>560</v>
      </c>
      <c r="ED162">
        <v>0.94352000000000003</v>
      </c>
      <c r="EE162">
        <v>0.67171999999999998</v>
      </c>
      <c r="EF162">
        <v>1.0264599999999999</v>
      </c>
      <c r="EG162">
        <v>0.78137999999999996</v>
      </c>
      <c r="EH162">
        <v>0.95072000000000001</v>
      </c>
      <c r="EI162">
        <v>0.91166000000000003</v>
      </c>
      <c r="EJ162">
        <v>0.96082000000000001</v>
      </c>
      <c r="EK162">
        <v>0.87982000000000005</v>
      </c>
      <c r="EL162">
        <v>0.97631999999999997</v>
      </c>
      <c r="EM162">
        <v>0.97214</v>
      </c>
      <c r="EN162">
        <v>1.0022200000000001</v>
      </c>
      <c r="EO162">
        <v>1.0171600000000001</v>
      </c>
      <c r="EP162">
        <v>0.89002000000000003</v>
      </c>
      <c r="EQ162">
        <v>0.85358000000000001</v>
      </c>
      <c r="ER162">
        <v>0.82452000000000003</v>
      </c>
      <c r="ES162">
        <v>0.91383999999999999</v>
      </c>
    </row>
    <row r="163" spans="1:149" x14ac:dyDescent="0.35">
      <c r="A163" s="77"/>
      <c r="B163" s="77">
        <v>561</v>
      </c>
      <c r="C163" s="77">
        <v>0.47116000000000002</v>
      </c>
      <c r="D163" s="77">
        <v>0.33534000000000003</v>
      </c>
      <c r="E163" s="77">
        <v>0.51254</v>
      </c>
      <c r="F163" s="77">
        <v>0.39006000000000002</v>
      </c>
      <c r="G163" s="77">
        <v>0.47514000000000001</v>
      </c>
      <c r="H163" s="77">
        <v>0.45566000000000001</v>
      </c>
      <c r="I163" s="77">
        <v>0.48021999999999998</v>
      </c>
      <c r="J163" s="77">
        <v>0.43970999999999999</v>
      </c>
      <c r="K163" s="77">
        <v>0.48808000000000001</v>
      </c>
      <c r="L163" s="77">
        <v>0.48592000000000002</v>
      </c>
      <c r="M163" s="77">
        <v>0.50107999999999997</v>
      </c>
      <c r="N163" s="77">
        <v>0.50848000000000004</v>
      </c>
      <c r="O163" s="77">
        <v>0.44473000000000001</v>
      </c>
      <c r="P163" s="77">
        <v>0.42653000000000002</v>
      </c>
      <c r="Q163" s="77">
        <v>0.41199999999999998</v>
      </c>
      <c r="R163" s="77">
        <v>0.45662000000000003</v>
      </c>
      <c r="T163">
        <v>561</v>
      </c>
      <c r="U163">
        <f t="shared" si="32"/>
        <v>0.94232000000000005</v>
      </c>
      <c r="V163">
        <f t="shared" si="33"/>
        <v>0.67068000000000005</v>
      </c>
      <c r="W163">
        <f t="shared" si="34"/>
        <v>1.02508</v>
      </c>
      <c r="X163">
        <f t="shared" si="35"/>
        <v>0.78012000000000004</v>
      </c>
      <c r="Y163">
        <f t="shared" si="36"/>
        <v>0.95028000000000001</v>
      </c>
      <c r="Z163">
        <f t="shared" si="37"/>
        <v>0.91132000000000002</v>
      </c>
      <c r="AA163">
        <f t="shared" si="38"/>
        <v>0.96043999999999996</v>
      </c>
      <c r="AB163">
        <f t="shared" si="39"/>
        <v>0.87941999999999998</v>
      </c>
      <c r="AC163">
        <f t="shared" si="40"/>
        <v>0.97616000000000003</v>
      </c>
      <c r="AD163">
        <f t="shared" si="41"/>
        <v>0.97184000000000004</v>
      </c>
      <c r="AE163">
        <f t="shared" si="42"/>
        <v>1.0021599999999999</v>
      </c>
      <c r="AF163">
        <f t="shared" si="43"/>
        <v>1.0169600000000001</v>
      </c>
      <c r="AG163">
        <f t="shared" si="44"/>
        <v>0.88946000000000003</v>
      </c>
      <c r="AH163">
        <f t="shared" si="45"/>
        <v>0.85306000000000004</v>
      </c>
      <c r="AI163">
        <f t="shared" si="46"/>
        <v>0.82399999999999995</v>
      </c>
      <c r="AJ163">
        <f t="shared" si="47"/>
        <v>0.91324000000000005</v>
      </c>
      <c r="EC163">
        <v>561</v>
      </c>
      <c r="ED163">
        <v>0.94232000000000005</v>
      </c>
      <c r="EE163">
        <v>0.67068000000000005</v>
      </c>
      <c r="EF163">
        <v>1.02508</v>
      </c>
      <c r="EG163">
        <v>0.78012000000000004</v>
      </c>
      <c r="EH163">
        <v>0.95028000000000001</v>
      </c>
      <c r="EI163">
        <v>0.91132000000000002</v>
      </c>
      <c r="EJ163">
        <v>0.96043999999999996</v>
      </c>
      <c r="EK163">
        <v>0.87941999999999998</v>
      </c>
      <c r="EL163">
        <v>0.97616000000000003</v>
      </c>
      <c r="EM163">
        <v>0.97184000000000004</v>
      </c>
      <c r="EN163">
        <v>1.0021599999999999</v>
      </c>
      <c r="EO163">
        <v>1.0169600000000001</v>
      </c>
      <c r="EP163">
        <v>0.88946000000000003</v>
      </c>
      <c r="EQ163">
        <v>0.85306000000000004</v>
      </c>
      <c r="ER163">
        <v>0.82399999999999995</v>
      </c>
      <c r="ES163">
        <v>0.91324000000000005</v>
      </c>
    </row>
    <row r="164" spans="1:149" x14ac:dyDescent="0.35">
      <c r="A164" s="77"/>
      <c r="B164" s="77">
        <v>562</v>
      </c>
      <c r="C164" s="77">
        <v>0.47038000000000002</v>
      </c>
      <c r="D164" s="77">
        <v>0.33478000000000002</v>
      </c>
      <c r="E164" s="77">
        <v>0.51178000000000001</v>
      </c>
      <c r="F164" s="77">
        <v>0.38945000000000002</v>
      </c>
      <c r="G164" s="77">
        <v>0.47488000000000002</v>
      </c>
      <c r="H164" s="77">
        <v>0.45538000000000001</v>
      </c>
      <c r="I164" s="77">
        <v>0.47989999999999999</v>
      </c>
      <c r="J164" s="77">
        <v>0.43941000000000002</v>
      </c>
      <c r="K164" s="77">
        <v>0.48796</v>
      </c>
      <c r="L164" s="77">
        <v>0.48571999999999999</v>
      </c>
      <c r="M164" s="77">
        <v>0.50066999999999995</v>
      </c>
      <c r="N164" s="77">
        <v>0.50817999999999997</v>
      </c>
      <c r="O164" s="77">
        <v>0.44427</v>
      </c>
      <c r="P164" s="77">
        <v>0.42612</v>
      </c>
      <c r="Q164" s="77">
        <v>0.41149999999999998</v>
      </c>
      <c r="R164" s="77">
        <v>0.45618999999999998</v>
      </c>
      <c r="T164">
        <v>562</v>
      </c>
      <c r="U164">
        <f t="shared" si="32"/>
        <v>0.94076000000000004</v>
      </c>
      <c r="V164">
        <f t="shared" si="33"/>
        <v>0.66956000000000004</v>
      </c>
      <c r="W164">
        <f t="shared" si="34"/>
        <v>1.02356</v>
      </c>
      <c r="X164">
        <f t="shared" si="35"/>
        <v>0.77890000000000004</v>
      </c>
      <c r="Y164">
        <f t="shared" si="36"/>
        <v>0.94976000000000005</v>
      </c>
      <c r="Z164">
        <f t="shared" si="37"/>
        <v>0.91076000000000001</v>
      </c>
      <c r="AA164">
        <f t="shared" si="38"/>
        <v>0.95979999999999999</v>
      </c>
      <c r="AB164">
        <f t="shared" si="39"/>
        <v>0.87882000000000005</v>
      </c>
      <c r="AC164">
        <f t="shared" si="40"/>
        <v>0.97592000000000001</v>
      </c>
      <c r="AD164">
        <f t="shared" si="41"/>
        <v>0.97143999999999997</v>
      </c>
      <c r="AE164">
        <f t="shared" si="42"/>
        <v>1.0013399999999999</v>
      </c>
      <c r="AF164">
        <f t="shared" si="43"/>
        <v>1.0163599999999999</v>
      </c>
      <c r="AG164">
        <f t="shared" si="44"/>
        <v>0.88854</v>
      </c>
      <c r="AH164">
        <f t="shared" si="45"/>
        <v>0.85224</v>
      </c>
      <c r="AI164">
        <f t="shared" si="46"/>
        <v>0.82299999999999995</v>
      </c>
      <c r="AJ164">
        <f t="shared" si="47"/>
        <v>0.91237999999999997</v>
      </c>
      <c r="EC164">
        <v>562</v>
      </c>
      <c r="ED164">
        <v>0.94076000000000004</v>
      </c>
      <c r="EE164">
        <v>0.66956000000000004</v>
      </c>
      <c r="EF164">
        <v>1.02356</v>
      </c>
      <c r="EG164">
        <v>0.77890000000000004</v>
      </c>
      <c r="EH164">
        <v>0.94976000000000005</v>
      </c>
      <c r="EI164">
        <v>0.91076000000000001</v>
      </c>
      <c r="EJ164">
        <v>0.95979999999999999</v>
      </c>
      <c r="EK164">
        <v>0.87882000000000005</v>
      </c>
      <c r="EL164">
        <v>0.97592000000000001</v>
      </c>
      <c r="EM164">
        <v>0.97143999999999997</v>
      </c>
      <c r="EN164">
        <v>1.0013399999999999</v>
      </c>
      <c r="EO164">
        <v>1.0163599999999999</v>
      </c>
      <c r="EP164">
        <v>0.88854</v>
      </c>
      <c r="EQ164">
        <v>0.85224</v>
      </c>
      <c r="ER164">
        <v>0.82299999999999995</v>
      </c>
      <c r="ES164">
        <v>0.91237999999999997</v>
      </c>
    </row>
    <row r="165" spans="1:149" x14ac:dyDescent="0.35">
      <c r="A165" s="77"/>
      <c r="B165" s="77">
        <v>563</v>
      </c>
      <c r="C165" s="77">
        <v>0.46988000000000002</v>
      </c>
      <c r="D165" s="77">
        <v>0.33427000000000001</v>
      </c>
      <c r="E165" s="77">
        <v>0.51114999999999999</v>
      </c>
      <c r="F165" s="77">
        <v>0.38901999999999998</v>
      </c>
      <c r="G165" s="77">
        <v>0.47461999999999999</v>
      </c>
      <c r="H165" s="77">
        <v>0.45515</v>
      </c>
      <c r="I165" s="77">
        <v>0.47975000000000001</v>
      </c>
      <c r="J165" s="77">
        <v>0.43908999999999998</v>
      </c>
      <c r="K165" s="77">
        <v>0.48781000000000002</v>
      </c>
      <c r="L165" s="77">
        <v>0.48549999999999999</v>
      </c>
      <c r="M165" s="77">
        <v>0.50055000000000005</v>
      </c>
      <c r="N165" s="77">
        <v>0.50800999999999996</v>
      </c>
      <c r="O165" s="77">
        <v>0.44397999999999999</v>
      </c>
      <c r="P165" s="77">
        <v>0.42571999999999999</v>
      </c>
      <c r="Q165" s="77">
        <v>0.41125</v>
      </c>
      <c r="R165" s="77">
        <v>0.45584000000000002</v>
      </c>
      <c r="T165">
        <v>563</v>
      </c>
      <c r="U165">
        <f t="shared" si="32"/>
        <v>0.93976000000000004</v>
      </c>
      <c r="V165">
        <f t="shared" si="33"/>
        <v>0.66854000000000002</v>
      </c>
      <c r="W165">
        <f t="shared" si="34"/>
        <v>1.0223</v>
      </c>
      <c r="X165">
        <f t="shared" si="35"/>
        <v>0.77803999999999995</v>
      </c>
      <c r="Y165">
        <f t="shared" si="36"/>
        <v>0.94923999999999997</v>
      </c>
      <c r="Z165">
        <f t="shared" si="37"/>
        <v>0.9103</v>
      </c>
      <c r="AA165">
        <f t="shared" si="38"/>
        <v>0.95950000000000002</v>
      </c>
      <c r="AB165">
        <f t="shared" si="39"/>
        <v>0.87817999999999996</v>
      </c>
      <c r="AC165">
        <f t="shared" si="40"/>
        <v>0.97562000000000004</v>
      </c>
      <c r="AD165">
        <f t="shared" si="41"/>
        <v>0.97099999999999997</v>
      </c>
      <c r="AE165">
        <f t="shared" si="42"/>
        <v>1.0011000000000001</v>
      </c>
      <c r="AF165">
        <f t="shared" si="43"/>
        <v>1.0160199999999999</v>
      </c>
      <c r="AG165">
        <f t="shared" si="44"/>
        <v>0.88795999999999997</v>
      </c>
      <c r="AH165">
        <f t="shared" si="45"/>
        <v>0.85143999999999997</v>
      </c>
      <c r="AI165">
        <f t="shared" si="46"/>
        <v>0.82250000000000001</v>
      </c>
      <c r="AJ165">
        <f t="shared" si="47"/>
        <v>0.91168000000000005</v>
      </c>
      <c r="EC165">
        <v>563</v>
      </c>
      <c r="ED165">
        <v>0.93976000000000004</v>
      </c>
      <c r="EE165">
        <v>0.66854000000000002</v>
      </c>
      <c r="EF165">
        <v>1.0223</v>
      </c>
      <c r="EG165">
        <v>0.77803999999999995</v>
      </c>
      <c r="EH165">
        <v>0.94923999999999997</v>
      </c>
      <c r="EI165">
        <v>0.9103</v>
      </c>
      <c r="EJ165">
        <v>0.95950000000000002</v>
      </c>
      <c r="EK165">
        <v>0.87817999999999996</v>
      </c>
      <c r="EL165">
        <v>0.97562000000000004</v>
      </c>
      <c r="EM165">
        <v>0.97099999999999997</v>
      </c>
      <c r="EN165">
        <v>1.0011000000000001</v>
      </c>
      <c r="EO165">
        <v>1.0160199999999999</v>
      </c>
      <c r="EP165">
        <v>0.88795999999999997</v>
      </c>
      <c r="EQ165">
        <v>0.85143999999999997</v>
      </c>
      <c r="ER165">
        <v>0.82250000000000001</v>
      </c>
      <c r="ES165">
        <v>0.91168000000000005</v>
      </c>
    </row>
    <row r="166" spans="1:149" x14ac:dyDescent="0.35">
      <c r="A166" s="77"/>
      <c r="B166" s="77">
        <v>564</v>
      </c>
      <c r="C166" s="77">
        <v>0.46940999999999999</v>
      </c>
      <c r="D166" s="77">
        <v>0.33384999999999998</v>
      </c>
      <c r="E166" s="77">
        <v>0.51068000000000002</v>
      </c>
      <c r="F166" s="77">
        <v>0.38857999999999998</v>
      </c>
      <c r="G166" s="77">
        <v>0.47455000000000003</v>
      </c>
      <c r="H166" s="77">
        <v>0.45494000000000001</v>
      </c>
      <c r="I166" s="77">
        <v>0.47965999999999998</v>
      </c>
      <c r="J166" s="77">
        <v>0.43890000000000001</v>
      </c>
      <c r="K166" s="77">
        <v>0.48763000000000001</v>
      </c>
      <c r="L166" s="77">
        <v>0.48547000000000001</v>
      </c>
      <c r="M166" s="77">
        <v>0.50053000000000003</v>
      </c>
      <c r="N166" s="77">
        <v>0.50792999999999999</v>
      </c>
      <c r="O166" s="77">
        <v>0.44374000000000002</v>
      </c>
      <c r="P166" s="77">
        <v>0.42554999999999998</v>
      </c>
      <c r="Q166" s="77">
        <v>0.41105999999999998</v>
      </c>
      <c r="R166" s="77">
        <v>0.4556</v>
      </c>
      <c r="T166">
        <v>564</v>
      </c>
      <c r="U166">
        <f t="shared" si="32"/>
        <v>0.93881999999999999</v>
      </c>
      <c r="V166">
        <f t="shared" si="33"/>
        <v>0.66769999999999996</v>
      </c>
      <c r="W166">
        <f t="shared" si="34"/>
        <v>1.02136</v>
      </c>
      <c r="X166">
        <f t="shared" si="35"/>
        <v>0.77715999999999996</v>
      </c>
      <c r="Y166">
        <f t="shared" si="36"/>
        <v>0.94910000000000005</v>
      </c>
      <c r="Z166">
        <f t="shared" si="37"/>
        <v>0.90988000000000002</v>
      </c>
      <c r="AA166">
        <f t="shared" si="38"/>
        <v>0.95931999999999995</v>
      </c>
      <c r="AB166">
        <f t="shared" si="39"/>
        <v>0.87780000000000002</v>
      </c>
      <c r="AC166">
        <f t="shared" si="40"/>
        <v>0.97526000000000002</v>
      </c>
      <c r="AD166">
        <f t="shared" si="41"/>
        <v>0.97094000000000003</v>
      </c>
      <c r="AE166">
        <f t="shared" si="42"/>
        <v>1.0010600000000001</v>
      </c>
      <c r="AF166">
        <f t="shared" si="43"/>
        <v>1.01586</v>
      </c>
      <c r="AG166">
        <f t="shared" si="44"/>
        <v>0.88748000000000005</v>
      </c>
      <c r="AH166">
        <f t="shared" si="45"/>
        <v>0.85109999999999997</v>
      </c>
      <c r="AI166">
        <f t="shared" si="46"/>
        <v>0.82211999999999996</v>
      </c>
      <c r="AJ166">
        <f t="shared" si="47"/>
        <v>0.91120000000000001</v>
      </c>
      <c r="EC166">
        <v>564</v>
      </c>
      <c r="ED166">
        <v>0.93881999999999999</v>
      </c>
      <c r="EE166">
        <v>0.66769999999999996</v>
      </c>
      <c r="EF166">
        <v>1.02136</v>
      </c>
      <c r="EG166">
        <v>0.77715999999999996</v>
      </c>
      <c r="EH166">
        <v>0.94910000000000005</v>
      </c>
      <c r="EI166">
        <v>0.90988000000000002</v>
      </c>
      <c r="EJ166">
        <v>0.95931999999999995</v>
      </c>
      <c r="EK166">
        <v>0.87780000000000002</v>
      </c>
      <c r="EL166">
        <v>0.97526000000000002</v>
      </c>
      <c r="EM166">
        <v>0.97094000000000003</v>
      </c>
      <c r="EN166">
        <v>1.0010600000000001</v>
      </c>
      <c r="EO166">
        <v>1.01586</v>
      </c>
      <c r="EP166">
        <v>0.88748000000000005</v>
      </c>
      <c r="EQ166">
        <v>0.85109999999999997</v>
      </c>
      <c r="ER166">
        <v>0.82211999999999996</v>
      </c>
      <c r="ES166">
        <v>0.91120000000000001</v>
      </c>
    </row>
    <row r="167" spans="1:149" x14ac:dyDescent="0.35">
      <c r="A167" s="77"/>
      <c r="B167" s="77">
        <v>565</v>
      </c>
      <c r="C167" s="77">
        <v>0.46893000000000001</v>
      </c>
      <c r="D167" s="77">
        <v>0.33345000000000002</v>
      </c>
      <c r="E167" s="77">
        <v>0.51029999999999998</v>
      </c>
      <c r="F167" s="77">
        <v>0.38821</v>
      </c>
      <c r="G167" s="77">
        <v>0.47443000000000002</v>
      </c>
      <c r="H167" s="77">
        <v>0.45499000000000001</v>
      </c>
      <c r="I167" s="77">
        <v>0.47960000000000003</v>
      </c>
      <c r="J167" s="77">
        <v>0.43878</v>
      </c>
      <c r="K167" s="77">
        <v>0.48766999999999999</v>
      </c>
      <c r="L167" s="77">
        <v>0.48542999999999997</v>
      </c>
      <c r="M167" s="77">
        <v>0.50029000000000001</v>
      </c>
      <c r="N167" s="77">
        <v>0.50788999999999995</v>
      </c>
      <c r="O167" s="77">
        <v>0.44344</v>
      </c>
      <c r="P167" s="77">
        <v>0.42526000000000003</v>
      </c>
      <c r="Q167" s="77">
        <v>0.41093000000000002</v>
      </c>
      <c r="R167" s="77">
        <v>0.45540000000000003</v>
      </c>
      <c r="T167">
        <v>565</v>
      </c>
      <c r="U167">
        <f t="shared" si="32"/>
        <v>0.93786000000000003</v>
      </c>
      <c r="V167">
        <f t="shared" si="33"/>
        <v>0.66690000000000005</v>
      </c>
      <c r="W167">
        <f t="shared" si="34"/>
        <v>1.0206</v>
      </c>
      <c r="X167">
        <f t="shared" si="35"/>
        <v>0.77642</v>
      </c>
      <c r="Y167">
        <f t="shared" si="36"/>
        <v>0.94886000000000004</v>
      </c>
      <c r="Z167">
        <f t="shared" si="37"/>
        <v>0.90998000000000001</v>
      </c>
      <c r="AA167">
        <f t="shared" si="38"/>
        <v>0.95920000000000005</v>
      </c>
      <c r="AB167">
        <f t="shared" si="39"/>
        <v>0.87756000000000001</v>
      </c>
      <c r="AC167">
        <f t="shared" si="40"/>
        <v>0.97533999999999998</v>
      </c>
      <c r="AD167">
        <f t="shared" si="41"/>
        <v>0.97085999999999995</v>
      </c>
      <c r="AE167">
        <f t="shared" si="42"/>
        <v>1.00058</v>
      </c>
      <c r="AF167">
        <f t="shared" si="43"/>
        <v>1.0157799999999999</v>
      </c>
      <c r="AG167">
        <f t="shared" si="44"/>
        <v>0.88688</v>
      </c>
      <c r="AH167">
        <f t="shared" si="45"/>
        <v>0.85052000000000005</v>
      </c>
      <c r="AI167">
        <f t="shared" si="46"/>
        <v>0.82186000000000003</v>
      </c>
      <c r="AJ167">
        <f t="shared" si="47"/>
        <v>0.91080000000000005</v>
      </c>
      <c r="EC167">
        <v>565</v>
      </c>
      <c r="ED167">
        <v>0.93786000000000003</v>
      </c>
      <c r="EE167">
        <v>0.66690000000000005</v>
      </c>
      <c r="EF167">
        <v>1.0206</v>
      </c>
      <c r="EG167">
        <v>0.77642</v>
      </c>
      <c r="EH167">
        <v>0.94886000000000004</v>
      </c>
      <c r="EI167">
        <v>0.90998000000000001</v>
      </c>
      <c r="EJ167">
        <v>0.95920000000000005</v>
      </c>
      <c r="EK167">
        <v>0.87756000000000001</v>
      </c>
      <c r="EL167">
        <v>0.97533999999999998</v>
      </c>
      <c r="EM167">
        <v>0.97085999999999995</v>
      </c>
      <c r="EN167">
        <v>1.00058</v>
      </c>
      <c r="EO167">
        <v>1.0157799999999999</v>
      </c>
      <c r="EP167">
        <v>0.88688</v>
      </c>
      <c r="EQ167">
        <v>0.85052000000000005</v>
      </c>
      <c r="ER167">
        <v>0.82186000000000003</v>
      </c>
      <c r="ES167">
        <v>0.91080000000000005</v>
      </c>
    </row>
    <row r="168" spans="1:149" x14ac:dyDescent="0.35">
      <c r="A168" s="77"/>
      <c r="B168" s="77">
        <v>566</v>
      </c>
      <c r="C168" s="77">
        <v>0.46845999999999999</v>
      </c>
      <c r="D168" s="77">
        <v>0.33311000000000002</v>
      </c>
      <c r="E168" s="77">
        <v>0.50985999999999998</v>
      </c>
      <c r="F168" s="77">
        <v>0.38775999999999999</v>
      </c>
      <c r="G168" s="77">
        <v>0.47423999999999999</v>
      </c>
      <c r="H168" s="77">
        <v>0.45483000000000001</v>
      </c>
      <c r="I168" s="77">
        <v>0.47944999999999999</v>
      </c>
      <c r="J168" s="77">
        <v>0.43846000000000002</v>
      </c>
      <c r="K168" s="77">
        <v>0.48753000000000002</v>
      </c>
      <c r="L168" s="77">
        <v>0.48531000000000002</v>
      </c>
      <c r="M168" s="77">
        <v>0.50026000000000004</v>
      </c>
      <c r="N168" s="77">
        <v>0.50780000000000003</v>
      </c>
      <c r="O168" s="77">
        <v>0.44320999999999999</v>
      </c>
      <c r="P168" s="77">
        <v>0.42504999999999998</v>
      </c>
      <c r="Q168" s="77">
        <v>0.41063</v>
      </c>
      <c r="R168" s="77">
        <v>0.45512000000000002</v>
      </c>
      <c r="T168">
        <v>566</v>
      </c>
      <c r="U168">
        <f t="shared" si="32"/>
        <v>0.93691999999999998</v>
      </c>
      <c r="V168">
        <f t="shared" si="33"/>
        <v>0.66622000000000003</v>
      </c>
      <c r="W168">
        <f t="shared" si="34"/>
        <v>1.01972</v>
      </c>
      <c r="X168">
        <f t="shared" si="35"/>
        <v>0.77551999999999999</v>
      </c>
      <c r="Y168">
        <f t="shared" si="36"/>
        <v>0.94847999999999999</v>
      </c>
      <c r="Z168">
        <f t="shared" si="37"/>
        <v>0.90966000000000002</v>
      </c>
      <c r="AA168">
        <f t="shared" si="38"/>
        <v>0.95889999999999997</v>
      </c>
      <c r="AB168">
        <f t="shared" si="39"/>
        <v>0.87692000000000003</v>
      </c>
      <c r="AC168">
        <f t="shared" si="40"/>
        <v>0.97506000000000004</v>
      </c>
      <c r="AD168">
        <f t="shared" si="41"/>
        <v>0.97062000000000004</v>
      </c>
      <c r="AE168">
        <f t="shared" si="42"/>
        <v>1.0005200000000001</v>
      </c>
      <c r="AF168">
        <f t="shared" si="43"/>
        <v>1.0156000000000001</v>
      </c>
      <c r="AG168">
        <f t="shared" si="44"/>
        <v>0.88641999999999999</v>
      </c>
      <c r="AH168">
        <f t="shared" si="45"/>
        <v>0.85009999999999997</v>
      </c>
      <c r="AI168">
        <f t="shared" si="46"/>
        <v>0.82125999999999999</v>
      </c>
      <c r="AJ168">
        <f t="shared" si="47"/>
        <v>0.91024000000000005</v>
      </c>
      <c r="EC168">
        <v>566</v>
      </c>
      <c r="ED168">
        <v>0.93691999999999998</v>
      </c>
      <c r="EE168">
        <v>0.66622000000000003</v>
      </c>
      <c r="EF168">
        <v>1.01972</v>
      </c>
      <c r="EG168">
        <v>0.77551999999999999</v>
      </c>
      <c r="EH168">
        <v>0.94847999999999999</v>
      </c>
      <c r="EI168">
        <v>0.90966000000000002</v>
      </c>
      <c r="EJ168">
        <v>0.95889999999999997</v>
      </c>
      <c r="EK168">
        <v>0.87692000000000003</v>
      </c>
      <c r="EL168">
        <v>0.97506000000000004</v>
      </c>
      <c r="EM168">
        <v>0.97062000000000004</v>
      </c>
      <c r="EN168">
        <v>1.0005200000000001</v>
      </c>
      <c r="EO168">
        <v>1.0156000000000001</v>
      </c>
      <c r="EP168">
        <v>0.88641999999999999</v>
      </c>
      <c r="EQ168">
        <v>0.85009999999999997</v>
      </c>
      <c r="ER168">
        <v>0.82125999999999999</v>
      </c>
      <c r="ES168">
        <v>0.91024000000000005</v>
      </c>
    </row>
    <row r="169" spans="1:149" x14ac:dyDescent="0.35">
      <c r="A169" s="77"/>
      <c r="B169" s="77">
        <v>567</v>
      </c>
      <c r="C169" s="77">
        <v>0.46820000000000001</v>
      </c>
      <c r="D169" s="77">
        <v>0.33285999999999999</v>
      </c>
      <c r="E169" s="77">
        <v>0.50963000000000003</v>
      </c>
      <c r="F169" s="77">
        <v>0.38745000000000002</v>
      </c>
      <c r="G169" s="77">
        <v>0.47414000000000001</v>
      </c>
      <c r="H169" s="77">
        <v>0.45476</v>
      </c>
      <c r="I169" s="77">
        <v>0.47950999999999999</v>
      </c>
      <c r="J169" s="77">
        <v>0.43829000000000001</v>
      </c>
      <c r="K169" s="77">
        <v>0.48747000000000001</v>
      </c>
      <c r="L169" s="77">
        <v>0.48526000000000002</v>
      </c>
      <c r="M169" s="77">
        <v>0.50021000000000004</v>
      </c>
      <c r="N169" s="77">
        <v>0.50775000000000003</v>
      </c>
      <c r="O169" s="77">
        <v>0.44296000000000002</v>
      </c>
      <c r="P169" s="77">
        <v>0.42468</v>
      </c>
      <c r="Q169" s="77">
        <v>0.41039999999999999</v>
      </c>
      <c r="R169" s="77">
        <v>0.45495999999999998</v>
      </c>
      <c r="T169">
        <v>567</v>
      </c>
      <c r="U169">
        <f t="shared" si="32"/>
        <v>0.93640000000000001</v>
      </c>
      <c r="V169">
        <f t="shared" si="33"/>
        <v>0.66571999999999998</v>
      </c>
      <c r="W169">
        <f t="shared" si="34"/>
        <v>1.0192600000000001</v>
      </c>
      <c r="X169">
        <f t="shared" si="35"/>
        <v>0.77490000000000003</v>
      </c>
      <c r="Y169">
        <f t="shared" si="36"/>
        <v>0.94828000000000001</v>
      </c>
      <c r="Z169">
        <f t="shared" si="37"/>
        <v>0.90952</v>
      </c>
      <c r="AA169">
        <f t="shared" si="38"/>
        <v>0.95901999999999998</v>
      </c>
      <c r="AB169">
        <f t="shared" si="39"/>
        <v>0.87658000000000003</v>
      </c>
      <c r="AC169">
        <f t="shared" si="40"/>
        <v>0.97494000000000003</v>
      </c>
      <c r="AD169">
        <f t="shared" si="41"/>
        <v>0.97052000000000005</v>
      </c>
      <c r="AE169">
        <f t="shared" si="42"/>
        <v>1.0004200000000001</v>
      </c>
      <c r="AF169">
        <f t="shared" si="43"/>
        <v>1.0155000000000001</v>
      </c>
      <c r="AG169">
        <f t="shared" si="44"/>
        <v>0.88592000000000004</v>
      </c>
      <c r="AH169">
        <f t="shared" si="45"/>
        <v>0.84936</v>
      </c>
      <c r="AI169">
        <f t="shared" si="46"/>
        <v>0.82079999999999997</v>
      </c>
      <c r="AJ169">
        <f t="shared" si="47"/>
        <v>0.90991999999999995</v>
      </c>
      <c r="EC169">
        <v>567</v>
      </c>
      <c r="ED169">
        <v>0.93640000000000001</v>
      </c>
      <c r="EE169">
        <v>0.66571999999999998</v>
      </c>
      <c r="EF169">
        <v>1.0192600000000001</v>
      </c>
      <c r="EG169">
        <v>0.77490000000000003</v>
      </c>
      <c r="EH169">
        <v>0.94828000000000001</v>
      </c>
      <c r="EI169">
        <v>0.90952</v>
      </c>
      <c r="EJ169">
        <v>0.95901999999999998</v>
      </c>
      <c r="EK169">
        <v>0.87658000000000003</v>
      </c>
      <c r="EL169">
        <v>0.97494000000000003</v>
      </c>
      <c r="EM169">
        <v>0.97052000000000005</v>
      </c>
      <c r="EN169">
        <v>1.0004200000000001</v>
      </c>
      <c r="EO169">
        <v>1.0155000000000001</v>
      </c>
      <c r="EP169">
        <v>0.88592000000000004</v>
      </c>
      <c r="EQ169">
        <v>0.84936</v>
      </c>
      <c r="ER169">
        <v>0.82079999999999997</v>
      </c>
      <c r="ES169">
        <v>0.90991999999999995</v>
      </c>
    </row>
    <row r="170" spans="1:149" x14ac:dyDescent="0.35">
      <c r="A170" s="77"/>
      <c r="B170" s="77">
        <v>568</v>
      </c>
      <c r="C170" s="77">
        <v>0.46800000000000003</v>
      </c>
      <c r="D170" s="77">
        <v>0.33266000000000001</v>
      </c>
      <c r="E170" s="77">
        <v>0.50948000000000004</v>
      </c>
      <c r="F170" s="77">
        <v>0.38728000000000001</v>
      </c>
      <c r="G170" s="77">
        <v>0.47409000000000001</v>
      </c>
      <c r="H170" s="77">
        <v>0.45469999999999999</v>
      </c>
      <c r="I170" s="77">
        <v>0.47957</v>
      </c>
      <c r="J170" s="77">
        <v>0.43823000000000001</v>
      </c>
      <c r="K170" s="77">
        <v>0.48765999999999998</v>
      </c>
      <c r="L170" s="77">
        <v>0.48527999999999999</v>
      </c>
      <c r="M170" s="77">
        <v>0.50024000000000002</v>
      </c>
      <c r="N170" s="77">
        <v>0.50790000000000002</v>
      </c>
      <c r="O170" s="77">
        <v>0.44285999999999998</v>
      </c>
      <c r="P170" s="77">
        <v>0.42455999999999999</v>
      </c>
      <c r="Q170" s="77">
        <v>0.41037000000000001</v>
      </c>
      <c r="R170" s="77">
        <v>0.45473999999999998</v>
      </c>
      <c r="T170">
        <v>568</v>
      </c>
      <c r="U170">
        <f t="shared" si="32"/>
        <v>0.93600000000000005</v>
      </c>
      <c r="V170">
        <f t="shared" si="33"/>
        <v>0.66532000000000002</v>
      </c>
      <c r="W170">
        <f t="shared" si="34"/>
        <v>1.0189600000000001</v>
      </c>
      <c r="X170">
        <f t="shared" si="35"/>
        <v>0.77456000000000003</v>
      </c>
      <c r="Y170">
        <f t="shared" si="36"/>
        <v>0.94818000000000002</v>
      </c>
      <c r="Z170">
        <f t="shared" si="37"/>
        <v>0.90939999999999999</v>
      </c>
      <c r="AA170">
        <f t="shared" si="38"/>
        <v>0.95913999999999999</v>
      </c>
      <c r="AB170">
        <f t="shared" si="39"/>
        <v>0.87646000000000002</v>
      </c>
      <c r="AC170">
        <f t="shared" si="40"/>
        <v>0.97531999999999996</v>
      </c>
      <c r="AD170">
        <f t="shared" si="41"/>
        <v>0.97055999999999998</v>
      </c>
      <c r="AE170">
        <f t="shared" si="42"/>
        <v>1.00048</v>
      </c>
      <c r="AF170">
        <f t="shared" si="43"/>
        <v>1.0158</v>
      </c>
      <c r="AG170">
        <f t="shared" si="44"/>
        <v>0.88571999999999995</v>
      </c>
      <c r="AH170">
        <f t="shared" si="45"/>
        <v>0.84911999999999999</v>
      </c>
      <c r="AI170">
        <f t="shared" si="46"/>
        <v>0.82074000000000003</v>
      </c>
      <c r="AJ170">
        <f t="shared" si="47"/>
        <v>0.90947999999999996</v>
      </c>
      <c r="EC170">
        <v>568</v>
      </c>
      <c r="ED170">
        <v>0.93600000000000005</v>
      </c>
      <c r="EE170">
        <v>0.66532000000000002</v>
      </c>
      <c r="EF170">
        <v>1.0189600000000001</v>
      </c>
      <c r="EG170">
        <v>0.77456000000000003</v>
      </c>
      <c r="EH170">
        <v>0.94818000000000002</v>
      </c>
      <c r="EI170">
        <v>0.90939999999999999</v>
      </c>
      <c r="EJ170">
        <v>0.95913999999999999</v>
      </c>
      <c r="EK170">
        <v>0.87646000000000002</v>
      </c>
      <c r="EL170">
        <v>0.97531999999999996</v>
      </c>
      <c r="EM170">
        <v>0.97055999999999998</v>
      </c>
      <c r="EN170">
        <v>1.00048</v>
      </c>
      <c r="EO170">
        <v>1.0158</v>
      </c>
      <c r="EP170">
        <v>0.88571999999999995</v>
      </c>
      <c r="EQ170">
        <v>0.84911999999999999</v>
      </c>
      <c r="ER170">
        <v>0.82074000000000003</v>
      </c>
      <c r="ES170">
        <v>0.90947999999999996</v>
      </c>
    </row>
    <row r="171" spans="1:149" x14ac:dyDescent="0.35">
      <c r="A171" s="77"/>
      <c r="B171" s="77">
        <v>569</v>
      </c>
      <c r="C171" s="77">
        <v>0.46788000000000002</v>
      </c>
      <c r="D171" s="77">
        <v>0.33256999999999998</v>
      </c>
      <c r="E171" s="77">
        <v>0.50934000000000001</v>
      </c>
      <c r="F171" s="77">
        <v>0.3871</v>
      </c>
      <c r="G171" s="77">
        <v>0.47420000000000001</v>
      </c>
      <c r="H171" s="77">
        <v>0.45471</v>
      </c>
      <c r="I171" s="77">
        <v>0.47963</v>
      </c>
      <c r="J171" s="77">
        <v>0.43819000000000002</v>
      </c>
      <c r="K171" s="77">
        <v>0.48781000000000002</v>
      </c>
      <c r="L171" s="77">
        <v>0.48542999999999997</v>
      </c>
      <c r="M171" s="77">
        <v>0.50031999999999999</v>
      </c>
      <c r="N171" s="77">
        <v>0.50800000000000001</v>
      </c>
      <c r="O171" s="77">
        <v>0.4425</v>
      </c>
      <c r="P171" s="77">
        <v>0.42419000000000001</v>
      </c>
      <c r="Q171" s="77">
        <v>0.41002</v>
      </c>
      <c r="R171" s="77">
        <v>0.45446999999999999</v>
      </c>
      <c r="T171">
        <v>569</v>
      </c>
      <c r="U171">
        <f t="shared" si="32"/>
        <v>0.93576000000000004</v>
      </c>
      <c r="V171">
        <f t="shared" si="33"/>
        <v>0.66513999999999995</v>
      </c>
      <c r="W171">
        <f t="shared" si="34"/>
        <v>1.01868</v>
      </c>
      <c r="X171">
        <f t="shared" si="35"/>
        <v>0.7742</v>
      </c>
      <c r="Y171">
        <f t="shared" si="36"/>
        <v>0.94840000000000002</v>
      </c>
      <c r="Z171">
        <f t="shared" si="37"/>
        <v>0.90942000000000001</v>
      </c>
      <c r="AA171">
        <f t="shared" si="38"/>
        <v>0.95926</v>
      </c>
      <c r="AB171">
        <f t="shared" si="39"/>
        <v>0.87638000000000005</v>
      </c>
      <c r="AC171">
        <f t="shared" si="40"/>
        <v>0.97562000000000004</v>
      </c>
      <c r="AD171">
        <f t="shared" si="41"/>
        <v>0.97085999999999995</v>
      </c>
      <c r="AE171">
        <f t="shared" si="42"/>
        <v>1.00064</v>
      </c>
      <c r="AF171">
        <f t="shared" si="43"/>
        <v>1.016</v>
      </c>
      <c r="AG171">
        <f t="shared" si="44"/>
        <v>0.88500000000000001</v>
      </c>
      <c r="AH171">
        <f t="shared" si="45"/>
        <v>0.84838000000000002</v>
      </c>
      <c r="AI171">
        <f t="shared" si="46"/>
        <v>0.82003999999999999</v>
      </c>
      <c r="AJ171">
        <f t="shared" si="47"/>
        <v>0.90893999999999997</v>
      </c>
      <c r="EC171">
        <v>569</v>
      </c>
      <c r="ED171">
        <v>0.93576000000000004</v>
      </c>
      <c r="EE171">
        <v>0.66513999999999995</v>
      </c>
      <c r="EF171">
        <v>1.01868</v>
      </c>
      <c r="EG171">
        <v>0.7742</v>
      </c>
      <c r="EH171">
        <v>0.94840000000000002</v>
      </c>
      <c r="EI171">
        <v>0.90942000000000001</v>
      </c>
      <c r="EJ171">
        <v>0.95926</v>
      </c>
      <c r="EK171">
        <v>0.87638000000000005</v>
      </c>
      <c r="EL171">
        <v>0.97562000000000004</v>
      </c>
      <c r="EM171">
        <v>0.97085999999999995</v>
      </c>
      <c r="EN171">
        <v>1.00064</v>
      </c>
      <c r="EO171">
        <v>1.016</v>
      </c>
      <c r="EP171">
        <v>0.88500000000000001</v>
      </c>
      <c r="EQ171">
        <v>0.84838000000000002</v>
      </c>
      <c r="ER171">
        <v>0.82003999999999999</v>
      </c>
      <c r="ES171">
        <v>0.90893999999999997</v>
      </c>
    </row>
    <row r="172" spans="1:149" x14ac:dyDescent="0.35">
      <c r="A172" s="77"/>
      <c r="B172" s="77">
        <v>570</v>
      </c>
      <c r="C172" s="77">
        <v>0.46777000000000002</v>
      </c>
      <c r="D172" s="77">
        <v>0.33239999999999997</v>
      </c>
      <c r="E172" s="77">
        <v>0.50934000000000001</v>
      </c>
      <c r="F172" s="77">
        <v>0.38697999999999999</v>
      </c>
      <c r="G172" s="77">
        <v>0.47426000000000001</v>
      </c>
      <c r="H172" s="77">
        <v>0.45473000000000002</v>
      </c>
      <c r="I172" s="77">
        <v>0.47958000000000001</v>
      </c>
      <c r="J172" s="77">
        <v>0.43802999999999997</v>
      </c>
      <c r="K172" s="77">
        <v>0.48781000000000002</v>
      </c>
      <c r="L172" s="77">
        <v>0.48541000000000001</v>
      </c>
      <c r="M172" s="77">
        <v>0.50024000000000002</v>
      </c>
      <c r="N172" s="77">
        <v>0.50805999999999996</v>
      </c>
      <c r="O172" s="77">
        <v>0.44238</v>
      </c>
      <c r="P172" s="77">
        <v>0.42399999999999999</v>
      </c>
      <c r="Q172" s="77">
        <v>0.40982000000000002</v>
      </c>
      <c r="R172" s="77">
        <v>0.45432</v>
      </c>
      <c r="T172">
        <v>570</v>
      </c>
      <c r="U172">
        <f t="shared" si="32"/>
        <v>0.93554000000000004</v>
      </c>
      <c r="V172">
        <f t="shared" si="33"/>
        <v>0.66479999999999995</v>
      </c>
      <c r="W172">
        <f t="shared" si="34"/>
        <v>1.01868</v>
      </c>
      <c r="X172">
        <f t="shared" si="35"/>
        <v>0.77395999999999998</v>
      </c>
      <c r="Y172">
        <f t="shared" si="36"/>
        <v>0.94852000000000003</v>
      </c>
      <c r="Z172">
        <f t="shared" si="37"/>
        <v>0.90946000000000005</v>
      </c>
      <c r="AA172">
        <f t="shared" si="38"/>
        <v>0.95916000000000001</v>
      </c>
      <c r="AB172">
        <f t="shared" si="39"/>
        <v>0.87605999999999995</v>
      </c>
      <c r="AC172">
        <f t="shared" si="40"/>
        <v>0.97562000000000004</v>
      </c>
      <c r="AD172">
        <f t="shared" si="41"/>
        <v>0.97082000000000002</v>
      </c>
      <c r="AE172">
        <f t="shared" si="42"/>
        <v>1.00048</v>
      </c>
      <c r="AF172">
        <f t="shared" si="43"/>
        <v>1.0161199999999999</v>
      </c>
      <c r="AG172">
        <f t="shared" si="44"/>
        <v>0.88475999999999999</v>
      </c>
      <c r="AH172">
        <f t="shared" si="45"/>
        <v>0.84799999999999998</v>
      </c>
      <c r="AI172">
        <f t="shared" si="46"/>
        <v>0.81964000000000004</v>
      </c>
      <c r="AJ172">
        <f t="shared" si="47"/>
        <v>0.90864</v>
      </c>
      <c r="EC172">
        <v>570</v>
      </c>
      <c r="ED172">
        <v>0.93554000000000004</v>
      </c>
      <c r="EE172">
        <v>0.66479999999999995</v>
      </c>
      <c r="EF172">
        <v>1.01868</v>
      </c>
      <c r="EG172">
        <v>0.77395999999999998</v>
      </c>
      <c r="EH172">
        <v>0.94852000000000003</v>
      </c>
      <c r="EI172">
        <v>0.90946000000000005</v>
      </c>
      <c r="EJ172">
        <v>0.95916000000000001</v>
      </c>
      <c r="EK172">
        <v>0.87605999999999995</v>
      </c>
      <c r="EL172">
        <v>0.97562000000000004</v>
      </c>
      <c r="EM172">
        <v>0.97082000000000002</v>
      </c>
      <c r="EN172">
        <v>1.00048</v>
      </c>
      <c r="EO172">
        <v>1.0161199999999999</v>
      </c>
      <c r="EP172">
        <v>0.88475999999999999</v>
      </c>
      <c r="EQ172">
        <v>0.84799999999999998</v>
      </c>
      <c r="ER172">
        <v>0.81964000000000004</v>
      </c>
      <c r="ES172">
        <v>0.90864</v>
      </c>
    </row>
    <row r="173" spans="1:149" x14ac:dyDescent="0.35">
      <c r="A173" s="77"/>
      <c r="B173" s="77">
        <v>571</v>
      </c>
      <c r="C173" s="77">
        <v>0.46778999999999998</v>
      </c>
      <c r="D173" s="77">
        <v>0.33232</v>
      </c>
      <c r="E173" s="77">
        <v>0.50922999999999996</v>
      </c>
      <c r="F173" s="77">
        <v>0.38693</v>
      </c>
      <c r="G173" s="77">
        <v>0.47427000000000002</v>
      </c>
      <c r="H173" s="77">
        <v>0.45490999999999998</v>
      </c>
      <c r="I173" s="77">
        <v>0.47974</v>
      </c>
      <c r="J173" s="77">
        <v>0.43798999999999999</v>
      </c>
      <c r="K173" s="77">
        <v>0.48813000000000001</v>
      </c>
      <c r="L173" s="77">
        <v>0.48552000000000001</v>
      </c>
      <c r="M173" s="77">
        <v>0.50039999999999996</v>
      </c>
      <c r="N173" s="77">
        <v>0.50827</v>
      </c>
      <c r="O173" s="77">
        <v>0.44230999999999998</v>
      </c>
      <c r="P173" s="77">
        <v>0.42399999999999999</v>
      </c>
      <c r="Q173" s="77">
        <v>0.40983999999999998</v>
      </c>
      <c r="R173" s="77">
        <v>0.45416000000000001</v>
      </c>
      <c r="T173">
        <v>571</v>
      </c>
      <c r="U173">
        <f t="shared" si="32"/>
        <v>0.93557999999999997</v>
      </c>
      <c r="V173">
        <f t="shared" si="33"/>
        <v>0.66464000000000001</v>
      </c>
      <c r="W173">
        <f t="shared" si="34"/>
        <v>1.0184599999999999</v>
      </c>
      <c r="X173">
        <f t="shared" si="35"/>
        <v>0.77385999999999999</v>
      </c>
      <c r="Y173">
        <f t="shared" si="36"/>
        <v>0.94854000000000005</v>
      </c>
      <c r="Z173">
        <f t="shared" si="37"/>
        <v>0.90981999999999996</v>
      </c>
      <c r="AA173">
        <f t="shared" si="38"/>
        <v>0.95948</v>
      </c>
      <c r="AB173">
        <f t="shared" si="39"/>
        <v>0.87597999999999998</v>
      </c>
      <c r="AC173">
        <f t="shared" si="40"/>
        <v>0.97626000000000002</v>
      </c>
      <c r="AD173">
        <f t="shared" si="41"/>
        <v>0.97104000000000001</v>
      </c>
      <c r="AE173">
        <f t="shared" si="42"/>
        <v>1.0007999999999999</v>
      </c>
      <c r="AF173">
        <f t="shared" si="43"/>
        <v>1.01654</v>
      </c>
      <c r="AG173">
        <f t="shared" si="44"/>
        <v>0.88461999999999996</v>
      </c>
      <c r="AH173">
        <f t="shared" si="45"/>
        <v>0.84799999999999998</v>
      </c>
      <c r="AI173">
        <f t="shared" si="46"/>
        <v>0.81967999999999996</v>
      </c>
      <c r="AJ173">
        <f t="shared" si="47"/>
        <v>0.90832000000000002</v>
      </c>
      <c r="EC173">
        <v>571</v>
      </c>
      <c r="ED173">
        <v>0.93557999999999997</v>
      </c>
      <c r="EE173">
        <v>0.66464000000000001</v>
      </c>
      <c r="EF173">
        <v>1.0184599999999999</v>
      </c>
      <c r="EG173">
        <v>0.77385999999999999</v>
      </c>
      <c r="EH173">
        <v>0.94854000000000005</v>
      </c>
      <c r="EI173">
        <v>0.90981999999999996</v>
      </c>
      <c r="EJ173">
        <v>0.95948</v>
      </c>
      <c r="EK173">
        <v>0.87597999999999998</v>
      </c>
      <c r="EL173">
        <v>0.97626000000000002</v>
      </c>
      <c r="EM173">
        <v>0.97104000000000001</v>
      </c>
      <c r="EN173">
        <v>1.0007999999999999</v>
      </c>
      <c r="EO173">
        <v>1.01654</v>
      </c>
      <c r="EP173">
        <v>0.88461999999999996</v>
      </c>
      <c r="EQ173">
        <v>0.84799999999999998</v>
      </c>
      <c r="ER173">
        <v>0.81967999999999996</v>
      </c>
      <c r="ES173">
        <v>0.90832000000000002</v>
      </c>
    </row>
    <row r="174" spans="1:149" x14ac:dyDescent="0.35">
      <c r="A174" s="77"/>
      <c r="B174" s="77">
        <v>572</v>
      </c>
      <c r="C174" s="77">
        <v>0.46772999999999998</v>
      </c>
      <c r="D174" s="77">
        <v>0.33228000000000002</v>
      </c>
      <c r="E174" s="77">
        <v>0.50924999999999998</v>
      </c>
      <c r="F174" s="77">
        <v>0.38689000000000001</v>
      </c>
      <c r="G174" s="77">
        <v>0.47426000000000001</v>
      </c>
      <c r="H174" s="77">
        <v>0.45494000000000001</v>
      </c>
      <c r="I174" s="77">
        <v>0.47977999999999998</v>
      </c>
      <c r="J174" s="77">
        <v>0.43794</v>
      </c>
      <c r="K174" s="77">
        <v>0.48824000000000001</v>
      </c>
      <c r="L174" s="77">
        <v>0.48563000000000001</v>
      </c>
      <c r="M174" s="77">
        <v>0.50048999999999999</v>
      </c>
      <c r="N174" s="77">
        <v>0.50841000000000003</v>
      </c>
      <c r="O174" s="77">
        <v>0.44202999999999998</v>
      </c>
      <c r="P174" s="77">
        <v>0.42374000000000001</v>
      </c>
      <c r="Q174" s="77">
        <v>0.40959000000000001</v>
      </c>
      <c r="R174" s="77">
        <v>0.45397999999999999</v>
      </c>
      <c r="T174">
        <v>572</v>
      </c>
      <c r="U174">
        <f t="shared" si="32"/>
        <v>0.93545999999999996</v>
      </c>
      <c r="V174">
        <f t="shared" si="33"/>
        <v>0.66456000000000004</v>
      </c>
      <c r="W174">
        <f t="shared" si="34"/>
        <v>1.0185</v>
      </c>
      <c r="X174">
        <f t="shared" si="35"/>
        <v>0.77378000000000002</v>
      </c>
      <c r="Y174">
        <f t="shared" si="36"/>
        <v>0.94852000000000003</v>
      </c>
      <c r="Z174">
        <f t="shared" si="37"/>
        <v>0.90988000000000002</v>
      </c>
      <c r="AA174">
        <f t="shared" si="38"/>
        <v>0.95955999999999997</v>
      </c>
      <c r="AB174">
        <f t="shared" si="39"/>
        <v>0.87587999999999999</v>
      </c>
      <c r="AC174">
        <f t="shared" si="40"/>
        <v>0.97648000000000001</v>
      </c>
      <c r="AD174">
        <f t="shared" si="41"/>
        <v>0.97126000000000001</v>
      </c>
      <c r="AE174">
        <f t="shared" si="42"/>
        <v>1.00098</v>
      </c>
      <c r="AF174">
        <f t="shared" si="43"/>
        <v>1.0168200000000001</v>
      </c>
      <c r="AG174">
        <f t="shared" si="44"/>
        <v>0.88405999999999996</v>
      </c>
      <c r="AH174">
        <f t="shared" si="45"/>
        <v>0.84748000000000001</v>
      </c>
      <c r="AI174">
        <f t="shared" si="46"/>
        <v>0.81918000000000002</v>
      </c>
      <c r="AJ174">
        <f t="shared" si="47"/>
        <v>0.90795999999999999</v>
      </c>
      <c r="EC174">
        <v>572</v>
      </c>
      <c r="ED174">
        <v>0.93545999999999996</v>
      </c>
      <c r="EE174">
        <v>0.66456000000000004</v>
      </c>
      <c r="EF174">
        <v>1.0185</v>
      </c>
      <c r="EG174">
        <v>0.77378000000000002</v>
      </c>
      <c r="EH174">
        <v>0.94852000000000003</v>
      </c>
      <c r="EI174">
        <v>0.90988000000000002</v>
      </c>
      <c r="EJ174">
        <v>0.95955999999999997</v>
      </c>
      <c r="EK174">
        <v>0.87587999999999999</v>
      </c>
      <c r="EL174">
        <v>0.97648000000000001</v>
      </c>
      <c r="EM174">
        <v>0.97126000000000001</v>
      </c>
      <c r="EN174">
        <v>1.00098</v>
      </c>
      <c r="EO174">
        <v>1.0168200000000001</v>
      </c>
      <c r="EP174">
        <v>0.88405999999999996</v>
      </c>
      <c r="EQ174">
        <v>0.84748000000000001</v>
      </c>
      <c r="ER174">
        <v>0.81918000000000002</v>
      </c>
      <c r="ES174">
        <v>0.90795999999999999</v>
      </c>
    </row>
    <row r="175" spans="1:149" x14ac:dyDescent="0.35">
      <c r="A175" s="77"/>
      <c r="B175" s="77">
        <v>573</v>
      </c>
      <c r="C175" s="77">
        <v>0.46771000000000001</v>
      </c>
      <c r="D175" s="77">
        <v>0.3322</v>
      </c>
      <c r="E175" s="77">
        <v>0.50934999999999997</v>
      </c>
      <c r="F175" s="77">
        <v>0.38689000000000001</v>
      </c>
      <c r="G175" s="77">
        <v>0.4743</v>
      </c>
      <c r="H175" s="77">
        <v>0.45499000000000001</v>
      </c>
      <c r="I175" s="77">
        <v>0.47992000000000001</v>
      </c>
      <c r="J175" s="77">
        <v>0.43775999999999998</v>
      </c>
      <c r="K175" s="77">
        <v>0.48831000000000002</v>
      </c>
      <c r="L175" s="77">
        <v>0.48573</v>
      </c>
      <c r="M175" s="77">
        <v>0.50046999999999997</v>
      </c>
      <c r="N175" s="77">
        <v>0.50853000000000004</v>
      </c>
      <c r="O175" s="77">
        <v>0.44198999999999999</v>
      </c>
      <c r="P175" s="77">
        <v>0.42365999999999998</v>
      </c>
      <c r="Q175" s="77">
        <v>0.40959000000000001</v>
      </c>
      <c r="R175" s="77">
        <v>0.45406000000000002</v>
      </c>
      <c r="T175">
        <v>573</v>
      </c>
      <c r="U175">
        <f t="shared" si="32"/>
        <v>0.93542000000000003</v>
      </c>
      <c r="V175">
        <f t="shared" si="33"/>
        <v>0.66439999999999999</v>
      </c>
      <c r="W175">
        <f t="shared" si="34"/>
        <v>1.0186999999999999</v>
      </c>
      <c r="X175">
        <f t="shared" si="35"/>
        <v>0.77378000000000002</v>
      </c>
      <c r="Y175">
        <f t="shared" si="36"/>
        <v>0.9486</v>
      </c>
      <c r="Z175">
        <f t="shared" si="37"/>
        <v>0.90998000000000001</v>
      </c>
      <c r="AA175">
        <f t="shared" si="38"/>
        <v>0.95984000000000003</v>
      </c>
      <c r="AB175">
        <f t="shared" si="39"/>
        <v>0.87551999999999996</v>
      </c>
      <c r="AC175">
        <f t="shared" si="40"/>
        <v>0.97662000000000004</v>
      </c>
      <c r="AD175">
        <f t="shared" si="41"/>
        <v>0.97145999999999999</v>
      </c>
      <c r="AE175">
        <f t="shared" si="42"/>
        <v>1.0009399999999999</v>
      </c>
      <c r="AF175">
        <f t="shared" si="43"/>
        <v>1.0170600000000001</v>
      </c>
      <c r="AG175">
        <f t="shared" si="44"/>
        <v>0.88397999999999999</v>
      </c>
      <c r="AH175">
        <f t="shared" si="45"/>
        <v>0.84731999999999996</v>
      </c>
      <c r="AI175">
        <f t="shared" si="46"/>
        <v>0.81918000000000002</v>
      </c>
      <c r="AJ175">
        <f t="shared" si="47"/>
        <v>0.90812000000000004</v>
      </c>
      <c r="EC175">
        <v>573</v>
      </c>
      <c r="ED175">
        <v>0.93542000000000003</v>
      </c>
      <c r="EE175">
        <v>0.66439999999999999</v>
      </c>
      <c r="EF175">
        <v>1.0186999999999999</v>
      </c>
      <c r="EG175">
        <v>0.77378000000000002</v>
      </c>
      <c r="EH175">
        <v>0.9486</v>
      </c>
      <c r="EI175">
        <v>0.90998000000000001</v>
      </c>
      <c r="EJ175">
        <v>0.95984000000000003</v>
      </c>
      <c r="EK175">
        <v>0.87551999999999996</v>
      </c>
      <c r="EL175">
        <v>0.97662000000000004</v>
      </c>
      <c r="EM175">
        <v>0.97145999999999999</v>
      </c>
      <c r="EN175">
        <v>1.0009399999999999</v>
      </c>
      <c r="EO175">
        <v>1.0170600000000001</v>
      </c>
      <c r="EP175">
        <v>0.88397999999999999</v>
      </c>
      <c r="EQ175">
        <v>0.84731999999999996</v>
      </c>
      <c r="ER175">
        <v>0.81918000000000002</v>
      </c>
      <c r="ES175">
        <v>0.90812000000000004</v>
      </c>
    </row>
    <row r="176" spans="1:149" x14ac:dyDescent="0.35">
      <c r="A176" s="77"/>
      <c r="B176" s="77">
        <v>574</v>
      </c>
      <c r="C176" s="77">
        <v>0.46779999999999999</v>
      </c>
      <c r="D176" s="77">
        <v>0.33221000000000001</v>
      </c>
      <c r="E176" s="77">
        <v>0.50944999999999996</v>
      </c>
      <c r="F176" s="77">
        <v>0.38695000000000002</v>
      </c>
      <c r="G176" s="77">
        <v>0.47432000000000002</v>
      </c>
      <c r="H176" s="77">
        <v>0.45501999999999998</v>
      </c>
      <c r="I176" s="77">
        <v>0.48</v>
      </c>
      <c r="J176" s="77">
        <v>0.43780999999999998</v>
      </c>
      <c r="K176" s="77">
        <v>0.48848999999999998</v>
      </c>
      <c r="L176" s="77">
        <v>0.48583999999999999</v>
      </c>
      <c r="M176" s="77">
        <v>0.50061</v>
      </c>
      <c r="N176" s="77">
        <v>0.50870000000000004</v>
      </c>
      <c r="O176" s="77">
        <v>0.44188</v>
      </c>
      <c r="P176" s="77">
        <v>0.42351</v>
      </c>
      <c r="Q176" s="77">
        <v>0.40938999999999998</v>
      </c>
      <c r="R176" s="77">
        <v>0.45387</v>
      </c>
      <c r="T176">
        <v>574</v>
      </c>
      <c r="U176">
        <f t="shared" si="32"/>
        <v>0.93559999999999999</v>
      </c>
      <c r="V176">
        <f t="shared" si="33"/>
        <v>0.66442000000000001</v>
      </c>
      <c r="W176">
        <f t="shared" si="34"/>
        <v>1.0188999999999999</v>
      </c>
      <c r="X176">
        <f t="shared" si="35"/>
        <v>0.77390000000000003</v>
      </c>
      <c r="Y176">
        <f t="shared" si="36"/>
        <v>0.94864000000000004</v>
      </c>
      <c r="Z176">
        <f t="shared" si="37"/>
        <v>0.91003999999999996</v>
      </c>
      <c r="AA176">
        <f t="shared" si="38"/>
        <v>0.96</v>
      </c>
      <c r="AB176">
        <f t="shared" si="39"/>
        <v>0.87561999999999995</v>
      </c>
      <c r="AC176">
        <f t="shared" si="40"/>
        <v>0.97697999999999996</v>
      </c>
      <c r="AD176">
        <f t="shared" si="41"/>
        <v>0.97167999999999999</v>
      </c>
      <c r="AE176">
        <f t="shared" si="42"/>
        <v>1.00122</v>
      </c>
      <c r="AF176">
        <f t="shared" si="43"/>
        <v>1.0174000000000001</v>
      </c>
      <c r="AG176">
        <f t="shared" si="44"/>
        <v>0.88375999999999999</v>
      </c>
      <c r="AH176">
        <f t="shared" si="45"/>
        <v>0.84702</v>
      </c>
      <c r="AI176">
        <f t="shared" si="46"/>
        <v>0.81877999999999995</v>
      </c>
      <c r="AJ176">
        <f t="shared" si="47"/>
        <v>0.90773999999999999</v>
      </c>
      <c r="EC176">
        <v>574</v>
      </c>
      <c r="ED176">
        <v>0.93559999999999999</v>
      </c>
      <c r="EE176">
        <v>0.66442000000000001</v>
      </c>
      <c r="EF176">
        <v>1.0188999999999999</v>
      </c>
      <c r="EG176">
        <v>0.77390000000000003</v>
      </c>
      <c r="EH176">
        <v>0.94864000000000004</v>
      </c>
      <c r="EI176">
        <v>0.91003999999999996</v>
      </c>
      <c r="EJ176">
        <v>0.96</v>
      </c>
      <c r="EK176">
        <v>0.87561999999999995</v>
      </c>
      <c r="EL176">
        <v>0.97697999999999996</v>
      </c>
      <c r="EM176">
        <v>0.97167999999999999</v>
      </c>
      <c r="EN176">
        <v>1.00122</v>
      </c>
      <c r="EO176">
        <v>1.0174000000000001</v>
      </c>
      <c r="EP176">
        <v>0.88375999999999999</v>
      </c>
      <c r="EQ176">
        <v>0.84702</v>
      </c>
      <c r="ER176">
        <v>0.81877999999999995</v>
      </c>
      <c r="ES176">
        <v>0.90773999999999999</v>
      </c>
    </row>
    <row r="177" spans="1:149" x14ac:dyDescent="0.35">
      <c r="A177" s="77"/>
      <c r="B177" s="77">
        <v>575</v>
      </c>
      <c r="C177" s="77">
        <v>0.46797</v>
      </c>
      <c r="D177" s="77">
        <v>0.33226</v>
      </c>
      <c r="E177" s="77">
        <v>0.50966</v>
      </c>
      <c r="F177" s="77">
        <v>0.38707999999999998</v>
      </c>
      <c r="G177" s="77">
        <v>0.47458</v>
      </c>
      <c r="H177" s="77">
        <v>0.45519999999999999</v>
      </c>
      <c r="I177" s="77">
        <v>0.48021000000000003</v>
      </c>
      <c r="J177" s="77">
        <v>0.43791000000000002</v>
      </c>
      <c r="K177" s="77">
        <v>0.48881999999999998</v>
      </c>
      <c r="L177" s="77">
        <v>0.48608000000000001</v>
      </c>
      <c r="M177" s="77">
        <v>0.50090000000000001</v>
      </c>
      <c r="N177" s="77">
        <v>0.50897000000000003</v>
      </c>
      <c r="O177" s="77">
        <v>0.44191000000000003</v>
      </c>
      <c r="P177" s="77">
        <v>0.42344999999999999</v>
      </c>
      <c r="Q177" s="77">
        <v>0.40933000000000003</v>
      </c>
      <c r="R177" s="77">
        <v>0.45391999999999999</v>
      </c>
      <c r="T177">
        <v>575</v>
      </c>
      <c r="U177">
        <f t="shared" si="32"/>
        <v>0.93593999999999999</v>
      </c>
      <c r="V177">
        <f t="shared" si="33"/>
        <v>0.66452</v>
      </c>
      <c r="W177">
        <f t="shared" si="34"/>
        <v>1.01932</v>
      </c>
      <c r="X177">
        <f t="shared" si="35"/>
        <v>0.77415999999999996</v>
      </c>
      <c r="Y177">
        <f t="shared" si="36"/>
        <v>0.94916</v>
      </c>
      <c r="Z177">
        <f t="shared" si="37"/>
        <v>0.91039999999999999</v>
      </c>
      <c r="AA177">
        <f t="shared" si="38"/>
        <v>0.96042000000000005</v>
      </c>
      <c r="AB177">
        <f t="shared" si="39"/>
        <v>0.87582000000000004</v>
      </c>
      <c r="AC177">
        <f t="shared" si="40"/>
        <v>0.97763999999999995</v>
      </c>
      <c r="AD177">
        <f t="shared" si="41"/>
        <v>0.97216000000000002</v>
      </c>
      <c r="AE177">
        <f t="shared" si="42"/>
        <v>1.0018</v>
      </c>
      <c r="AF177">
        <f t="shared" si="43"/>
        <v>1.0179400000000001</v>
      </c>
      <c r="AG177">
        <f t="shared" si="44"/>
        <v>0.88382000000000005</v>
      </c>
      <c r="AH177">
        <f t="shared" si="45"/>
        <v>0.84689999999999999</v>
      </c>
      <c r="AI177">
        <f t="shared" si="46"/>
        <v>0.81866000000000005</v>
      </c>
      <c r="AJ177">
        <f t="shared" si="47"/>
        <v>0.90783999999999998</v>
      </c>
      <c r="EC177">
        <v>575</v>
      </c>
      <c r="ED177">
        <v>0.93593999999999999</v>
      </c>
      <c r="EE177">
        <v>0.66452</v>
      </c>
      <c r="EF177">
        <v>1.01932</v>
      </c>
      <c r="EG177">
        <v>0.77415999999999996</v>
      </c>
      <c r="EH177">
        <v>0.94916</v>
      </c>
      <c r="EI177">
        <v>0.91039999999999999</v>
      </c>
      <c r="EJ177">
        <v>0.96042000000000005</v>
      </c>
      <c r="EK177">
        <v>0.87582000000000004</v>
      </c>
      <c r="EL177">
        <v>0.97763999999999995</v>
      </c>
      <c r="EM177">
        <v>0.97216000000000002</v>
      </c>
      <c r="EN177">
        <v>1.0018</v>
      </c>
      <c r="EO177">
        <v>1.0179400000000001</v>
      </c>
      <c r="EP177">
        <v>0.88382000000000005</v>
      </c>
      <c r="EQ177">
        <v>0.84689999999999999</v>
      </c>
      <c r="ER177">
        <v>0.81866000000000005</v>
      </c>
      <c r="ES177">
        <v>0.90783999999999998</v>
      </c>
    </row>
    <row r="178" spans="1:149" x14ac:dyDescent="0.35">
      <c r="A178" s="77"/>
      <c r="B178" s="77">
        <v>576</v>
      </c>
      <c r="C178" s="77">
        <v>0.46799000000000002</v>
      </c>
      <c r="D178" s="77">
        <v>0.33217000000000002</v>
      </c>
      <c r="E178" s="77">
        <v>0.50976999999999995</v>
      </c>
      <c r="F178" s="77">
        <v>0.38707000000000003</v>
      </c>
      <c r="G178" s="77">
        <v>0.47469</v>
      </c>
      <c r="H178" s="77">
        <v>0.45545999999999998</v>
      </c>
      <c r="I178" s="77">
        <v>0.48037999999999997</v>
      </c>
      <c r="J178" s="77">
        <v>0.43791000000000002</v>
      </c>
      <c r="K178" s="77">
        <v>0.48920000000000002</v>
      </c>
      <c r="L178" s="77">
        <v>0.48630000000000001</v>
      </c>
      <c r="M178" s="77">
        <v>0.50107999999999997</v>
      </c>
      <c r="N178" s="77">
        <v>0.50922000000000001</v>
      </c>
      <c r="O178" s="77">
        <v>0.44169999999999998</v>
      </c>
      <c r="P178" s="77">
        <v>0.42333999999999999</v>
      </c>
      <c r="Q178" s="77">
        <v>0.40926000000000001</v>
      </c>
      <c r="R178" s="77">
        <v>0.45383000000000001</v>
      </c>
      <c r="T178">
        <v>576</v>
      </c>
      <c r="U178">
        <f t="shared" si="32"/>
        <v>0.93598000000000003</v>
      </c>
      <c r="V178">
        <f t="shared" si="33"/>
        <v>0.66434000000000004</v>
      </c>
      <c r="W178">
        <f t="shared" si="34"/>
        <v>1.0195399999999999</v>
      </c>
      <c r="X178">
        <f t="shared" si="35"/>
        <v>0.77414000000000005</v>
      </c>
      <c r="Y178">
        <f t="shared" si="36"/>
        <v>0.94938</v>
      </c>
      <c r="Z178">
        <f t="shared" si="37"/>
        <v>0.91091999999999995</v>
      </c>
      <c r="AA178">
        <f t="shared" si="38"/>
        <v>0.96075999999999995</v>
      </c>
      <c r="AB178">
        <f t="shared" si="39"/>
        <v>0.87582000000000004</v>
      </c>
      <c r="AC178">
        <f t="shared" si="40"/>
        <v>0.97840000000000005</v>
      </c>
      <c r="AD178">
        <f t="shared" si="41"/>
        <v>0.97260000000000002</v>
      </c>
      <c r="AE178">
        <f t="shared" si="42"/>
        <v>1.0021599999999999</v>
      </c>
      <c r="AF178">
        <f t="shared" si="43"/>
        <v>1.01844</v>
      </c>
      <c r="AG178">
        <f t="shared" si="44"/>
        <v>0.88339999999999996</v>
      </c>
      <c r="AH178">
        <f t="shared" si="45"/>
        <v>0.84667999999999999</v>
      </c>
      <c r="AI178">
        <f t="shared" si="46"/>
        <v>0.81852000000000003</v>
      </c>
      <c r="AJ178">
        <f t="shared" si="47"/>
        <v>0.90766000000000002</v>
      </c>
      <c r="EC178">
        <v>576</v>
      </c>
      <c r="ED178">
        <v>0.93598000000000003</v>
      </c>
      <c r="EE178">
        <v>0.66434000000000004</v>
      </c>
      <c r="EF178">
        <v>1.0195399999999999</v>
      </c>
      <c r="EG178">
        <v>0.77414000000000005</v>
      </c>
      <c r="EH178">
        <v>0.94938</v>
      </c>
      <c r="EI178">
        <v>0.91091999999999995</v>
      </c>
      <c r="EJ178">
        <v>0.96075999999999995</v>
      </c>
      <c r="EK178">
        <v>0.87582000000000004</v>
      </c>
      <c r="EL178">
        <v>0.97840000000000005</v>
      </c>
      <c r="EM178">
        <v>0.97260000000000002</v>
      </c>
      <c r="EN178">
        <v>1.0021599999999999</v>
      </c>
      <c r="EO178">
        <v>1.01844</v>
      </c>
      <c r="EP178">
        <v>0.88339999999999996</v>
      </c>
      <c r="EQ178">
        <v>0.84667999999999999</v>
      </c>
      <c r="ER178">
        <v>0.81852000000000003</v>
      </c>
      <c r="ES178">
        <v>0.90766000000000002</v>
      </c>
    </row>
    <row r="179" spans="1:149" x14ac:dyDescent="0.35">
      <c r="A179" s="77"/>
      <c r="B179" s="77">
        <v>577</v>
      </c>
      <c r="C179" s="77">
        <v>0.46816999999999998</v>
      </c>
      <c r="D179" s="77">
        <v>0.33237</v>
      </c>
      <c r="E179" s="77">
        <v>0.50997999999999999</v>
      </c>
      <c r="F179" s="77">
        <v>0.38721</v>
      </c>
      <c r="G179" s="77">
        <v>0.47488000000000002</v>
      </c>
      <c r="H179" s="77">
        <v>0.45569999999999999</v>
      </c>
      <c r="I179" s="77">
        <v>0.48065000000000002</v>
      </c>
      <c r="J179" s="77">
        <v>0.43802000000000002</v>
      </c>
      <c r="K179" s="77">
        <v>0.48943999999999999</v>
      </c>
      <c r="L179" s="77">
        <v>0.48662</v>
      </c>
      <c r="M179" s="77">
        <v>0.50127999999999995</v>
      </c>
      <c r="N179" s="77">
        <v>0.50956999999999997</v>
      </c>
      <c r="O179" s="77">
        <v>0.44164999999999999</v>
      </c>
      <c r="P179" s="77">
        <v>0.42316999999999999</v>
      </c>
      <c r="Q179" s="77">
        <v>0.40910000000000002</v>
      </c>
      <c r="R179" s="77">
        <v>0.45373999999999998</v>
      </c>
      <c r="T179">
        <v>577</v>
      </c>
      <c r="U179">
        <f t="shared" si="32"/>
        <v>0.93633999999999995</v>
      </c>
      <c r="V179">
        <f t="shared" si="33"/>
        <v>0.66474</v>
      </c>
      <c r="W179">
        <f t="shared" si="34"/>
        <v>1.01996</v>
      </c>
      <c r="X179">
        <f t="shared" si="35"/>
        <v>0.77442</v>
      </c>
      <c r="Y179">
        <f t="shared" si="36"/>
        <v>0.94976000000000005</v>
      </c>
      <c r="Z179">
        <f t="shared" si="37"/>
        <v>0.91139999999999999</v>
      </c>
      <c r="AA179">
        <f t="shared" si="38"/>
        <v>0.96130000000000004</v>
      </c>
      <c r="AB179">
        <f t="shared" si="39"/>
        <v>0.87604000000000004</v>
      </c>
      <c r="AC179">
        <f t="shared" si="40"/>
        <v>0.97887999999999997</v>
      </c>
      <c r="AD179">
        <f t="shared" si="41"/>
        <v>0.97323999999999999</v>
      </c>
      <c r="AE179">
        <f t="shared" si="42"/>
        <v>1.0025599999999999</v>
      </c>
      <c r="AF179">
        <f t="shared" si="43"/>
        <v>1.0191399999999999</v>
      </c>
      <c r="AG179">
        <f t="shared" si="44"/>
        <v>0.88329999999999997</v>
      </c>
      <c r="AH179">
        <f t="shared" si="45"/>
        <v>0.84633999999999998</v>
      </c>
      <c r="AI179">
        <f t="shared" si="46"/>
        <v>0.81820000000000004</v>
      </c>
      <c r="AJ179">
        <f t="shared" si="47"/>
        <v>0.90747999999999995</v>
      </c>
      <c r="EC179">
        <v>577</v>
      </c>
      <c r="ED179">
        <v>0.93633999999999995</v>
      </c>
      <c r="EE179">
        <v>0.66474</v>
      </c>
      <c r="EF179">
        <v>1.01996</v>
      </c>
      <c r="EG179">
        <v>0.77442</v>
      </c>
      <c r="EH179">
        <v>0.94976000000000005</v>
      </c>
      <c r="EI179">
        <v>0.91139999999999999</v>
      </c>
      <c r="EJ179">
        <v>0.96130000000000004</v>
      </c>
      <c r="EK179">
        <v>0.87604000000000004</v>
      </c>
      <c r="EL179">
        <v>0.97887999999999997</v>
      </c>
      <c r="EM179">
        <v>0.97323999999999999</v>
      </c>
      <c r="EN179">
        <v>1.0025599999999999</v>
      </c>
      <c r="EO179">
        <v>1.0191399999999999</v>
      </c>
      <c r="EP179">
        <v>0.88329999999999997</v>
      </c>
      <c r="EQ179">
        <v>0.84633999999999998</v>
      </c>
      <c r="ER179">
        <v>0.81820000000000004</v>
      </c>
      <c r="ES179">
        <v>0.90747999999999995</v>
      </c>
    </row>
    <row r="180" spans="1:149" x14ac:dyDescent="0.35">
      <c r="A180" s="77"/>
      <c r="B180" s="77">
        <v>578</v>
      </c>
      <c r="C180" s="77">
        <v>0.46839999999999998</v>
      </c>
      <c r="D180" s="77">
        <v>0.33243</v>
      </c>
      <c r="E180" s="77">
        <v>0.51015999999999995</v>
      </c>
      <c r="F180" s="77">
        <v>0.38735999999999998</v>
      </c>
      <c r="G180" s="77">
        <v>0.47504999999999997</v>
      </c>
      <c r="H180" s="77">
        <v>0.45590000000000003</v>
      </c>
      <c r="I180" s="77">
        <v>0.48082999999999998</v>
      </c>
      <c r="J180" s="77">
        <v>0.43808000000000002</v>
      </c>
      <c r="K180" s="77">
        <v>0.48975000000000002</v>
      </c>
      <c r="L180" s="77">
        <v>0.48676000000000003</v>
      </c>
      <c r="M180" s="77">
        <v>0.50165000000000004</v>
      </c>
      <c r="N180" s="77">
        <v>0.50980999999999999</v>
      </c>
      <c r="O180" s="77">
        <v>0.44156000000000001</v>
      </c>
      <c r="P180" s="77">
        <v>0.42307</v>
      </c>
      <c r="Q180" s="77">
        <v>0.40915000000000001</v>
      </c>
      <c r="R180" s="77">
        <v>0.45363999999999999</v>
      </c>
      <c r="T180">
        <v>578</v>
      </c>
      <c r="U180">
        <f t="shared" si="32"/>
        <v>0.93679999999999997</v>
      </c>
      <c r="V180">
        <f t="shared" si="33"/>
        <v>0.66486000000000001</v>
      </c>
      <c r="W180">
        <f t="shared" si="34"/>
        <v>1.0203199999999999</v>
      </c>
      <c r="X180">
        <f t="shared" si="35"/>
        <v>0.77471999999999996</v>
      </c>
      <c r="Y180">
        <f t="shared" si="36"/>
        <v>0.95009999999999994</v>
      </c>
      <c r="Z180">
        <f t="shared" si="37"/>
        <v>0.91180000000000005</v>
      </c>
      <c r="AA180">
        <f t="shared" si="38"/>
        <v>0.96165999999999996</v>
      </c>
      <c r="AB180">
        <f t="shared" si="39"/>
        <v>0.87616000000000005</v>
      </c>
      <c r="AC180">
        <f t="shared" si="40"/>
        <v>0.97950000000000004</v>
      </c>
      <c r="AD180">
        <f t="shared" si="41"/>
        <v>0.97352000000000005</v>
      </c>
      <c r="AE180">
        <f t="shared" si="42"/>
        <v>1.0033000000000001</v>
      </c>
      <c r="AF180">
        <f t="shared" si="43"/>
        <v>1.01962</v>
      </c>
      <c r="AG180">
        <f t="shared" si="44"/>
        <v>0.88312000000000002</v>
      </c>
      <c r="AH180">
        <f t="shared" si="45"/>
        <v>0.84614</v>
      </c>
      <c r="AI180">
        <f t="shared" si="46"/>
        <v>0.81830000000000003</v>
      </c>
      <c r="AJ180">
        <f t="shared" si="47"/>
        <v>0.90727999999999998</v>
      </c>
      <c r="EC180">
        <v>578</v>
      </c>
      <c r="ED180">
        <v>0.93679999999999997</v>
      </c>
      <c r="EE180">
        <v>0.66486000000000001</v>
      </c>
      <c r="EF180">
        <v>1.0203199999999999</v>
      </c>
      <c r="EG180">
        <v>0.77471999999999996</v>
      </c>
      <c r="EH180">
        <v>0.95009999999999994</v>
      </c>
      <c r="EI180">
        <v>0.91180000000000005</v>
      </c>
      <c r="EJ180">
        <v>0.96165999999999996</v>
      </c>
      <c r="EK180">
        <v>0.87616000000000005</v>
      </c>
      <c r="EL180">
        <v>0.97950000000000004</v>
      </c>
      <c r="EM180">
        <v>0.97352000000000005</v>
      </c>
      <c r="EN180">
        <v>1.0033000000000001</v>
      </c>
      <c r="EO180">
        <v>1.01962</v>
      </c>
      <c r="EP180">
        <v>0.88312000000000002</v>
      </c>
      <c r="EQ180">
        <v>0.84614</v>
      </c>
      <c r="ER180">
        <v>0.81830000000000003</v>
      </c>
      <c r="ES180">
        <v>0.90727999999999998</v>
      </c>
    </row>
    <row r="181" spans="1:149" x14ac:dyDescent="0.35">
      <c r="A181" s="77"/>
      <c r="B181" s="77">
        <v>579</v>
      </c>
      <c r="C181" s="77">
        <v>0.46845999999999999</v>
      </c>
      <c r="D181" s="77">
        <v>0.33243</v>
      </c>
      <c r="E181" s="77">
        <v>0.51032999999999995</v>
      </c>
      <c r="F181" s="77">
        <v>0.38740999999999998</v>
      </c>
      <c r="G181" s="77">
        <v>0.47514000000000001</v>
      </c>
      <c r="H181" s="77">
        <v>0.45595999999999998</v>
      </c>
      <c r="I181" s="77">
        <v>0.48091</v>
      </c>
      <c r="J181" s="77">
        <v>0.438</v>
      </c>
      <c r="K181" s="77">
        <v>0.4899</v>
      </c>
      <c r="L181" s="77">
        <v>0.48681999999999997</v>
      </c>
      <c r="M181" s="77">
        <v>0.50170999999999999</v>
      </c>
      <c r="N181" s="77">
        <v>0.50995999999999997</v>
      </c>
      <c r="O181" s="77">
        <v>0.44157000000000002</v>
      </c>
      <c r="P181" s="77">
        <v>0.42303000000000002</v>
      </c>
      <c r="Q181" s="77">
        <v>0.40909000000000001</v>
      </c>
      <c r="R181" s="77">
        <v>0.45363999999999999</v>
      </c>
      <c r="T181">
        <v>579</v>
      </c>
      <c r="U181">
        <f t="shared" si="32"/>
        <v>0.93691999999999998</v>
      </c>
      <c r="V181">
        <f t="shared" si="33"/>
        <v>0.66486000000000001</v>
      </c>
      <c r="W181">
        <f t="shared" si="34"/>
        <v>1.0206599999999999</v>
      </c>
      <c r="X181">
        <f t="shared" si="35"/>
        <v>0.77481999999999995</v>
      </c>
      <c r="Y181">
        <f t="shared" si="36"/>
        <v>0.95028000000000001</v>
      </c>
      <c r="Z181">
        <f t="shared" si="37"/>
        <v>0.91191999999999995</v>
      </c>
      <c r="AA181">
        <f t="shared" si="38"/>
        <v>0.96182000000000001</v>
      </c>
      <c r="AB181">
        <f t="shared" si="39"/>
        <v>0.876</v>
      </c>
      <c r="AC181">
        <f t="shared" si="40"/>
        <v>0.9798</v>
      </c>
      <c r="AD181">
        <f t="shared" si="41"/>
        <v>0.97363999999999995</v>
      </c>
      <c r="AE181">
        <f t="shared" si="42"/>
        <v>1.00342</v>
      </c>
      <c r="AF181">
        <f t="shared" si="43"/>
        <v>1.0199199999999999</v>
      </c>
      <c r="AG181">
        <f t="shared" si="44"/>
        <v>0.88314000000000004</v>
      </c>
      <c r="AH181">
        <f t="shared" si="45"/>
        <v>0.84606000000000003</v>
      </c>
      <c r="AI181">
        <f t="shared" si="46"/>
        <v>0.81818000000000002</v>
      </c>
      <c r="AJ181">
        <f t="shared" si="47"/>
        <v>0.90727999999999998</v>
      </c>
      <c r="EC181">
        <v>579</v>
      </c>
      <c r="ED181">
        <v>0.93691999999999998</v>
      </c>
      <c r="EE181">
        <v>0.66486000000000001</v>
      </c>
      <c r="EF181">
        <v>1.0206599999999999</v>
      </c>
      <c r="EG181">
        <v>0.77481999999999995</v>
      </c>
      <c r="EH181">
        <v>0.95028000000000001</v>
      </c>
      <c r="EI181">
        <v>0.91191999999999995</v>
      </c>
      <c r="EJ181">
        <v>0.96182000000000001</v>
      </c>
      <c r="EK181">
        <v>0.876</v>
      </c>
      <c r="EL181">
        <v>0.9798</v>
      </c>
      <c r="EM181">
        <v>0.97363999999999995</v>
      </c>
      <c r="EN181">
        <v>1.00342</v>
      </c>
      <c r="EO181">
        <v>1.0199199999999999</v>
      </c>
      <c r="EP181">
        <v>0.88314000000000004</v>
      </c>
      <c r="EQ181">
        <v>0.84606000000000003</v>
      </c>
      <c r="ER181">
        <v>0.81818000000000002</v>
      </c>
      <c r="ES181">
        <v>0.90727999999999998</v>
      </c>
    </row>
    <row r="182" spans="1:149" x14ac:dyDescent="0.35">
      <c r="A182" s="77"/>
      <c r="B182" s="77">
        <v>580</v>
      </c>
      <c r="C182" s="77">
        <v>0.46856999999999999</v>
      </c>
      <c r="D182" s="77">
        <v>0.33240999999999998</v>
      </c>
      <c r="E182" s="77">
        <v>0.51041999999999998</v>
      </c>
      <c r="F182" s="77">
        <v>0.38745000000000002</v>
      </c>
      <c r="G182" s="77">
        <v>0.47516000000000003</v>
      </c>
      <c r="H182" s="77">
        <v>0.45615</v>
      </c>
      <c r="I182" s="77">
        <v>0.48102</v>
      </c>
      <c r="J182" s="77">
        <v>0.43804999999999999</v>
      </c>
      <c r="K182" s="77">
        <v>0.49014000000000002</v>
      </c>
      <c r="L182" s="77">
        <v>0.48701</v>
      </c>
      <c r="M182" s="77">
        <v>0.50180000000000002</v>
      </c>
      <c r="N182" s="77">
        <v>0.51014999999999999</v>
      </c>
      <c r="O182" s="77">
        <v>0.44144</v>
      </c>
      <c r="P182" s="77">
        <v>0.42296</v>
      </c>
      <c r="Q182" s="77">
        <v>0.40903</v>
      </c>
      <c r="R182" s="77">
        <v>0.45362999999999998</v>
      </c>
      <c r="T182">
        <v>580</v>
      </c>
      <c r="U182">
        <f t="shared" si="32"/>
        <v>0.93713999999999997</v>
      </c>
      <c r="V182">
        <f t="shared" si="33"/>
        <v>0.66481999999999997</v>
      </c>
      <c r="W182">
        <f t="shared" si="34"/>
        <v>1.02084</v>
      </c>
      <c r="X182">
        <f t="shared" si="35"/>
        <v>0.77490000000000003</v>
      </c>
      <c r="Y182">
        <f t="shared" si="36"/>
        <v>0.95032000000000005</v>
      </c>
      <c r="Z182">
        <f t="shared" si="37"/>
        <v>0.9123</v>
      </c>
      <c r="AA182">
        <f t="shared" si="38"/>
        <v>0.96204000000000001</v>
      </c>
      <c r="AB182">
        <f t="shared" si="39"/>
        <v>0.87609999999999999</v>
      </c>
      <c r="AC182">
        <f t="shared" si="40"/>
        <v>0.98028000000000004</v>
      </c>
      <c r="AD182">
        <f t="shared" si="41"/>
        <v>0.97402</v>
      </c>
      <c r="AE182">
        <f t="shared" si="42"/>
        <v>1.0036</v>
      </c>
      <c r="AF182">
        <f t="shared" si="43"/>
        <v>1.0203</v>
      </c>
      <c r="AG182">
        <f t="shared" si="44"/>
        <v>0.88288</v>
      </c>
      <c r="AH182">
        <f t="shared" si="45"/>
        <v>0.84592000000000001</v>
      </c>
      <c r="AI182">
        <f t="shared" si="46"/>
        <v>0.81806000000000001</v>
      </c>
      <c r="AJ182">
        <f t="shared" si="47"/>
        <v>0.90725999999999996</v>
      </c>
      <c r="EC182">
        <v>580</v>
      </c>
      <c r="ED182">
        <v>0.93713999999999997</v>
      </c>
      <c r="EE182">
        <v>0.66481999999999997</v>
      </c>
      <c r="EF182">
        <v>1.02084</v>
      </c>
      <c r="EG182">
        <v>0.77490000000000003</v>
      </c>
      <c r="EH182">
        <v>0.95032000000000005</v>
      </c>
      <c r="EI182">
        <v>0.9123</v>
      </c>
      <c r="EJ182">
        <v>0.96204000000000001</v>
      </c>
      <c r="EK182">
        <v>0.87609999999999999</v>
      </c>
      <c r="EL182">
        <v>0.98028000000000004</v>
      </c>
      <c r="EM182">
        <v>0.97402</v>
      </c>
      <c r="EN182">
        <v>1.0036</v>
      </c>
      <c r="EO182">
        <v>1.0203</v>
      </c>
      <c r="EP182">
        <v>0.88288</v>
      </c>
      <c r="EQ182">
        <v>0.84592000000000001</v>
      </c>
      <c r="ER182">
        <v>0.81806000000000001</v>
      </c>
      <c r="ES182">
        <v>0.90725999999999996</v>
      </c>
    </row>
    <row r="183" spans="1:149" x14ac:dyDescent="0.35">
      <c r="A183" s="77"/>
      <c r="B183" s="77">
        <v>581</v>
      </c>
      <c r="C183" s="77">
        <v>0.46866000000000002</v>
      </c>
      <c r="D183" s="77">
        <v>0.33249000000000001</v>
      </c>
      <c r="E183" s="77">
        <v>0.51061999999999996</v>
      </c>
      <c r="F183" s="77">
        <v>0.38758999999999999</v>
      </c>
      <c r="G183" s="77">
        <v>0.47527000000000003</v>
      </c>
      <c r="H183" s="77">
        <v>0.45624999999999999</v>
      </c>
      <c r="I183" s="77">
        <v>0.48114000000000001</v>
      </c>
      <c r="J183" s="77">
        <v>0.438</v>
      </c>
      <c r="K183" s="77">
        <v>0.49038999999999999</v>
      </c>
      <c r="L183" s="77">
        <v>0.48724000000000001</v>
      </c>
      <c r="M183" s="77">
        <v>0.50194000000000005</v>
      </c>
      <c r="N183" s="77">
        <v>0.51037999999999994</v>
      </c>
      <c r="O183" s="77">
        <v>0.44144</v>
      </c>
      <c r="P183" s="77">
        <v>0.42287999999999998</v>
      </c>
      <c r="Q183" s="77">
        <v>0.40897</v>
      </c>
      <c r="R183" s="77">
        <v>0.45357999999999998</v>
      </c>
      <c r="T183">
        <v>581</v>
      </c>
      <c r="U183">
        <f t="shared" si="32"/>
        <v>0.93732000000000004</v>
      </c>
      <c r="V183">
        <f t="shared" si="33"/>
        <v>0.66498000000000002</v>
      </c>
      <c r="W183">
        <f t="shared" si="34"/>
        <v>1.0212399999999999</v>
      </c>
      <c r="X183">
        <f t="shared" si="35"/>
        <v>0.77517999999999998</v>
      </c>
      <c r="Y183">
        <f t="shared" si="36"/>
        <v>0.95054000000000005</v>
      </c>
      <c r="Z183">
        <f t="shared" si="37"/>
        <v>0.91249999999999998</v>
      </c>
      <c r="AA183">
        <f t="shared" si="38"/>
        <v>0.96228000000000002</v>
      </c>
      <c r="AB183">
        <f t="shared" si="39"/>
        <v>0.876</v>
      </c>
      <c r="AC183">
        <f t="shared" si="40"/>
        <v>0.98077999999999999</v>
      </c>
      <c r="AD183">
        <f t="shared" si="41"/>
        <v>0.97448000000000001</v>
      </c>
      <c r="AE183">
        <f t="shared" si="42"/>
        <v>1.0038800000000001</v>
      </c>
      <c r="AF183">
        <f t="shared" si="43"/>
        <v>1.0207599999999999</v>
      </c>
      <c r="AG183">
        <f t="shared" si="44"/>
        <v>0.88288</v>
      </c>
      <c r="AH183">
        <f t="shared" si="45"/>
        <v>0.84575999999999996</v>
      </c>
      <c r="AI183">
        <f t="shared" si="46"/>
        <v>0.81794</v>
      </c>
      <c r="AJ183">
        <f t="shared" si="47"/>
        <v>0.90715999999999997</v>
      </c>
      <c r="EC183">
        <v>581</v>
      </c>
      <c r="ED183">
        <v>0.93732000000000004</v>
      </c>
      <c r="EE183">
        <v>0.66498000000000002</v>
      </c>
      <c r="EF183">
        <v>1.0212399999999999</v>
      </c>
      <c r="EG183">
        <v>0.77517999999999998</v>
      </c>
      <c r="EH183">
        <v>0.95054000000000005</v>
      </c>
      <c r="EI183">
        <v>0.91249999999999998</v>
      </c>
      <c r="EJ183">
        <v>0.96228000000000002</v>
      </c>
      <c r="EK183">
        <v>0.876</v>
      </c>
      <c r="EL183">
        <v>0.98077999999999999</v>
      </c>
      <c r="EM183">
        <v>0.97448000000000001</v>
      </c>
      <c r="EN183">
        <v>1.0038800000000001</v>
      </c>
      <c r="EO183">
        <v>1.0207599999999999</v>
      </c>
      <c r="EP183">
        <v>0.88288</v>
      </c>
      <c r="EQ183">
        <v>0.84575999999999996</v>
      </c>
      <c r="ER183">
        <v>0.81794</v>
      </c>
      <c r="ES183">
        <v>0.90715999999999997</v>
      </c>
    </row>
    <row r="184" spans="1:149" x14ac:dyDescent="0.35">
      <c r="A184" s="77"/>
      <c r="B184" s="77">
        <v>582</v>
      </c>
      <c r="C184" s="77">
        <v>0.46860000000000002</v>
      </c>
      <c r="D184" s="77">
        <v>0.33245999999999998</v>
      </c>
      <c r="E184" s="77">
        <v>0.51061999999999996</v>
      </c>
      <c r="F184" s="77">
        <v>0.38746999999999998</v>
      </c>
      <c r="G184" s="77">
        <v>0.47549000000000002</v>
      </c>
      <c r="H184" s="77">
        <v>0.45645000000000002</v>
      </c>
      <c r="I184" s="77">
        <v>0.48141</v>
      </c>
      <c r="J184" s="77">
        <v>0.43813999999999997</v>
      </c>
      <c r="K184" s="77">
        <v>0.49062</v>
      </c>
      <c r="L184" s="77">
        <v>0.48737000000000003</v>
      </c>
      <c r="M184" s="77">
        <v>0.50214000000000003</v>
      </c>
      <c r="N184" s="77">
        <v>0.51066999999999996</v>
      </c>
      <c r="O184" s="77">
        <v>0.44124999999999998</v>
      </c>
      <c r="P184" s="77">
        <v>0.42268</v>
      </c>
      <c r="Q184" s="77">
        <v>0.40877999999999998</v>
      </c>
      <c r="R184" s="77">
        <v>0.45334999999999998</v>
      </c>
      <c r="T184">
        <v>582</v>
      </c>
      <c r="U184">
        <f t="shared" si="32"/>
        <v>0.93720000000000003</v>
      </c>
      <c r="V184">
        <f t="shared" si="33"/>
        <v>0.66491999999999996</v>
      </c>
      <c r="W184">
        <f t="shared" si="34"/>
        <v>1.0212399999999999</v>
      </c>
      <c r="X184">
        <f t="shared" si="35"/>
        <v>0.77493999999999996</v>
      </c>
      <c r="Y184">
        <f t="shared" si="36"/>
        <v>0.95098000000000005</v>
      </c>
      <c r="Z184">
        <f t="shared" si="37"/>
        <v>0.91290000000000004</v>
      </c>
      <c r="AA184">
        <f t="shared" si="38"/>
        <v>0.96282000000000001</v>
      </c>
      <c r="AB184">
        <f t="shared" si="39"/>
        <v>0.87627999999999995</v>
      </c>
      <c r="AC184">
        <f t="shared" si="40"/>
        <v>0.98124</v>
      </c>
      <c r="AD184">
        <f t="shared" si="41"/>
        <v>0.97474000000000005</v>
      </c>
      <c r="AE184">
        <f t="shared" si="42"/>
        <v>1.0042800000000001</v>
      </c>
      <c r="AF184">
        <f t="shared" si="43"/>
        <v>1.0213399999999999</v>
      </c>
      <c r="AG184">
        <f t="shared" si="44"/>
        <v>0.88249999999999995</v>
      </c>
      <c r="AH184">
        <f t="shared" si="45"/>
        <v>0.84536</v>
      </c>
      <c r="AI184">
        <f t="shared" si="46"/>
        <v>0.81755999999999995</v>
      </c>
      <c r="AJ184">
        <f t="shared" si="47"/>
        <v>0.90669999999999995</v>
      </c>
      <c r="EC184">
        <v>582</v>
      </c>
      <c r="ED184">
        <v>0.93720000000000003</v>
      </c>
      <c r="EE184">
        <v>0.66491999999999996</v>
      </c>
      <c r="EF184">
        <v>1.0212399999999999</v>
      </c>
      <c r="EG184">
        <v>0.77493999999999996</v>
      </c>
      <c r="EH184">
        <v>0.95098000000000005</v>
      </c>
      <c r="EI184">
        <v>0.91290000000000004</v>
      </c>
      <c r="EJ184">
        <v>0.96282000000000001</v>
      </c>
      <c r="EK184">
        <v>0.87627999999999995</v>
      </c>
      <c r="EL184">
        <v>0.98124</v>
      </c>
      <c r="EM184">
        <v>0.97474000000000005</v>
      </c>
      <c r="EN184">
        <v>1.0042800000000001</v>
      </c>
      <c r="EO184">
        <v>1.0213399999999999</v>
      </c>
      <c r="EP184">
        <v>0.88249999999999995</v>
      </c>
      <c r="EQ184">
        <v>0.84536</v>
      </c>
      <c r="ER184">
        <v>0.81755999999999995</v>
      </c>
      <c r="ES184">
        <v>0.90669999999999995</v>
      </c>
    </row>
    <row r="185" spans="1:149" x14ac:dyDescent="0.35">
      <c r="A185" s="77"/>
      <c r="B185" s="77">
        <v>583</v>
      </c>
      <c r="C185" s="77">
        <v>0.46866999999999998</v>
      </c>
      <c r="D185" s="77">
        <v>0.33239999999999997</v>
      </c>
      <c r="E185" s="77">
        <v>0.51063999999999998</v>
      </c>
      <c r="F185" s="77">
        <v>0.38746999999999998</v>
      </c>
      <c r="G185" s="77">
        <v>0.47544999999999998</v>
      </c>
      <c r="H185" s="77">
        <v>0.45648</v>
      </c>
      <c r="I185" s="77">
        <v>0.48146</v>
      </c>
      <c r="J185" s="77">
        <v>0.43797000000000003</v>
      </c>
      <c r="K185" s="77">
        <v>0.49077999999999999</v>
      </c>
      <c r="L185" s="77">
        <v>0.4874</v>
      </c>
      <c r="M185" s="77">
        <v>0.50221000000000005</v>
      </c>
      <c r="N185" s="77">
        <v>0.51070000000000004</v>
      </c>
      <c r="O185" s="77">
        <v>0.44122</v>
      </c>
      <c r="P185" s="77">
        <v>0.42262</v>
      </c>
      <c r="Q185" s="77">
        <v>0.40867999999999999</v>
      </c>
      <c r="R185" s="77">
        <v>0.45334999999999998</v>
      </c>
      <c r="T185">
        <v>583</v>
      </c>
      <c r="U185">
        <f t="shared" si="32"/>
        <v>0.93733999999999995</v>
      </c>
      <c r="V185">
        <f t="shared" si="33"/>
        <v>0.66479999999999995</v>
      </c>
      <c r="W185">
        <f t="shared" si="34"/>
        <v>1.02128</v>
      </c>
      <c r="X185">
        <f t="shared" si="35"/>
        <v>0.77493999999999996</v>
      </c>
      <c r="Y185">
        <f t="shared" si="36"/>
        <v>0.95089999999999997</v>
      </c>
      <c r="Z185">
        <f t="shared" si="37"/>
        <v>0.91295999999999999</v>
      </c>
      <c r="AA185">
        <f t="shared" si="38"/>
        <v>0.96292</v>
      </c>
      <c r="AB185">
        <f t="shared" si="39"/>
        <v>0.87594000000000005</v>
      </c>
      <c r="AC185">
        <f t="shared" si="40"/>
        <v>0.98155999999999999</v>
      </c>
      <c r="AD185">
        <f t="shared" si="41"/>
        <v>0.9748</v>
      </c>
      <c r="AE185">
        <f t="shared" si="42"/>
        <v>1.0044200000000001</v>
      </c>
      <c r="AF185">
        <f t="shared" si="43"/>
        <v>1.0214000000000001</v>
      </c>
      <c r="AG185">
        <f t="shared" si="44"/>
        <v>0.88244</v>
      </c>
      <c r="AH185">
        <f t="shared" si="45"/>
        <v>0.84523999999999999</v>
      </c>
      <c r="AI185">
        <f t="shared" si="46"/>
        <v>0.81735999999999998</v>
      </c>
      <c r="AJ185">
        <f t="shared" si="47"/>
        <v>0.90669999999999995</v>
      </c>
      <c r="EC185">
        <v>583</v>
      </c>
      <c r="ED185">
        <v>0.93733999999999995</v>
      </c>
      <c r="EE185">
        <v>0.66479999999999995</v>
      </c>
      <c r="EF185">
        <v>1.02128</v>
      </c>
      <c r="EG185">
        <v>0.77493999999999996</v>
      </c>
      <c r="EH185">
        <v>0.95089999999999997</v>
      </c>
      <c r="EI185">
        <v>0.91295999999999999</v>
      </c>
      <c r="EJ185">
        <v>0.96292</v>
      </c>
      <c r="EK185">
        <v>0.87594000000000005</v>
      </c>
      <c r="EL185">
        <v>0.98155999999999999</v>
      </c>
      <c r="EM185">
        <v>0.9748</v>
      </c>
      <c r="EN185">
        <v>1.0044200000000001</v>
      </c>
      <c r="EO185">
        <v>1.0214000000000001</v>
      </c>
      <c r="EP185">
        <v>0.88244</v>
      </c>
      <c r="EQ185">
        <v>0.84523999999999999</v>
      </c>
      <c r="ER185">
        <v>0.81735999999999998</v>
      </c>
      <c r="ES185">
        <v>0.90669999999999995</v>
      </c>
    </row>
    <row r="186" spans="1:149" x14ac:dyDescent="0.35">
      <c r="A186" s="77"/>
      <c r="B186" s="77">
        <v>584</v>
      </c>
      <c r="C186" s="77">
        <v>0.46875</v>
      </c>
      <c r="D186" s="77">
        <v>0.33239999999999997</v>
      </c>
      <c r="E186" s="77">
        <v>0.51070000000000004</v>
      </c>
      <c r="F186" s="77">
        <v>0.38750000000000001</v>
      </c>
      <c r="G186" s="77">
        <v>0.47544999999999998</v>
      </c>
      <c r="H186" s="77">
        <v>0.45656000000000002</v>
      </c>
      <c r="I186" s="77">
        <v>0.48158000000000001</v>
      </c>
      <c r="J186" s="77">
        <v>0.43808000000000002</v>
      </c>
      <c r="K186" s="77">
        <v>0.49092000000000002</v>
      </c>
      <c r="L186" s="77">
        <v>0.48763000000000001</v>
      </c>
      <c r="M186" s="77">
        <v>0.50226999999999999</v>
      </c>
      <c r="N186" s="77">
        <v>0.51097000000000004</v>
      </c>
      <c r="O186" s="77">
        <v>0.44112000000000001</v>
      </c>
      <c r="P186" s="77">
        <v>0.42242000000000002</v>
      </c>
      <c r="Q186" s="77">
        <v>0.40849000000000002</v>
      </c>
      <c r="R186" s="77">
        <v>0.45329000000000003</v>
      </c>
      <c r="T186">
        <v>584</v>
      </c>
      <c r="U186">
        <f t="shared" si="32"/>
        <v>0.9375</v>
      </c>
      <c r="V186">
        <f t="shared" si="33"/>
        <v>0.66479999999999995</v>
      </c>
      <c r="W186">
        <f t="shared" si="34"/>
        <v>1.0214000000000001</v>
      </c>
      <c r="X186">
        <f t="shared" si="35"/>
        <v>0.77500000000000002</v>
      </c>
      <c r="Y186">
        <f t="shared" si="36"/>
        <v>0.95089999999999997</v>
      </c>
      <c r="Z186">
        <f t="shared" si="37"/>
        <v>0.91312000000000004</v>
      </c>
      <c r="AA186">
        <f t="shared" si="38"/>
        <v>0.96316000000000002</v>
      </c>
      <c r="AB186">
        <f t="shared" si="39"/>
        <v>0.87616000000000005</v>
      </c>
      <c r="AC186">
        <f t="shared" si="40"/>
        <v>0.98184000000000005</v>
      </c>
      <c r="AD186">
        <f t="shared" si="41"/>
        <v>0.97526000000000002</v>
      </c>
      <c r="AE186">
        <f t="shared" si="42"/>
        <v>1.00454</v>
      </c>
      <c r="AF186">
        <f t="shared" si="43"/>
        <v>1.0219400000000001</v>
      </c>
      <c r="AG186">
        <f t="shared" si="44"/>
        <v>0.88224000000000002</v>
      </c>
      <c r="AH186">
        <f t="shared" si="45"/>
        <v>0.84484000000000004</v>
      </c>
      <c r="AI186">
        <f t="shared" si="46"/>
        <v>0.81698000000000004</v>
      </c>
      <c r="AJ186">
        <f t="shared" si="47"/>
        <v>0.90658000000000005</v>
      </c>
      <c r="EC186">
        <v>584</v>
      </c>
      <c r="ED186">
        <v>0.9375</v>
      </c>
      <c r="EE186">
        <v>0.66479999999999995</v>
      </c>
      <c r="EF186">
        <v>1.0214000000000001</v>
      </c>
      <c r="EG186">
        <v>0.77500000000000002</v>
      </c>
      <c r="EH186">
        <v>0.95089999999999997</v>
      </c>
      <c r="EI186">
        <v>0.91312000000000004</v>
      </c>
      <c r="EJ186">
        <v>0.96316000000000002</v>
      </c>
      <c r="EK186">
        <v>0.87616000000000005</v>
      </c>
      <c r="EL186">
        <v>0.98184000000000005</v>
      </c>
      <c r="EM186">
        <v>0.97526000000000002</v>
      </c>
      <c r="EN186">
        <v>1.00454</v>
      </c>
      <c r="EO186">
        <v>1.0219400000000001</v>
      </c>
      <c r="EP186">
        <v>0.88224000000000002</v>
      </c>
      <c r="EQ186">
        <v>0.84484000000000004</v>
      </c>
      <c r="ER186">
        <v>0.81698000000000004</v>
      </c>
      <c r="ES186">
        <v>0.90658000000000005</v>
      </c>
    </row>
    <row r="187" spans="1:149" x14ac:dyDescent="0.35">
      <c r="A187" s="77"/>
      <c r="B187" s="77">
        <v>585</v>
      </c>
      <c r="C187" s="77">
        <v>0.46870000000000001</v>
      </c>
      <c r="D187" s="77">
        <v>0.33238000000000001</v>
      </c>
      <c r="E187" s="77">
        <v>0.51073000000000002</v>
      </c>
      <c r="F187" s="77">
        <v>0.38750000000000001</v>
      </c>
      <c r="G187" s="77">
        <v>0.47560000000000002</v>
      </c>
      <c r="H187" s="77">
        <v>0.45659</v>
      </c>
      <c r="I187" s="77">
        <v>0.48165999999999998</v>
      </c>
      <c r="J187" s="77">
        <v>0.43797000000000003</v>
      </c>
      <c r="K187" s="77">
        <v>0.49107000000000001</v>
      </c>
      <c r="L187" s="77">
        <v>0.48776000000000003</v>
      </c>
      <c r="M187" s="77">
        <v>0.50233000000000005</v>
      </c>
      <c r="N187" s="77">
        <v>0.51107999999999998</v>
      </c>
      <c r="O187" s="77">
        <v>0.44091999999999998</v>
      </c>
      <c r="P187" s="77">
        <v>0.42220999999999997</v>
      </c>
      <c r="Q187" s="77">
        <v>0.40837000000000001</v>
      </c>
      <c r="R187" s="77">
        <v>0.45308999999999999</v>
      </c>
      <c r="T187">
        <v>585</v>
      </c>
      <c r="U187">
        <f t="shared" si="32"/>
        <v>0.93740000000000001</v>
      </c>
      <c r="V187">
        <f t="shared" si="33"/>
        <v>0.66476000000000002</v>
      </c>
      <c r="W187">
        <f t="shared" si="34"/>
        <v>1.02146</v>
      </c>
      <c r="X187">
        <f t="shared" si="35"/>
        <v>0.77500000000000002</v>
      </c>
      <c r="Y187">
        <f t="shared" si="36"/>
        <v>0.95120000000000005</v>
      </c>
      <c r="Z187">
        <f t="shared" si="37"/>
        <v>0.91317999999999999</v>
      </c>
      <c r="AA187">
        <f t="shared" si="38"/>
        <v>0.96331999999999995</v>
      </c>
      <c r="AB187">
        <f t="shared" si="39"/>
        <v>0.87594000000000005</v>
      </c>
      <c r="AC187">
        <f t="shared" si="40"/>
        <v>0.98214000000000001</v>
      </c>
      <c r="AD187">
        <f t="shared" si="41"/>
        <v>0.97552000000000005</v>
      </c>
      <c r="AE187">
        <f t="shared" si="42"/>
        <v>1.0046600000000001</v>
      </c>
      <c r="AF187">
        <f t="shared" si="43"/>
        <v>1.02216</v>
      </c>
      <c r="AG187">
        <f t="shared" si="44"/>
        <v>0.88183999999999996</v>
      </c>
      <c r="AH187">
        <f t="shared" si="45"/>
        <v>0.84441999999999995</v>
      </c>
      <c r="AI187">
        <f t="shared" si="46"/>
        <v>0.81674000000000002</v>
      </c>
      <c r="AJ187">
        <f t="shared" si="47"/>
        <v>0.90617999999999999</v>
      </c>
      <c r="EC187">
        <v>585</v>
      </c>
      <c r="ED187">
        <v>0.93740000000000001</v>
      </c>
      <c r="EE187">
        <v>0.66476000000000002</v>
      </c>
      <c r="EF187">
        <v>1.02146</v>
      </c>
      <c r="EG187">
        <v>0.77500000000000002</v>
      </c>
      <c r="EH187">
        <v>0.95120000000000005</v>
      </c>
      <c r="EI187">
        <v>0.91317999999999999</v>
      </c>
      <c r="EJ187">
        <v>0.96331999999999995</v>
      </c>
      <c r="EK187">
        <v>0.87594000000000005</v>
      </c>
      <c r="EL187">
        <v>0.98214000000000001</v>
      </c>
      <c r="EM187">
        <v>0.97552000000000005</v>
      </c>
      <c r="EN187">
        <v>1.0046600000000001</v>
      </c>
      <c r="EO187">
        <v>1.02216</v>
      </c>
      <c r="EP187">
        <v>0.88183999999999996</v>
      </c>
      <c r="EQ187">
        <v>0.84441999999999995</v>
      </c>
      <c r="ER187">
        <v>0.81674000000000002</v>
      </c>
      <c r="ES187">
        <v>0.90617999999999999</v>
      </c>
    </row>
    <row r="188" spans="1:149" x14ac:dyDescent="0.35">
      <c r="A188" s="77"/>
      <c r="B188" s="77">
        <v>586</v>
      </c>
      <c r="C188" s="77">
        <v>0.46862999999999999</v>
      </c>
      <c r="D188" s="77">
        <v>0.33228000000000002</v>
      </c>
      <c r="E188" s="77">
        <v>0.51073000000000002</v>
      </c>
      <c r="F188" s="77">
        <v>0.38736999999999999</v>
      </c>
      <c r="G188" s="77">
        <v>0.47563</v>
      </c>
      <c r="H188" s="77">
        <v>0.45667999999999997</v>
      </c>
      <c r="I188" s="77">
        <v>0.48163</v>
      </c>
      <c r="J188" s="77">
        <v>0.43781999999999999</v>
      </c>
      <c r="K188" s="77">
        <v>0.49120999999999998</v>
      </c>
      <c r="L188" s="77">
        <v>0.48784</v>
      </c>
      <c r="M188" s="77">
        <v>0.50246000000000002</v>
      </c>
      <c r="N188" s="77">
        <v>0.51107999999999998</v>
      </c>
      <c r="O188" s="77">
        <v>0.44092999999999999</v>
      </c>
      <c r="P188" s="77">
        <v>0.42220999999999997</v>
      </c>
      <c r="Q188" s="77">
        <v>0.40838999999999998</v>
      </c>
      <c r="R188" s="77">
        <v>0.45305000000000001</v>
      </c>
      <c r="T188">
        <v>586</v>
      </c>
      <c r="U188">
        <f t="shared" si="32"/>
        <v>0.93725999999999998</v>
      </c>
      <c r="V188">
        <f t="shared" si="33"/>
        <v>0.66456000000000004</v>
      </c>
      <c r="W188">
        <f t="shared" si="34"/>
        <v>1.02146</v>
      </c>
      <c r="X188">
        <f t="shared" si="35"/>
        <v>0.77473999999999998</v>
      </c>
      <c r="Y188">
        <f t="shared" si="36"/>
        <v>0.95125999999999999</v>
      </c>
      <c r="Z188">
        <f t="shared" si="37"/>
        <v>0.91335999999999995</v>
      </c>
      <c r="AA188">
        <f t="shared" si="38"/>
        <v>0.96326000000000001</v>
      </c>
      <c r="AB188">
        <f t="shared" si="39"/>
        <v>0.87563999999999997</v>
      </c>
      <c r="AC188">
        <f t="shared" si="40"/>
        <v>0.98241999999999996</v>
      </c>
      <c r="AD188">
        <f t="shared" si="41"/>
        <v>0.97567999999999999</v>
      </c>
      <c r="AE188">
        <f t="shared" si="42"/>
        <v>1.00492</v>
      </c>
      <c r="AF188">
        <f t="shared" si="43"/>
        <v>1.02216</v>
      </c>
      <c r="AG188">
        <f t="shared" si="44"/>
        <v>0.88185999999999998</v>
      </c>
      <c r="AH188">
        <f t="shared" si="45"/>
        <v>0.84441999999999995</v>
      </c>
      <c r="AI188">
        <f t="shared" si="46"/>
        <v>0.81677999999999995</v>
      </c>
      <c r="AJ188">
        <f t="shared" si="47"/>
        <v>0.90610000000000002</v>
      </c>
      <c r="EC188">
        <v>586</v>
      </c>
      <c r="ED188">
        <v>0.93725999999999998</v>
      </c>
      <c r="EE188">
        <v>0.66456000000000004</v>
      </c>
      <c r="EF188">
        <v>1.02146</v>
      </c>
      <c r="EG188">
        <v>0.77473999999999998</v>
      </c>
      <c r="EH188">
        <v>0.95125999999999999</v>
      </c>
      <c r="EI188">
        <v>0.91335999999999995</v>
      </c>
      <c r="EJ188">
        <v>0.96326000000000001</v>
      </c>
      <c r="EK188">
        <v>0.87563999999999997</v>
      </c>
      <c r="EL188">
        <v>0.98241999999999996</v>
      </c>
      <c r="EM188">
        <v>0.97567999999999999</v>
      </c>
      <c r="EN188">
        <v>1.00492</v>
      </c>
      <c r="EO188">
        <v>1.02216</v>
      </c>
      <c r="EP188">
        <v>0.88185999999999998</v>
      </c>
      <c r="EQ188">
        <v>0.84441999999999995</v>
      </c>
      <c r="ER188">
        <v>0.81677999999999995</v>
      </c>
      <c r="ES188">
        <v>0.90610000000000002</v>
      </c>
    </row>
    <row r="189" spans="1:149" x14ac:dyDescent="0.35">
      <c r="A189" s="77"/>
      <c r="B189" s="77">
        <v>587</v>
      </c>
      <c r="C189" s="77">
        <v>0.46860000000000002</v>
      </c>
      <c r="D189" s="77">
        <v>0.33212000000000003</v>
      </c>
      <c r="E189" s="77">
        <v>0.51076999999999995</v>
      </c>
      <c r="F189" s="77">
        <v>0.38733000000000001</v>
      </c>
      <c r="G189" s="77">
        <v>0.47585</v>
      </c>
      <c r="H189" s="77">
        <v>0.45673999999999998</v>
      </c>
      <c r="I189" s="77">
        <v>0.4819</v>
      </c>
      <c r="J189" s="77">
        <v>0.43798999999999999</v>
      </c>
      <c r="K189" s="77">
        <v>0.49132999999999999</v>
      </c>
      <c r="L189" s="77">
        <v>0.48798999999999998</v>
      </c>
      <c r="M189" s="77">
        <v>0.50251999999999997</v>
      </c>
      <c r="N189" s="77">
        <v>0.51137999999999995</v>
      </c>
      <c r="O189" s="77">
        <v>0.44073000000000001</v>
      </c>
      <c r="P189" s="77">
        <v>0.42205999999999999</v>
      </c>
      <c r="Q189" s="77">
        <v>0.40822999999999998</v>
      </c>
      <c r="R189" s="77">
        <v>0.45288</v>
      </c>
      <c r="T189">
        <v>587</v>
      </c>
      <c r="U189">
        <f t="shared" si="32"/>
        <v>0.93720000000000003</v>
      </c>
      <c r="V189">
        <f t="shared" si="33"/>
        <v>0.66424000000000005</v>
      </c>
      <c r="W189">
        <f t="shared" si="34"/>
        <v>1.0215399999999999</v>
      </c>
      <c r="X189">
        <f t="shared" si="35"/>
        <v>0.77466000000000002</v>
      </c>
      <c r="Y189">
        <f t="shared" si="36"/>
        <v>0.95169999999999999</v>
      </c>
      <c r="Z189">
        <f t="shared" si="37"/>
        <v>0.91347999999999996</v>
      </c>
      <c r="AA189">
        <f t="shared" si="38"/>
        <v>0.96379999999999999</v>
      </c>
      <c r="AB189">
        <f t="shared" si="39"/>
        <v>0.87597999999999998</v>
      </c>
      <c r="AC189">
        <f t="shared" si="40"/>
        <v>0.98265999999999998</v>
      </c>
      <c r="AD189">
        <f t="shared" si="41"/>
        <v>0.97597999999999996</v>
      </c>
      <c r="AE189">
        <f t="shared" si="42"/>
        <v>1.0050399999999999</v>
      </c>
      <c r="AF189">
        <f t="shared" si="43"/>
        <v>1.0227599999999999</v>
      </c>
      <c r="AG189">
        <f t="shared" si="44"/>
        <v>0.88146000000000002</v>
      </c>
      <c r="AH189">
        <f t="shared" si="45"/>
        <v>0.84411999999999998</v>
      </c>
      <c r="AI189">
        <f t="shared" si="46"/>
        <v>0.81645999999999996</v>
      </c>
      <c r="AJ189">
        <f t="shared" si="47"/>
        <v>0.90576000000000001</v>
      </c>
      <c r="EC189">
        <v>587</v>
      </c>
      <c r="ED189">
        <v>0.93720000000000003</v>
      </c>
      <c r="EE189">
        <v>0.66424000000000005</v>
      </c>
      <c r="EF189">
        <v>1.0215399999999999</v>
      </c>
      <c r="EG189">
        <v>0.77466000000000002</v>
      </c>
      <c r="EH189">
        <v>0.95169999999999999</v>
      </c>
      <c r="EI189">
        <v>0.91347999999999996</v>
      </c>
      <c r="EJ189">
        <v>0.96379999999999999</v>
      </c>
      <c r="EK189">
        <v>0.87597999999999998</v>
      </c>
      <c r="EL189">
        <v>0.98265999999999998</v>
      </c>
      <c r="EM189">
        <v>0.97597999999999996</v>
      </c>
      <c r="EN189">
        <v>1.0050399999999999</v>
      </c>
      <c r="EO189">
        <v>1.0227599999999999</v>
      </c>
      <c r="EP189">
        <v>0.88146000000000002</v>
      </c>
      <c r="EQ189">
        <v>0.84411999999999998</v>
      </c>
      <c r="ER189">
        <v>0.81645999999999996</v>
      </c>
      <c r="ES189">
        <v>0.90576000000000001</v>
      </c>
    </row>
    <row r="190" spans="1:149" x14ac:dyDescent="0.35">
      <c r="A190" s="77"/>
      <c r="B190" s="77">
        <v>588</v>
      </c>
      <c r="C190" s="77">
        <v>0.46862999999999999</v>
      </c>
      <c r="D190" s="77">
        <v>0.33226</v>
      </c>
      <c r="E190" s="77">
        <v>0.51080000000000003</v>
      </c>
      <c r="F190" s="77">
        <v>0.38733000000000001</v>
      </c>
      <c r="G190" s="77">
        <v>0.47577999999999998</v>
      </c>
      <c r="H190" s="77">
        <v>0.45679999999999998</v>
      </c>
      <c r="I190" s="77">
        <v>0.48193000000000003</v>
      </c>
      <c r="J190" s="77">
        <v>0.43784000000000001</v>
      </c>
      <c r="K190" s="77">
        <v>0.49152000000000001</v>
      </c>
      <c r="L190" s="77">
        <v>0.48804999999999998</v>
      </c>
      <c r="M190" s="77">
        <v>0.50256000000000001</v>
      </c>
      <c r="N190" s="77">
        <v>0.51141000000000003</v>
      </c>
      <c r="O190" s="77">
        <v>0.44069000000000003</v>
      </c>
      <c r="P190" s="77">
        <v>0.42201</v>
      </c>
      <c r="Q190" s="77">
        <v>0.40806999999999999</v>
      </c>
      <c r="R190" s="77">
        <v>0.45282</v>
      </c>
      <c r="T190">
        <v>588</v>
      </c>
      <c r="U190">
        <f t="shared" si="32"/>
        <v>0.93725999999999998</v>
      </c>
      <c r="V190">
        <f t="shared" si="33"/>
        <v>0.66452</v>
      </c>
      <c r="W190">
        <f t="shared" si="34"/>
        <v>1.0216000000000001</v>
      </c>
      <c r="X190">
        <f t="shared" si="35"/>
        <v>0.77466000000000002</v>
      </c>
      <c r="Y190">
        <f t="shared" si="36"/>
        <v>0.95155999999999996</v>
      </c>
      <c r="Z190">
        <f t="shared" si="37"/>
        <v>0.91359999999999997</v>
      </c>
      <c r="AA190">
        <f t="shared" si="38"/>
        <v>0.96386000000000005</v>
      </c>
      <c r="AB190">
        <f t="shared" si="39"/>
        <v>0.87568000000000001</v>
      </c>
      <c r="AC190">
        <f t="shared" si="40"/>
        <v>0.98304000000000002</v>
      </c>
      <c r="AD190">
        <f t="shared" si="41"/>
        <v>0.97609999999999997</v>
      </c>
      <c r="AE190">
        <f t="shared" si="42"/>
        <v>1.00512</v>
      </c>
      <c r="AF190">
        <f t="shared" si="43"/>
        <v>1.0228200000000001</v>
      </c>
      <c r="AG190">
        <f t="shared" si="44"/>
        <v>0.88138000000000005</v>
      </c>
      <c r="AH190">
        <f t="shared" si="45"/>
        <v>0.84401999999999999</v>
      </c>
      <c r="AI190">
        <f t="shared" si="46"/>
        <v>0.81613999999999998</v>
      </c>
      <c r="AJ190">
        <f t="shared" si="47"/>
        <v>0.90564</v>
      </c>
      <c r="EC190">
        <v>588</v>
      </c>
      <c r="ED190">
        <v>0.93725999999999998</v>
      </c>
      <c r="EE190">
        <v>0.66452</v>
      </c>
      <c r="EF190">
        <v>1.0216000000000001</v>
      </c>
      <c r="EG190">
        <v>0.77466000000000002</v>
      </c>
      <c r="EH190">
        <v>0.95155999999999996</v>
      </c>
      <c r="EI190">
        <v>0.91359999999999997</v>
      </c>
      <c r="EJ190">
        <v>0.96386000000000005</v>
      </c>
      <c r="EK190">
        <v>0.87568000000000001</v>
      </c>
      <c r="EL190">
        <v>0.98304000000000002</v>
      </c>
      <c r="EM190">
        <v>0.97609999999999997</v>
      </c>
      <c r="EN190">
        <v>1.00512</v>
      </c>
      <c r="EO190">
        <v>1.0228200000000001</v>
      </c>
      <c r="EP190">
        <v>0.88138000000000005</v>
      </c>
      <c r="EQ190">
        <v>0.84401999999999999</v>
      </c>
      <c r="ER190">
        <v>0.81613999999999998</v>
      </c>
      <c r="ES190">
        <v>0.90564</v>
      </c>
    </row>
    <row r="191" spans="1:149" x14ac:dyDescent="0.35">
      <c r="A191" s="77"/>
      <c r="B191" s="77">
        <v>589</v>
      </c>
      <c r="C191" s="77">
        <v>0.46860000000000002</v>
      </c>
      <c r="D191" s="77">
        <v>0.3322</v>
      </c>
      <c r="E191" s="77">
        <v>0.51076999999999995</v>
      </c>
      <c r="F191" s="77">
        <v>0.38741999999999999</v>
      </c>
      <c r="G191" s="77">
        <v>0.47588999999999998</v>
      </c>
      <c r="H191" s="77">
        <v>0.45690999999999998</v>
      </c>
      <c r="I191" s="77">
        <v>0.48209000000000002</v>
      </c>
      <c r="J191" s="77">
        <v>0.43790000000000001</v>
      </c>
      <c r="K191" s="77">
        <v>0.49164999999999998</v>
      </c>
      <c r="L191" s="77">
        <v>0.48825000000000002</v>
      </c>
      <c r="M191" s="77">
        <v>0.50275999999999998</v>
      </c>
      <c r="N191" s="77">
        <v>0.51154999999999995</v>
      </c>
      <c r="O191" s="77">
        <v>0.44069999999999998</v>
      </c>
      <c r="P191" s="77">
        <v>0.42197000000000001</v>
      </c>
      <c r="Q191" s="77">
        <v>0.40816999999999998</v>
      </c>
      <c r="R191" s="77">
        <v>0.45294000000000001</v>
      </c>
      <c r="T191">
        <v>589</v>
      </c>
      <c r="U191">
        <f t="shared" si="32"/>
        <v>0.93720000000000003</v>
      </c>
      <c r="V191">
        <f t="shared" si="33"/>
        <v>0.66439999999999999</v>
      </c>
      <c r="W191">
        <f t="shared" si="34"/>
        <v>1.0215399999999999</v>
      </c>
      <c r="X191">
        <f t="shared" si="35"/>
        <v>0.77483999999999997</v>
      </c>
      <c r="Y191">
        <f t="shared" si="36"/>
        <v>0.95177999999999996</v>
      </c>
      <c r="Z191">
        <f t="shared" si="37"/>
        <v>0.91381999999999997</v>
      </c>
      <c r="AA191">
        <f t="shared" si="38"/>
        <v>0.96418000000000004</v>
      </c>
      <c r="AB191">
        <f t="shared" si="39"/>
        <v>0.87580000000000002</v>
      </c>
      <c r="AC191">
        <f t="shared" si="40"/>
        <v>0.98329999999999995</v>
      </c>
      <c r="AD191">
        <f t="shared" si="41"/>
        <v>0.97650000000000003</v>
      </c>
      <c r="AE191">
        <f t="shared" si="42"/>
        <v>1.00552</v>
      </c>
      <c r="AF191">
        <f t="shared" si="43"/>
        <v>1.0230999999999999</v>
      </c>
      <c r="AG191">
        <f t="shared" si="44"/>
        <v>0.88139999999999996</v>
      </c>
      <c r="AH191">
        <f t="shared" si="45"/>
        <v>0.84394000000000002</v>
      </c>
      <c r="AI191">
        <f t="shared" si="46"/>
        <v>0.81633999999999995</v>
      </c>
      <c r="AJ191">
        <f t="shared" si="47"/>
        <v>0.90588000000000002</v>
      </c>
      <c r="EC191">
        <v>589</v>
      </c>
      <c r="ED191">
        <v>0.93720000000000003</v>
      </c>
      <c r="EE191">
        <v>0.66439999999999999</v>
      </c>
      <c r="EF191">
        <v>1.0215399999999999</v>
      </c>
      <c r="EG191">
        <v>0.77483999999999997</v>
      </c>
      <c r="EH191">
        <v>0.95177999999999996</v>
      </c>
      <c r="EI191">
        <v>0.91381999999999997</v>
      </c>
      <c r="EJ191">
        <v>0.96418000000000004</v>
      </c>
      <c r="EK191">
        <v>0.87580000000000002</v>
      </c>
      <c r="EL191">
        <v>0.98329999999999995</v>
      </c>
      <c r="EM191">
        <v>0.97650000000000003</v>
      </c>
      <c r="EN191">
        <v>1.00552</v>
      </c>
      <c r="EO191">
        <v>1.0230999999999999</v>
      </c>
      <c r="EP191">
        <v>0.88139999999999996</v>
      </c>
      <c r="EQ191">
        <v>0.84394000000000002</v>
      </c>
      <c r="ER191">
        <v>0.81633999999999995</v>
      </c>
      <c r="ES191">
        <v>0.90588000000000002</v>
      </c>
    </row>
    <row r="192" spans="1:149" x14ac:dyDescent="0.35">
      <c r="A192" s="77"/>
      <c r="B192" s="77">
        <v>590</v>
      </c>
      <c r="C192" s="77">
        <v>0.46838000000000002</v>
      </c>
      <c r="D192" s="77">
        <v>0.33211000000000002</v>
      </c>
      <c r="E192" s="77">
        <v>0.51066999999999996</v>
      </c>
      <c r="F192" s="77">
        <v>0.38727</v>
      </c>
      <c r="G192" s="77">
        <v>0.47577000000000003</v>
      </c>
      <c r="H192" s="77">
        <v>0.45690999999999998</v>
      </c>
      <c r="I192" s="77">
        <v>0.48204000000000002</v>
      </c>
      <c r="J192" s="77">
        <v>0.43779000000000001</v>
      </c>
      <c r="K192" s="77">
        <v>0.49170999999999998</v>
      </c>
      <c r="L192" s="77">
        <v>0.48819000000000001</v>
      </c>
      <c r="M192" s="77">
        <v>0.50270000000000004</v>
      </c>
      <c r="N192" s="77">
        <v>0.51151999999999997</v>
      </c>
      <c r="O192" s="77">
        <v>0.44051000000000001</v>
      </c>
      <c r="P192" s="77">
        <v>0.42186000000000001</v>
      </c>
      <c r="Q192" s="77">
        <v>0.40808</v>
      </c>
      <c r="R192" s="77">
        <v>0.45273999999999998</v>
      </c>
      <c r="T192">
        <v>590</v>
      </c>
      <c r="U192">
        <f t="shared" si="32"/>
        <v>0.93676000000000004</v>
      </c>
      <c r="V192">
        <f t="shared" si="33"/>
        <v>0.66422000000000003</v>
      </c>
      <c r="W192">
        <f t="shared" si="34"/>
        <v>1.0213399999999999</v>
      </c>
      <c r="X192">
        <f t="shared" si="35"/>
        <v>0.77454000000000001</v>
      </c>
      <c r="Y192">
        <f t="shared" si="36"/>
        <v>0.95154000000000005</v>
      </c>
      <c r="Z192">
        <f t="shared" si="37"/>
        <v>0.91381999999999997</v>
      </c>
      <c r="AA192">
        <f t="shared" si="38"/>
        <v>0.96408000000000005</v>
      </c>
      <c r="AB192">
        <f t="shared" si="39"/>
        <v>0.87558000000000002</v>
      </c>
      <c r="AC192">
        <f t="shared" si="40"/>
        <v>0.98341999999999996</v>
      </c>
      <c r="AD192">
        <f t="shared" si="41"/>
        <v>0.97638000000000003</v>
      </c>
      <c r="AE192">
        <f t="shared" si="42"/>
        <v>1.0054000000000001</v>
      </c>
      <c r="AF192">
        <f t="shared" si="43"/>
        <v>1.0230399999999999</v>
      </c>
      <c r="AG192">
        <f t="shared" si="44"/>
        <v>0.88102000000000003</v>
      </c>
      <c r="AH192">
        <f t="shared" si="45"/>
        <v>0.84372000000000003</v>
      </c>
      <c r="AI192">
        <f t="shared" si="46"/>
        <v>0.81616</v>
      </c>
      <c r="AJ192">
        <f t="shared" si="47"/>
        <v>0.90547999999999995</v>
      </c>
      <c r="EC192">
        <v>590</v>
      </c>
      <c r="ED192">
        <v>0.93676000000000004</v>
      </c>
      <c r="EE192">
        <v>0.66422000000000003</v>
      </c>
      <c r="EF192">
        <v>1.0213399999999999</v>
      </c>
      <c r="EG192">
        <v>0.77454000000000001</v>
      </c>
      <c r="EH192">
        <v>0.95154000000000005</v>
      </c>
      <c r="EI192">
        <v>0.91381999999999997</v>
      </c>
      <c r="EJ192">
        <v>0.96408000000000005</v>
      </c>
      <c r="EK192">
        <v>0.87558000000000002</v>
      </c>
      <c r="EL192">
        <v>0.98341999999999996</v>
      </c>
      <c r="EM192">
        <v>0.97638000000000003</v>
      </c>
      <c r="EN192">
        <v>1.0054000000000001</v>
      </c>
      <c r="EO192">
        <v>1.0230399999999999</v>
      </c>
      <c r="EP192">
        <v>0.88102000000000003</v>
      </c>
      <c r="EQ192">
        <v>0.84372000000000003</v>
      </c>
      <c r="ER192">
        <v>0.81616</v>
      </c>
      <c r="ES192">
        <v>0.90547999999999995</v>
      </c>
    </row>
    <row r="193" spans="1:149" x14ac:dyDescent="0.35">
      <c r="A193" s="77"/>
      <c r="B193" s="77">
        <v>591</v>
      </c>
      <c r="C193" s="77">
        <v>0.46834999999999999</v>
      </c>
      <c r="D193" s="77">
        <v>0.33200000000000002</v>
      </c>
      <c r="E193" s="77">
        <v>0.51056999999999997</v>
      </c>
      <c r="F193" s="77">
        <v>0.38696000000000003</v>
      </c>
      <c r="G193" s="77">
        <v>0.47577999999999998</v>
      </c>
      <c r="H193" s="77">
        <v>0.45696999999999999</v>
      </c>
      <c r="I193" s="77">
        <v>0.48211999999999999</v>
      </c>
      <c r="J193" s="77">
        <v>0.43767</v>
      </c>
      <c r="K193" s="77">
        <v>0.49177999999999999</v>
      </c>
      <c r="L193" s="77">
        <v>0.48832999999999999</v>
      </c>
      <c r="M193" s="77">
        <v>0.50270000000000004</v>
      </c>
      <c r="N193" s="77">
        <v>0.51163999999999998</v>
      </c>
      <c r="O193" s="77">
        <v>0.44046000000000002</v>
      </c>
      <c r="P193" s="77">
        <v>0.42174</v>
      </c>
      <c r="Q193" s="77">
        <v>0.40799999999999997</v>
      </c>
      <c r="R193" s="77">
        <v>0.45262000000000002</v>
      </c>
      <c r="T193">
        <v>591</v>
      </c>
      <c r="U193">
        <f t="shared" si="32"/>
        <v>0.93669999999999998</v>
      </c>
      <c r="V193">
        <f t="shared" si="33"/>
        <v>0.66400000000000003</v>
      </c>
      <c r="W193">
        <f t="shared" si="34"/>
        <v>1.0211399999999999</v>
      </c>
      <c r="X193">
        <f t="shared" si="35"/>
        <v>0.77392000000000005</v>
      </c>
      <c r="Y193">
        <f t="shared" si="36"/>
        <v>0.95155999999999996</v>
      </c>
      <c r="Z193">
        <f t="shared" si="37"/>
        <v>0.91393999999999997</v>
      </c>
      <c r="AA193">
        <f t="shared" si="38"/>
        <v>0.96423999999999999</v>
      </c>
      <c r="AB193">
        <f t="shared" si="39"/>
        <v>0.87534000000000001</v>
      </c>
      <c r="AC193">
        <f t="shared" si="40"/>
        <v>0.98355999999999999</v>
      </c>
      <c r="AD193">
        <f t="shared" si="41"/>
        <v>0.97665999999999997</v>
      </c>
      <c r="AE193">
        <f t="shared" si="42"/>
        <v>1.0054000000000001</v>
      </c>
      <c r="AF193">
        <f t="shared" si="43"/>
        <v>1.02328</v>
      </c>
      <c r="AG193">
        <f t="shared" si="44"/>
        <v>0.88092000000000004</v>
      </c>
      <c r="AH193">
        <f t="shared" si="45"/>
        <v>0.84348000000000001</v>
      </c>
      <c r="AI193">
        <f t="shared" si="46"/>
        <v>0.81599999999999995</v>
      </c>
      <c r="AJ193">
        <f t="shared" si="47"/>
        <v>0.90524000000000004</v>
      </c>
      <c r="EC193">
        <v>591</v>
      </c>
      <c r="ED193">
        <v>0.93669999999999998</v>
      </c>
      <c r="EE193">
        <v>0.66400000000000003</v>
      </c>
      <c r="EF193">
        <v>1.0211399999999999</v>
      </c>
      <c r="EG193">
        <v>0.77392000000000005</v>
      </c>
      <c r="EH193">
        <v>0.95155999999999996</v>
      </c>
      <c r="EI193">
        <v>0.91393999999999997</v>
      </c>
      <c r="EJ193">
        <v>0.96423999999999999</v>
      </c>
      <c r="EK193">
        <v>0.87534000000000001</v>
      </c>
      <c r="EL193">
        <v>0.98355999999999999</v>
      </c>
      <c r="EM193">
        <v>0.97665999999999997</v>
      </c>
      <c r="EN193">
        <v>1.0054000000000001</v>
      </c>
      <c r="EO193">
        <v>1.02328</v>
      </c>
      <c r="EP193">
        <v>0.88092000000000004</v>
      </c>
      <c r="EQ193">
        <v>0.84348000000000001</v>
      </c>
      <c r="ER193">
        <v>0.81599999999999995</v>
      </c>
      <c r="ES193">
        <v>0.90524000000000004</v>
      </c>
    </row>
    <row r="194" spans="1:149" x14ac:dyDescent="0.35">
      <c r="A194" s="77"/>
      <c r="B194" s="77">
        <v>592</v>
      </c>
      <c r="C194" s="77">
        <v>0.46828999999999998</v>
      </c>
      <c r="D194" s="77">
        <v>0.33191999999999999</v>
      </c>
      <c r="E194" s="77">
        <v>0.51056000000000001</v>
      </c>
      <c r="F194" s="77">
        <v>0.38697999999999999</v>
      </c>
      <c r="G194" s="77">
        <v>0.47585</v>
      </c>
      <c r="H194" s="77">
        <v>0.45706000000000002</v>
      </c>
      <c r="I194" s="77">
        <v>0.48221999999999998</v>
      </c>
      <c r="J194" s="77">
        <v>0.43758000000000002</v>
      </c>
      <c r="K194" s="77">
        <v>0.49192999999999998</v>
      </c>
      <c r="L194" s="77">
        <v>0.48832999999999999</v>
      </c>
      <c r="M194" s="77">
        <v>0.50266999999999995</v>
      </c>
      <c r="N194" s="77">
        <v>0.51170000000000004</v>
      </c>
      <c r="O194" s="77">
        <v>0.44034000000000001</v>
      </c>
      <c r="P194" s="77">
        <v>0.42154999999999998</v>
      </c>
      <c r="Q194" s="77">
        <v>0.40787000000000001</v>
      </c>
      <c r="R194" s="77">
        <v>0.45250000000000001</v>
      </c>
      <c r="T194">
        <v>592</v>
      </c>
      <c r="U194">
        <f t="shared" si="32"/>
        <v>0.93657999999999997</v>
      </c>
      <c r="V194">
        <f t="shared" si="33"/>
        <v>0.66383999999999999</v>
      </c>
      <c r="W194">
        <f t="shared" si="34"/>
        <v>1.02112</v>
      </c>
      <c r="X194">
        <f t="shared" si="35"/>
        <v>0.77395999999999998</v>
      </c>
      <c r="Y194">
        <f t="shared" si="36"/>
        <v>0.95169999999999999</v>
      </c>
      <c r="Z194">
        <f t="shared" si="37"/>
        <v>0.91412000000000004</v>
      </c>
      <c r="AA194">
        <f t="shared" si="38"/>
        <v>0.96443999999999996</v>
      </c>
      <c r="AB194">
        <f t="shared" si="39"/>
        <v>0.87516000000000005</v>
      </c>
      <c r="AC194">
        <f t="shared" si="40"/>
        <v>0.98385999999999996</v>
      </c>
      <c r="AD194">
        <f t="shared" si="41"/>
        <v>0.97665999999999997</v>
      </c>
      <c r="AE194">
        <f t="shared" si="42"/>
        <v>1.0053399999999999</v>
      </c>
      <c r="AF194">
        <f t="shared" si="43"/>
        <v>1.0234000000000001</v>
      </c>
      <c r="AG194">
        <f t="shared" si="44"/>
        <v>0.88068000000000002</v>
      </c>
      <c r="AH194">
        <f t="shared" si="45"/>
        <v>0.84309999999999996</v>
      </c>
      <c r="AI194">
        <f t="shared" si="46"/>
        <v>0.81574000000000002</v>
      </c>
      <c r="AJ194">
        <f t="shared" si="47"/>
        <v>0.90500000000000003</v>
      </c>
      <c r="EC194">
        <v>592</v>
      </c>
      <c r="ED194">
        <v>0.93657999999999997</v>
      </c>
      <c r="EE194">
        <v>0.66383999999999999</v>
      </c>
      <c r="EF194">
        <v>1.02112</v>
      </c>
      <c r="EG194">
        <v>0.77395999999999998</v>
      </c>
      <c r="EH194">
        <v>0.95169999999999999</v>
      </c>
      <c r="EI194">
        <v>0.91412000000000004</v>
      </c>
      <c r="EJ194">
        <v>0.96443999999999996</v>
      </c>
      <c r="EK194">
        <v>0.87516000000000005</v>
      </c>
      <c r="EL194">
        <v>0.98385999999999996</v>
      </c>
      <c r="EM194">
        <v>0.97665999999999997</v>
      </c>
      <c r="EN194">
        <v>1.0053399999999999</v>
      </c>
      <c r="EO194">
        <v>1.0234000000000001</v>
      </c>
      <c r="EP194">
        <v>0.88068000000000002</v>
      </c>
      <c r="EQ194">
        <v>0.84309999999999996</v>
      </c>
      <c r="ER194">
        <v>0.81574000000000002</v>
      </c>
      <c r="ES194">
        <v>0.90500000000000003</v>
      </c>
    </row>
    <row r="195" spans="1:149" x14ac:dyDescent="0.35">
      <c r="A195" s="77"/>
      <c r="B195" s="77">
        <v>593</v>
      </c>
      <c r="C195" s="77">
        <v>0.46822000000000003</v>
      </c>
      <c r="D195" s="77">
        <v>0.33178999999999997</v>
      </c>
      <c r="E195" s="77">
        <v>0.51044</v>
      </c>
      <c r="F195" s="77">
        <v>0.38690000000000002</v>
      </c>
      <c r="G195" s="77">
        <v>0.47586000000000001</v>
      </c>
      <c r="H195" s="77">
        <v>0.45711000000000002</v>
      </c>
      <c r="I195" s="77">
        <v>0.48227999999999999</v>
      </c>
      <c r="J195" s="77">
        <v>0.43761</v>
      </c>
      <c r="K195" s="77">
        <v>0.49210999999999999</v>
      </c>
      <c r="L195" s="77">
        <v>0.48842999999999998</v>
      </c>
      <c r="M195" s="77">
        <v>0.50280999999999998</v>
      </c>
      <c r="N195" s="77">
        <v>0.51175000000000004</v>
      </c>
      <c r="O195" s="77">
        <v>0.44028</v>
      </c>
      <c r="P195" s="77">
        <v>0.42144999999999999</v>
      </c>
      <c r="Q195" s="77">
        <v>0.40771000000000002</v>
      </c>
      <c r="R195" s="77">
        <v>0.45232</v>
      </c>
      <c r="T195">
        <v>593</v>
      </c>
      <c r="U195">
        <f t="shared" ref="U195:U258" si="48">C195*2</f>
        <v>0.93644000000000005</v>
      </c>
      <c r="V195">
        <f t="shared" ref="V195:V258" si="49">D195*2</f>
        <v>0.66357999999999995</v>
      </c>
      <c r="W195">
        <f t="shared" ref="W195:W258" si="50">E195*2</f>
        <v>1.02088</v>
      </c>
      <c r="X195">
        <f t="shared" ref="X195:X258" si="51">F195*2</f>
        <v>0.77380000000000004</v>
      </c>
      <c r="Y195">
        <f t="shared" ref="Y195:Y258" si="52">G195*2</f>
        <v>0.95172000000000001</v>
      </c>
      <c r="Z195">
        <f t="shared" ref="Z195:Z258" si="53">H195*2</f>
        <v>0.91422000000000003</v>
      </c>
      <c r="AA195">
        <f t="shared" ref="AA195:AA258" si="54">I195*2</f>
        <v>0.96455999999999997</v>
      </c>
      <c r="AB195">
        <f t="shared" ref="AB195:AB258" si="55">J195*2</f>
        <v>0.87522</v>
      </c>
      <c r="AC195">
        <f t="shared" ref="AC195:AC258" si="56">K195*2</f>
        <v>0.98421999999999998</v>
      </c>
      <c r="AD195">
        <f t="shared" ref="AD195:AD258" si="57">L195*2</f>
        <v>0.97685999999999995</v>
      </c>
      <c r="AE195">
        <f t="shared" ref="AE195:AE258" si="58">M195*2</f>
        <v>1.00562</v>
      </c>
      <c r="AF195">
        <f t="shared" ref="AF195:AF258" si="59">N195*2</f>
        <v>1.0235000000000001</v>
      </c>
      <c r="AG195">
        <f t="shared" ref="AG195:AG258" si="60">O195*2</f>
        <v>0.88056000000000001</v>
      </c>
      <c r="AH195">
        <f t="shared" ref="AH195:AH258" si="61">P195*2</f>
        <v>0.84289999999999998</v>
      </c>
      <c r="AI195">
        <f t="shared" ref="AI195:AI258" si="62">Q195*2</f>
        <v>0.81542000000000003</v>
      </c>
      <c r="AJ195">
        <f t="shared" ref="AJ195:AJ258" si="63">R195*2</f>
        <v>0.90464</v>
      </c>
      <c r="EC195">
        <v>593</v>
      </c>
      <c r="ED195">
        <v>0.93644000000000005</v>
      </c>
      <c r="EE195">
        <v>0.66357999999999995</v>
      </c>
      <c r="EF195">
        <v>1.02088</v>
      </c>
      <c r="EG195">
        <v>0.77380000000000004</v>
      </c>
      <c r="EH195">
        <v>0.95172000000000001</v>
      </c>
      <c r="EI195">
        <v>0.91422000000000003</v>
      </c>
      <c r="EJ195">
        <v>0.96455999999999997</v>
      </c>
      <c r="EK195">
        <v>0.87522</v>
      </c>
      <c r="EL195">
        <v>0.98421999999999998</v>
      </c>
      <c r="EM195">
        <v>0.97685999999999995</v>
      </c>
      <c r="EN195">
        <v>1.00562</v>
      </c>
      <c r="EO195">
        <v>1.0235000000000001</v>
      </c>
      <c r="EP195">
        <v>0.88056000000000001</v>
      </c>
      <c r="EQ195">
        <v>0.84289999999999998</v>
      </c>
      <c r="ER195">
        <v>0.81542000000000003</v>
      </c>
      <c r="ES195">
        <v>0.90464</v>
      </c>
    </row>
    <row r="196" spans="1:149" x14ac:dyDescent="0.35">
      <c r="A196" s="77"/>
      <c r="B196" s="77">
        <v>594</v>
      </c>
      <c r="C196" s="77">
        <v>0.46805000000000002</v>
      </c>
      <c r="D196" s="77">
        <v>0.33171</v>
      </c>
      <c r="E196" s="77">
        <v>0.51029999999999998</v>
      </c>
      <c r="F196" s="77">
        <v>0.38689000000000001</v>
      </c>
      <c r="G196" s="77">
        <v>0.47594999999999998</v>
      </c>
      <c r="H196" s="77">
        <v>0.45709</v>
      </c>
      <c r="I196" s="77">
        <v>0.48230000000000001</v>
      </c>
      <c r="J196" s="77">
        <v>0.4375</v>
      </c>
      <c r="K196" s="77">
        <v>0.49215999999999999</v>
      </c>
      <c r="L196" s="77">
        <v>0.48851</v>
      </c>
      <c r="M196" s="77">
        <v>0.50283999999999995</v>
      </c>
      <c r="N196" s="77">
        <v>0.51187000000000005</v>
      </c>
      <c r="O196" s="77">
        <v>0.44017000000000001</v>
      </c>
      <c r="P196" s="77">
        <v>0.42146</v>
      </c>
      <c r="Q196" s="77">
        <v>0.40766999999999998</v>
      </c>
      <c r="R196" s="77">
        <v>0.45229999999999998</v>
      </c>
      <c r="T196">
        <v>594</v>
      </c>
      <c r="U196">
        <f t="shared" si="48"/>
        <v>0.93610000000000004</v>
      </c>
      <c r="V196">
        <f t="shared" si="49"/>
        <v>0.66342000000000001</v>
      </c>
      <c r="W196">
        <f t="shared" si="50"/>
        <v>1.0206</v>
      </c>
      <c r="X196">
        <f t="shared" si="51"/>
        <v>0.77378000000000002</v>
      </c>
      <c r="Y196">
        <f t="shared" si="52"/>
        <v>0.95189999999999997</v>
      </c>
      <c r="Z196">
        <f t="shared" si="53"/>
        <v>0.91417999999999999</v>
      </c>
      <c r="AA196">
        <f t="shared" si="54"/>
        <v>0.96460000000000001</v>
      </c>
      <c r="AB196">
        <f t="shared" si="55"/>
        <v>0.875</v>
      </c>
      <c r="AC196">
        <f t="shared" si="56"/>
        <v>0.98431999999999997</v>
      </c>
      <c r="AD196">
        <f t="shared" si="57"/>
        <v>0.97702</v>
      </c>
      <c r="AE196">
        <f t="shared" si="58"/>
        <v>1.0056799999999999</v>
      </c>
      <c r="AF196">
        <f t="shared" si="59"/>
        <v>1.0237400000000001</v>
      </c>
      <c r="AG196">
        <f t="shared" si="60"/>
        <v>0.88034000000000001</v>
      </c>
      <c r="AH196">
        <f t="shared" si="61"/>
        <v>0.84292</v>
      </c>
      <c r="AI196">
        <f t="shared" si="62"/>
        <v>0.81533999999999995</v>
      </c>
      <c r="AJ196">
        <f t="shared" si="63"/>
        <v>0.90459999999999996</v>
      </c>
      <c r="EC196">
        <v>594</v>
      </c>
      <c r="ED196">
        <v>0.93610000000000004</v>
      </c>
      <c r="EE196">
        <v>0.66342000000000001</v>
      </c>
      <c r="EF196">
        <v>1.0206</v>
      </c>
      <c r="EG196">
        <v>0.77378000000000002</v>
      </c>
      <c r="EH196">
        <v>0.95189999999999997</v>
      </c>
      <c r="EI196">
        <v>0.91417999999999999</v>
      </c>
      <c r="EJ196">
        <v>0.96460000000000001</v>
      </c>
      <c r="EK196">
        <v>0.875</v>
      </c>
      <c r="EL196">
        <v>0.98431999999999997</v>
      </c>
      <c r="EM196">
        <v>0.97702</v>
      </c>
      <c r="EN196">
        <v>1.0056799999999999</v>
      </c>
      <c r="EO196">
        <v>1.0237400000000001</v>
      </c>
      <c r="EP196">
        <v>0.88034000000000001</v>
      </c>
      <c r="EQ196">
        <v>0.84292</v>
      </c>
      <c r="ER196">
        <v>0.81533999999999995</v>
      </c>
      <c r="ES196">
        <v>0.90459999999999996</v>
      </c>
    </row>
    <row r="197" spans="1:149" x14ac:dyDescent="0.35">
      <c r="A197" s="77"/>
      <c r="B197" s="77">
        <v>595</v>
      </c>
      <c r="C197" s="77">
        <v>0.46793000000000001</v>
      </c>
      <c r="D197" s="77">
        <v>0.33160000000000001</v>
      </c>
      <c r="E197" s="77">
        <v>0.51017999999999997</v>
      </c>
      <c r="F197" s="77">
        <v>0.38675999999999999</v>
      </c>
      <c r="G197" s="77">
        <v>0.47592000000000001</v>
      </c>
      <c r="H197" s="77">
        <v>0.45706000000000002</v>
      </c>
      <c r="I197" s="77">
        <v>0.48224</v>
      </c>
      <c r="J197" s="77">
        <v>0.43733</v>
      </c>
      <c r="K197" s="77">
        <v>0.49215999999999999</v>
      </c>
      <c r="L197" s="77">
        <v>0.48853000000000002</v>
      </c>
      <c r="M197" s="77">
        <v>0.50270000000000004</v>
      </c>
      <c r="N197" s="77">
        <v>0.51183000000000001</v>
      </c>
      <c r="O197" s="77">
        <v>0.43996000000000002</v>
      </c>
      <c r="P197" s="77">
        <v>0.42138999999999999</v>
      </c>
      <c r="Q197" s="77">
        <v>0.40747</v>
      </c>
      <c r="R197" s="77">
        <v>0.45212999999999998</v>
      </c>
      <c r="T197">
        <v>595</v>
      </c>
      <c r="U197">
        <f t="shared" si="48"/>
        <v>0.93586000000000003</v>
      </c>
      <c r="V197">
        <f t="shared" si="49"/>
        <v>0.66320000000000001</v>
      </c>
      <c r="W197">
        <f t="shared" si="50"/>
        <v>1.0203599999999999</v>
      </c>
      <c r="X197">
        <f t="shared" si="51"/>
        <v>0.77351999999999999</v>
      </c>
      <c r="Y197">
        <f t="shared" si="52"/>
        <v>0.95184000000000002</v>
      </c>
      <c r="Z197">
        <f t="shared" si="53"/>
        <v>0.91412000000000004</v>
      </c>
      <c r="AA197">
        <f t="shared" si="54"/>
        <v>0.96448</v>
      </c>
      <c r="AB197">
        <f t="shared" si="55"/>
        <v>0.87465999999999999</v>
      </c>
      <c r="AC197">
        <f t="shared" si="56"/>
        <v>0.98431999999999997</v>
      </c>
      <c r="AD197">
        <f t="shared" si="57"/>
        <v>0.97706000000000004</v>
      </c>
      <c r="AE197">
        <f t="shared" si="58"/>
        <v>1.0054000000000001</v>
      </c>
      <c r="AF197">
        <f t="shared" si="59"/>
        <v>1.02366</v>
      </c>
      <c r="AG197">
        <f t="shared" si="60"/>
        <v>0.87992000000000004</v>
      </c>
      <c r="AH197">
        <f t="shared" si="61"/>
        <v>0.84277999999999997</v>
      </c>
      <c r="AI197">
        <f t="shared" si="62"/>
        <v>0.81494</v>
      </c>
      <c r="AJ197">
        <f t="shared" si="63"/>
        <v>0.90425999999999995</v>
      </c>
      <c r="EC197">
        <v>595</v>
      </c>
      <c r="ED197">
        <v>0.93586000000000003</v>
      </c>
      <c r="EE197">
        <v>0.66320000000000001</v>
      </c>
      <c r="EF197">
        <v>1.0203599999999999</v>
      </c>
      <c r="EG197">
        <v>0.77351999999999999</v>
      </c>
      <c r="EH197">
        <v>0.95184000000000002</v>
      </c>
      <c r="EI197">
        <v>0.91412000000000004</v>
      </c>
      <c r="EJ197">
        <v>0.96448</v>
      </c>
      <c r="EK197">
        <v>0.87465999999999999</v>
      </c>
      <c r="EL197">
        <v>0.98431999999999997</v>
      </c>
      <c r="EM197">
        <v>0.97706000000000004</v>
      </c>
      <c r="EN197">
        <v>1.0054000000000001</v>
      </c>
      <c r="EO197">
        <v>1.02366</v>
      </c>
      <c r="EP197">
        <v>0.87992000000000004</v>
      </c>
      <c r="EQ197">
        <v>0.84277999999999997</v>
      </c>
      <c r="ER197">
        <v>0.81494</v>
      </c>
      <c r="ES197">
        <v>0.90425999999999995</v>
      </c>
    </row>
    <row r="198" spans="1:149" x14ac:dyDescent="0.35">
      <c r="A198" s="77"/>
      <c r="B198" s="77">
        <v>596</v>
      </c>
      <c r="C198" s="77">
        <v>0.46784999999999999</v>
      </c>
      <c r="D198" s="77">
        <v>0.33154</v>
      </c>
      <c r="E198" s="77">
        <v>0.51012000000000002</v>
      </c>
      <c r="F198" s="77">
        <v>0.38653999999999999</v>
      </c>
      <c r="G198" s="77">
        <v>0.47575000000000001</v>
      </c>
      <c r="H198" s="77">
        <v>0.45701999999999998</v>
      </c>
      <c r="I198" s="77">
        <v>0.48221999999999998</v>
      </c>
      <c r="J198" s="77">
        <v>0.43730000000000002</v>
      </c>
      <c r="K198" s="77">
        <v>0.49228</v>
      </c>
      <c r="L198" s="77">
        <v>0.48848999999999998</v>
      </c>
      <c r="M198" s="77">
        <v>0.50268999999999997</v>
      </c>
      <c r="N198" s="77">
        <v>0.51185999999999998</v>
      </c>
      <c r="O198" s="77">
        <v>0.43981999999999999</v>
      </c>
      <c r="P198" s="77">
        <v>0.42113</v>
      </c>
      <c r="Q198" s="77">
        <v>0.40745999999999999</v>
      </c>
      <c r="R198" s="77">
        <v>0.45195000000000002</v>
      </c>
      <c r="T198">
        <v>596</v>
      </c>
      <c r="U198">
        <f t="shared" si="48"/>
        <v>0.93569999999999998</v>
      </c>
      <c r="V198">
        <f t="shared" si="49"/>
        <v>0.66308</v>
      </c>
      <c r="W198">
        <f t="shared" si="50"/>
        <v>1.02024</v>
      </c>
      <c r="X198">
        <f t="shared" si="51"/>
        <v>0.77307999999999999</v>
      </c>
      <c r="Y198">
        <f t="shared" si="52"/>
        <v>0.95150000000000001</v>
      </c>
      <c r="Z198">
        <f t="shared" si="53"/>
        <v>0.91403999999999996</v>
      </c>
      <c r="AA198">
        <f t="shared" si="54"/>
        <v>0.96443999999999996</v>
      </c>
      <c r="AB198">
        <f t="shared" si="55"/>
        <v>0.87460000000000004</v>
      </c>
      <c r="AC198">
        <f t="shared" si="56"/>
        <v>0.98455999999999999</v>
      </c>
      <c r="AD198">
        <f t="shared" si="57"/>
        <v>0.97697999999999996</v>
      </c>
      <c r="AE198">
        <f t="shared" si="58"/>
        <v>1.0053799999999999</v>
      </c>
      <c r="AF198">
        <f t="shared" si="59"/>
        <v>1.02372</v>
      </c>
      <c r="AG198">
        <f t="shared" si="60"/>
        <v>0.87963999999999998</v>
      </c>
      <c r="AH198">
        <f t="shared" si="61"/>
        <v>0.84226000000000001</v>
      </c>
      <c r="AI198">
        <f t="shared" si="62"/>
        <v>0.81491999999999998</v>
      </c>
      <c r="AJ198">
        <f t="shared" si="63"/>
        <v>0.90390000000000004</v>
      </c>
      <c r="EC198">
        <v>596</v>
      </c>
      <c r="ED198">
        <v>0.93569999999999998</v>
      </c>
      <c r="EE198">
        <v>0.66308</v>
      </c>
      <c r="EF198">
        <v>1.02024</v>
      </c>
      <c r="EG198">
        <v>0.77307999999999999</v>
      </c>
      <c r="EH198">
        <v>0.95150000000000001</v>
      </c>
      <c r="EI198">
        <v>0.91403999999999996</v>
      </c>
      <c r="EJ198">
        <v>0.96443999999999996</v>
      </c>
      <c r="EK198">
        <v>0.87460000000000004</v>
      </c>
      <c r="EL198">
        <v>0.98455999999999999</v>
      </c>
      <c r="EM198">
        <v>0.97697999999999996</v>
      </c>
      <c r="EN198">
        <v>1.0053799999999999</v>
      </c>
      <c r="EO198">
        <v>1.02372</v>
      </c>
      <c r="EP198">
        <v>0.87963999999999998</v>
      </c>
      <c r="EQ198">
        <v>0.84226000000000001</v>
      </c>
      <c r="ER198">
        <v>0.81491999999999998</v>
      </c>
      <c r="ES198">
        <v>0.90390000000000004</v>
      </c>
    </row>
    <row r="199" spans="1:149" x14ac:dyDescent="0.35">
      <c r="A199" s="77"/>
      <c r="B199" s="77">
        <v>597</v>
      </c>
      <c r="C199" s="77">
        <v>0.46765000000000001</v>
      </c>
      <c r="D199" s="77">
        <v>0.33135999999999999</v>
      </c>
      <c r="E199" s="77">
        <v>0.50997999999999999</v>
      </c>
      <c r="F199" s="77">
        <v>0.38653999999999999</v>
      </c>
      <c r="G199" s="77">
        <v>0.47566000000000003</v>
      </c>
      <c r="H199" s="77">
        <v>0.45690999999999998</v>
      </c>
      <c r="I199" s="77">
        <v>0.48218</v>
      </c>
      <c r="J199" s="77">
        <v>0.43706</v>
      </c>
      <c r="K199" s="77">
        <v>0.49225999999999998</v>
      </c>
      <c r="L199" s="77">
        <v>0.4884</v>
      </c>
      <c r="M199" s="77">
        <v>0.50263999999999998</v>
      </c>
      <c r="N199" s="77">
        <v>0.51183000000000001</v>
      </c>
      <c r="O199" s="77">
        <v>0.43958999999999998</v>
      </c>
      <c r="P199" s="77">
        <v>0.42093999999999998</v>
      </c>
      <c r="Q199" s="77">
        <v>0.40721000000000002</v>
      </c>
      <c r="R199" s="77">
        <v>0.45185999999999998</v>
      </c>
      <c r="T199">
        <v>597</v>
      </c>
      <c r="U199">
        <f t="shared" si="48"/>
        <v>0.93530000000000002</v>
      </c>
      <c r="V199">
        <f t="shared" si="49"/>
        <v>0.66271999999999998</v>
      </c>
      <c r="W199">
        <f t="shared" si="50"/>
        <v>1.01996</v>
      </c>
      <c r="X199">
        <f t="shared" si="51"/>
        <v>0.77307999999999999</v>
      </c>
      <c r="Y199">
        <f t="shared" si="52"/>
        <v>0.95132000000000005</v>
      </c>
      <c r="Z199">
        <f t="shared" si="53"/>
        <v>0.91381999999999997</v>
      </c>
      <c r="AA199">
        <f t="shared" si="54"/>
        <v>0.96435999999999999</v>
      </c>
      <c r="AB199">
        <f t="shared" si="55"/>
        <v>0.87412000000000001</v>
      </c>
      <c r="AC199">
        <f t="shared" si="56"/>
        <v>0.98451999999999995</v>
      </c>
      <c r="AD199">
        <f t="shared" si="57"/>
        <v>0.9768</v>
      </c>
      <c r="AE199">
        <f t="shared" si="58"/>
        <v>1.00528</v>
      </c>
      <c r="AF199">
        <f t="shared" si="59"/>
        <v>1.02366</v>
      </c>
      <c r="AG199">
        <f t="shared" si="60"/>
        <v>0.87917999999999996</v>
      </c>
      <c r="AH199">
        <f t="shared" si="61"/>
        <v>0.84187999999999996</v>
      </c>
      <c r="AI199">
        <f t="shared" si="62"/>
        <v>0.81442000000000003</v>
      </c>
      <c r="AJ199">
        <f t="shared" si="63"/>
        <v>0.90371999999999997</v>
      </c>
      <c r="EC199">
        <v>597</v>
      </c>
      <c r="ED199">
        <v>0.93530000000000002</v>
      </c>
      <c r="EE199">
        <v>0.66271999999999998</v>
      </c>
      <c r="EF199">
        <v>1.01996</v>
      </c>
      <c r="EG199">
        <v>0.77307999999999999</v>
      </c>
      <c r="EH199">
        <v>0.95132000000000005</v>
      </c>
      <c r="EI199">
        <v>0.91381999999999997</v>
      </c>
      <c r="EJ199">
        <v>0.96435999999999999</v>
      </c>
      <c r="EK199">
        <v>0.87412000000000001</v>
      </c>
      <c r="EL199">
        <v>0.98451999999999995</v>
      </c>
      <c r="EM199">
        <v>0.9768</v>
      </c>
      <c r="EN199">
        <v>1.00528</v>
      </c>
      <c r="EO199">
        <v>1.02366</v>
      </c>
      <c r="EP199">
        <v>0.87917999999999996</v>
      </c>
      <c r="EQ199">
        <v>0.84187999999999996</v>
      </c>
      <c r="ER199">
        <v>0.81442000000000003</v>
      </c>
      <c r="ES199">
        <v>0.90371999999999997</v>
      </c>
    </row>
    <row r="200" spans="1:149" x14ac:dyDescent="0.35">
      <c r="A200" s="77"/>
      <c r="B200" s="77">
        <v>598</v>
      </c>
      <c r="C200" s="77">
        <v>0.46758</v>
      </c>
      <c r="D200" s="77">
        <v>0.33118999999999998</v>
      </c>
      <c r="E200" s="77">
        <v>0.50980999999999999</v>
      </c>
      <c r="F200" s="77">
        <v>0.38636999999999999</v>
      </c>
      <c r="G200" s="77">
        <v>0.47563</v>
      </c>
      <c r="H200" s="77">
        <v>0.45696999999999999</v>
      </c>
      <c r="I200" s="77">
        <v>0.48219000000000001</v>
      </c>
      <c r="J200" s="77">
        <v>0.43695000000000001</v>
      </c>
      <c r="K200" s="77">
        <v>0.49231000000000003</v>
      </c>
      <c r="L200" s="77">
        <v>0.48846000000000001</v>
      </c>
      <c r="M200" s="77">
        <v>0.50261</v>
      </c>
      <c r="N200" s="77">
        <v>0.51183999999999996</v>
      </c>
      <c r="O200" s="77">
        <v>0.43958999999999998</v>
      </c>
      <c r="P200" s="77">
        <v>0.42081000000000002</v>
      </c>
      <c r="Q200" s="77">
        <v>0.40720000000000001</v>
      </c>
      <c r="R200" s="77">
        <v>0.45178000000000001</v>
      </c>
      <c r="T200">
        <v>598</v>
      </c>
      <c r="U200">
        <f t="shared" si="48"/>
        <v>0.93515999999999999</v>
      </c>
      <c r="V200">
        <f t="shared" si="49"/>
        <v>0.66237999999999997</v>
      </c>
      <c r="W200">
        <f t="shared" si="50"/>
        <v>1.01962</v>
      </c>
      <c r="X200">
        <f t="shared" si="51"/>
        <v>0.77273999999999998</v>
      </c>
      <c r="Y200">
        <f t="shared" si="52"/>
        <v>0.95125999999999999</v>
      </c>
      <c r="Z200">
        <f t="shared" si="53"/>
        <v>0.91393999999999997</v>
      </c>
      <c r="AA200">
        <f t="shared" si="54"/>
        <v>0.96438000000000001</v>
      </c>
      <c r="AB200">
        <f t="shared" si="55"/>
        <v>0.87390000000000001</v>
      </c>
      <c r="AC200">
        <f t="shared" si="56"/>
        <v>0.98462000000000005</v>
      </c>
      <c r="AD200">
        <f t="shared" si="57"/>
        <v>0.97692000000000001</v>
      </c>
      <c r="AE200">
        <f t="shared" si="58"/>
        <v>1.00522</v>
      </c>
      <c r="AF200">
        <f t="shared" si="59"/>
        <v>1.0236799999999999</v>
      </c>
      <c r="AG200">
        <f t="shared" si="60"/>
        <v>0.87917999999999996</v>
      </c>
      <c r="AH200">
        <f t="shared" si="61"/>
        <v>0.84162000000000003</v>
      </c>
      <c r="AI200">
        <f t="shared" si="62"/>
        <v>0.81440000000000001</v>
      </c>
      <c r="AJ200">
        <f t="shared" si="63"/>
        <v>0.90356000000000003</v>
      </c>
      <c r="EC200">
        <v>598</v>
      </c>
      <c r="ED200">
        <v>0.93515999999999999</v>
      </c>
      <c r="EE200">
        <v>0.66237999999999997</v>
      </c>
      <c r="EF200">
        <v>1.01962</v>
      </c>
      <c r="EG200">
        <v>0.77273999999999998</v>
      </c>
      <c r="EH200">
        <v>0.95125999999999999</v>
      </c>
      <c r="EI200">
        <v>0.91393999999999997</v>
      </c>
      <c r="EJ200">
        <v>0.96438000000000001</v>
      </c>
      <c r="EK200">
        <v>0.87390000000000001</v>
      </c>
      <c r="EL200">
        <v>0.98462000000000005</v>
      </c>
      <c r="EM200">
        <v>0.97692000000000001</v>
      </c>
      <c r="EN200">
        <v>1.00522</v>
      </c>
      <c r="EO200">
        <v>1.0236799999999999</v>
      </c>
      <c r="EP200">
        <v>0.87917999999999996</v>
      </c>
      <c r="EQ200">
        <v>0.84162000000000003</v>
      </c>
      <c r="ER200">
        <v>0.81440000000000001</v>
      </c>
      <c r="ES200">
        <v>0.90356000000000003</v>
      </c>
    </row>
    <row r="201" spans="1:149" x14ac:dyDescent="0.35">
      <c r="A201" s="77"/>
      <c r="B201" s="77">
        <v>599</v>
      </c>
      <c r="C201" s="77">
        <v>0.46747</v>
      </c>
      <c r="D201" s="77">
        <v>0.33110000000000001</v>
      </c>
      <c r="E201" s="77">
        <v>0.50980000000000003</v>
      </c>
      <c r="F201" s="77">
        <v>0.38634000000000002</v>
      </c>
      <c r="G201" s="77">
        <v>0.47563</v>
      </c>
      <c r="H201" s="77">
        <v>0.45696999999999999</v>
      </c>
      <c r="I201" s="77">
        <v>0.48237999999999998</v>
      </c>
      <c r="J201" s="77">
        <v>0.43694</v>
      </c>
      <c r="K201" s="77">
        <v>0.4924</v>
      </c>
      <c r="L201" s="77">
        <v>0.48848000000000003</v>
      </c>
      <c r="M201" s="77">
        <v>0.50266999999999995</v>
      </c>
      <c r="N201" s="77">
        <v>0.51192000000000004</v>
      </c>
      <c r="O201" s="77">
        <v>0.43962000000000001</v>
      </c>
      <c r="P201" s="77">
        <v>0.42082000000000003</v>
      </c>
      <c r="Q201" s="77">
        <v>0.40726000000000001</v>
      </c>
      <c r="R201" s="77">
        <v>0.45173999999999997</v>
      </c>
      <c r="T201">
        <v>599</v>
      </c>
      <c r="U201">
        <f t="shared" si="48"/>
        <v>0.93493999999999999</v>
      </c>
      <c r="V201">
        <f t="shared" si="49"/>
        <v>0.66220000000000001</v>
      </c>
      <c r="W201">
        <f t="shared" si="50"/>
        <v>1.0196000000000001</v>
      </c>
      <c r="X201">
        <f t="shared" si="51"/>
        <v>0.77268000000000003</v>
      </c>
      <c r="Y201">
        <f t="shared" si="52"/>
        <v>0.95125999999999999</v>
      </c>
      <c r="Z201">
        <f t="shared" si="53"/>
        <v>0.91393999999999997</v>
      </c>
      <c r="AA201">
        <f t="shared" si="54"/>
        <v>0.96475999999999995</v>
      </c>
      <c r="AB201">
        <f t="shared" si="55"/>
        <v>0.87387999999999999</v>
      </c>
      <c r="AC201">
        <f t="shared" si="56"/>
        <v>0.98480000000000001</v>
      </c>
      <c r="AD201">
        <f t="shared" si="57"/>
        <v>0.97696000000000005</v>
      </c>
      <c r="AE201">
        <f t="shared" si="58"/>
        <v>1.0053399999999999</v>
      </c>
      <c r="AF201">
        <f t="shared" si="59"/>
        <v>1.0238400000000001</v>
      </c>
      <c r="AG201">
        <f t="shared" si="60"/>
        <v>0.87924000000000002</v>
      </c>
      <c r="AH201">
        <f t="shared" si="61"/>
        <v>0.84164000000000005</v>
      </c>
      <c r="AI201">
        <f t="shared" si="62"/>
        <v>0.81452000000000002</v>
      </c>
      <c r="AJ201">
        <f t="shared" si="63"/>
        <v>0.90347999999999995</v>
      </c>
      <c r="EC201">
        <v>599</v>
      </c>
      <c r="ED201">
        <v>0.93493999999999999</v>
      </c>
      <c r="EE201">
        <v>0.66220000000000001</v>
      </c>
      <c r="EF201">
        <v>1.0196000000000001</v>
      </c>
      <c r="EG201">
        <v>0.77268000000000003</v>
      </c>
      <c r="EH201">
        <v>0.95125999999999999</v>
      </c>
      <c r="EI201">
        <v>0.91393999999999997</v>
      </c>
      <c r="EJ201">
        <v>0.96475999999999995</v>
      </c>
      <c r="EK201">
        <v>0.87387999999999999</v>
      </c>
      <c r="EL201">
        <v>0.98480000000000001</v>
      </c>
      <c r="EM201">
        <v>0.97696000000000005</v>
      </c>
      <c r="EN201">
        <v>1.0053399999999999</v>
      </c>
      <c r="EO201">
        <v>1.0238400000000001</v>
      </c>
      <c r="EP201">
        <v>0.87924000000000002</v>
      </c>
      <c r="EQ201">
        <v>0.84164000000000005</v>
      </c>
      <c r="ER201">
        <v>0.81452000000000002</v>
      </c>
      <c r="ES201">
        <v>0.90347999999999995</v>
      </c>
    </row>
    <row r="202" spans="1:149" x14ac:dyDescent="0.35">
      <c r="A202" s="77"/>
      <c r="B202" s="77">
        <v>600</v>
      </c>
      <c r="C202" s="77">
        <v>0.46732000000000001</v>
      </c>
      <c r="D202" s="77">
        <v>0.33095999999999998</v>
      </c>
      <c r="E202" s="77">
        <v>0.50966</v>
      </c>
      <c r="F202" s="77">
        <v>0.38625999999999999</v>
      </c>
      <c r="G202" s="77">
        <v>0.47560000000000002</v>
      </c>
      <c r="H202" s="77">
        <v>0.45689000000000002</v>
      </c>
      <c r="I202" s="77">
        <v>0.48232000000000003</v>
      </c>
      <c r="J202" s="77">
        <v>0.43686000000000003</v>
      </c>
      <c r="K202" s="77">
        <v>0.49252000000000001</v>
      </c>
      <c r="L202" s="77">
        <v>0.48851</v>
      </c>
      <c r="M202" s="77">
        <v>0.50268999999999997</v>
      </c>
      <c r="N202" s="77">
        <v>0.51207000000000003</v>
      </c>
      <c r="O202" s="77">
        <v>0.43944</v>
      </c>
      <c r="P202" s="77">
        <v>0.42053000000000001</v>
      </c>
      <c r="Q202" s="77">
        <v>0.40699999999999997</v>
      </c>
      <c r="R202" s="77">
        <v>0.45147999999999999</v>
      </c>
      <c r="T202">
        <v>600</v>
      </c>
      <c r="U202">
        <f t="shared" si="48"/>
        <v>0.93464000000000003</v>
      </c>
      <c r="V202">
        <f t="shared" si="49"/>
        <v>0.66191999999999995</v>
      </c>
      <c r="W202">
        <f t="shared" si="50"/>
        <v>1.01932</v>
      </c>
      <c r="X202">
        <f t="shared" si="51"/>
        <v>0.77251999999999998</v>
      </c>
      <c r="Y202">
        <f t="shared" si="52"/>
        <v>0.95120000000000005</v>
      </c>
      <c r="Z202">
        <f t="shared" si="53"/>
        <v>0.91378000000000004</v>
      </c>
      <c r="AA202">
        <f t="shared" si="54"/>
        <v>0.96464000000000005</v>
      </c>
      <c r="AB202">
        <f t="shared" si="55"/>
        <v>0.87372000000000005</v>
      </c>
      <c r="AC202">
        <f t="shared" si="56"/>
        <v>0.98504000000000003</v>
      </c>
      <c r="AD202">
        <f t="shared" si="57"/>
        <v>0.97702</v>
      </c>
      <c r="AE202">
        <f t="shared" si="58"/>
        <v>1.0053799999999999</v>
      </c>
      <c r="AF202">
        <f t="shared" si="59"/>
        <v>1.0241400000000001</v>
      </c>
      <c r="AG202">
        <f t="shared" si="60"/>
        <v>0.87887999999999999</v>
      </c>
      <c r="AH202">
        <f t="shared" si="61"/>
        <v>0.84106000000000003</v>
      </c>
      <c r="AI202">
        <f t="shared" si="62"/>
        <v>0.81399999999999995</v>
      </c>
      <c r="AJ202">
        <f t="shared" si="63"/>
        <v>0.90295999999999998</v>
      </c>
      <c r="EC202">
        <v>600</v>
      </c>
      <c r="ED202">
        <v>0.93464000000000003</v>
      </c>
      <c r="EE202">
        <v>0.66191999999999995</v>
      </c>
      <c r="EF202">
        <v>1.01932</v>
      </c>
      <c r="EG202">
        <v>0.77251999999999998</v>
      </c>
      <c r="EH202">
        <v>0.95120000000000005</v>
      </c>
      <c r="EI202">
        <v>0.91378000000000004</v>
      </c>
      <c r="EJ202">
        <v>0.96464000000000005</v>
      </c>
      <c r="EK202">
        <v>0.87372000000000005</v>
      </c>
      <c r="EL202">
        <v>0.98504000000000003</v>
      </c>
      <c r="EM202">
        <v>0.97702</v>
      </c>
      <c r="EN202">
        <v>1.0053799999999999</v>
      </c>
      <c r="EO202">
        <v>1.0241400000000001</v>
      </c>
      <c r="EP202">
        <v>0.87887999999999999</v>
      </c>
      <c r="EQ202">
        <v>0.84106000000000003</v>
      </c>
      <c r="ER202">
        <v>0.81399999999999995</v>
      </c>
      <c r="ES202">
        <v>0.90295999999999998</v>
      </c>
    </row>
    <row r="203" spans="1:149" x14ac:dyDescent="0.35">
      <c r="A203" s="77"/>
      <c r="B203" s="77">
        <v>601</v>
      </c>
      <c r="C203" s="77">
        <v>0.46729999999999999</v>
      </c>
      <c r="D203" s="77">
        <v>0.33095000000000002</v>
      </c>
      <c r="E203" s="77">
        <v>0.50971999999999995</v>
      </c>
      <c r="F203" s="77">
        <v>0.38613999999999998</v>
      </c>
      <c r="G203" s="77">
        <v>0.47565000000000002</v>
      </c>
      <c r="H203" s="77">
        <v>0.45699000000000001</v>
      </c>
      <c r="I203" s="77">
        <v>0.48241000000000001</v>
      </c>
      <c r="J203" s="77">
        <v>0.43674000000000002</v>
      </c>
      <c r="K203" s="77">
        <v>0.49254999999999999</v>
      </c>
      <c r="L203" s="77">
        <v>0.48859000000000002</v>
      </c>
      <c r="M203" s="77">
        <v>0.50278</v>
      </c>
      <c r="N203" s="77">
        <v>0.5121</v>
      </c>
      <c r="O203" s="77">
        <v>0.43935999999999997</v>
      </c>
      <c r="P203" s="77">
        <v>0.42047000000000001</v>
      </c>
      <c r="Q203" s="77">
        <v>0.40692</v>
      </c>
      <c r="R203" s="77">
        <v>0.45145000000000002</v>
      </c>
      <c r="T203">
        <v>601</v>
      </c>
      <c r="U203">
        <f t="shared" si="48"/>
        <v>0.93459999999999999</v>
      </c>
      <c r="V203">
        <f t="shared" si="49"/>
        <v>0.66190000000000004</v>
      </c>
      <c r="W203">
        <f t="shared" si="50"/>
        <v>1.0194399999999999</v>
      </c>
      <c r="X203">
        <f t="shared" si="51"/>
        <v>0.77227999999999997</v>
      </c>
      <c r="Y203">
        <f t="shared" si="52"/>
        <v>0.95130000000000003</v>
      </c>
      <c r="Z203">
        <f t="shared" si="53"/>
        <v>0.91398000000000001</v>
      </c>
      <c r="AA203">
        <f t="shared" si="54"/>
        <v>0.96482000000000001</v>
      </c>
      <c r="AB203">
        <f t="shared" si="55"/>
        <v>0.87348000000000003</v>
      </c>
      <c r="AC203">
        <f t="shared" si="56"/>
        <v>0.98509999999999998</v>
      </c>
      <c r="AD203">
        <f t="shared" si="57"/>
        <v>0.97718000000000005</v>
      </c>
      <c r="AE203">
        <f t="shared" si="58"/>
        <v>1.00556</v>
      </c>
      <c r="AF203">
        <f t="shared" si="59"/>
        <v>1.0242</v>
      </c>
      <c r="AG203">
        <f t="shared" si="60"/>
        <v>0.87871999999999995</v>
      </c>
      <c r="AH203">
        <f t="shared" si="61"/>
        <v>0.84094000000000002</v>
      </c>
      <c r="AI203">
        <f t="shared" si="62"/>
        <v>0.81384000000000001</v>
      </c>
      <c r="AJ203">
        <f t="shared" si="63"/>
        <v>0.90290000000000004</v>
      </c>
      <c r="EC203">
        <v>601</v>
      </c>
      <c r="ED203">
        <v>0.93459999999999999</v>
      </c>
      <c r="EE203">
        <v>0.66190000000000004</v>
      </c>
      <c r="EF203">
        <v>1.0194399999999999</v>
      </c>
      <c r="EG203">
        <v>0.77227999999999997</v>
      </c>
      <c r="EH203">
        <v>0.95130000000000003</v>
      </c>
      <c r="EI203">
        <v>0.91398000000000001</v>
      </c>
      <c r="EJ203">
        <v>0.96482000000000001</v>
      </c>
      <c r="EK203">
        <v>0.87348000000000003</v>
      </c>
      <c r="EL203">
        <v>0.98509999999999998</v>
      </c>
      <c r="EM203">
        <v>0.97718000000000005</v>
      </c>
      <c r="EN203">
        <v>1.00556</v>
      </c>
      <c r="EO203">
        <v>1.0242</v>
      </c>
      <c r="EP203">
        <v>0.87871999999999995</v>
      </c>
      <c r="EQ203">
        <v>0.84094000000000002</v>
      </c>
      <c r="ER203">
        <v>0.81384000000000001</v>
      </c>
      <c r="ES203">
        <v>0.90290000000000004</v>
      </c>
    </row>
    <row r="204" spans="1:149" x14ac:dyDescent="0.35">
      <c r="A204" s="77"/>
      <c r="B204" s="77">
        <v>602</v>
      </c>
      <c r="C204" s="77">
        <v>0.46742</v>
      </c>
      <c r="D204" s="77">
        <v>0.33095999999999998</v>
      </c>
      <c r="E204" s="77">
        <v>0.50983999999999996</v>
      </c>
      <c r="F204" s="77">
        <v>0.38628000000000001</v>
      </c>
      <c r="G204" s="77">
        <v>0.47571999999999998</v>
      </c>
      <c r="H204" s="77">
        <v>0.45713999999999999</v>
      </c>
      <c r="I204" s="77">
        <v>0.48261999999999999</v>
      </c>
      <c r="J204" s="77">
        <v>0.43680000000000002</v>
      </c>
      <c r="K204" s="77">
        <v>0.49265999999999999</v>
      </c>
      <c r="L204" s="77">
        <v>0.48870999999999998</v>
      </c>
      <c r="M204" s="77">
        <v>0.50290000000000001</v>
      </c>
      <c r="N204" s="77">
        <v>0.51229999999999998</v>
      </c>
      <c r="O204" s="77">
        <v>0.43924999999999997</v>
      </c>
      <c r="P204" s="77">
        <v>0.42032000000000003</v>
      </c>
      <c r="Q204" s="77">
        <v>0.40683000000000002</v>
      </c>
      <c r="R204" s="77">
        <v>0.45139000000000001</v>
      </c>
      <c r="T204">
        <v>602</v>
      </c>
      <c r="U204">
        <f t="shared" si="48"/>
        <v>0.93484</v>
      </c>
      <c r="V204">
        <f t="shared" si="49"/>
        <v>0.66191999999999995</v>
      </c>
      <c r="W204">
        <f t="shared" si="50"/>
        <v>1.0196799999999999</v>
      </c>
      <c r="X204">
        <f t="shared" si="51"/>
        <v>0.77256000000000002</v>
      </c>
      <c r="Y204">
        <f t="shared" si="52"/>
        <v>0.95143999999999995</v>
      </c>
      <c r="Z204">
        <f t="shared" si="53"/>
        <v>0.91427999999999998</v>
      </c>
      <c r="AA204">
        <f t="shared" si="54"/>
        <v>0.96523999999999999</v>
      </c>
      <c r="AB204">
        <f t="shared" si="55"/>
        <v>0.87360000000000004</v>
      </c>
      <c r="AC204">
        <f t="shared" si="56"/>
        <v>0.98531999999999997</v>
      </c>
      <c r="AD204">
        <f t="shared" si="57"/>
        <v>0.97741999999999996</v>
      </c>
      <c r="AE204">
        <f t="shared" si="58"/>
        <v>1.0058</v>
      </c>
      <c r="AF204">
        <f t="shared" si="59"/>
        <v>1.0246</v>
      </c>
      <c r="AG204">
        <f t="shared" si="60"/>
        <v>0.87849999999999995</v>
      </c>
      <c r="AH204">
        <f t="shared" si="61"/>
        <v>0.84064000000000005</v>
      </c>
      <c r="AI204">
        <f t="shared" si="62"/>
        <v>0.81366000000000005</v>
      </c>
      <c r="AJ204">
        <f t="shared" si="63"/>
        <v>0.90278000000000003</v>
      </c>
      <c r="EC204">
        <v>602</v>
      </c>
      <c r="ED204">
        <v>0.93484</v>
      </c>
      <c r="EE204">
        <v>0.66191999999999995</v>
      </c>
      <c r="EF204">
        <v>1.0196799999999999</v>
      </c>
      <c r="EG204">
        <v>0.77256000000000002</v>
      </c>
      <c r="EH204">
        <v>0.95143999999999995</v>
      </c>
      <c r="EI204">
        <v>0.91427999999999998</v>
      </c>
      <c r="EJ204">
        <v>0.96523999999999999</v>
      </c>
      <c r="EK204">
        <v>0.87360000000000004</v>
      </c>
      <c r="EL204">
        <v>0.98531999999999997</v>
      </c>
      <c r="EM204">
        <v>0.97741999999999996</v>
      </c>
      <c r="EN204">
        <v>1.0058</v>
      </c>
      <c r="EO204">
        <v>1.0246</v>
      </c>
      <c r="EP204">
        <v>0.87849999999999995</v>
      </c>
      <c r="EQ204">
        <v>0.84064000000000005</v>
      </c>
      <c r="ER204">
        <v>0.81366000000000005</v>
      </c>
      <c r="ES204">
        <v>0.90278000000000003</v>
      </c>
    </row>
    <row r="205" spans="1:149" x14ac:dyDescent="0.35">
      <c r="A205" s="77"/>
      <c r="B205" s="77">
        <v>603</v>
      </c>
      <c r="C205" s="77">
        <v>0.46754000000000001</v>
      </c>
      <c r="D205" s="77">
        <v>0.33101000000000003</v>
      </c>
      <c r="E205" s="77">
        <v>0.51004000000000005</v>
      </c>
      <c r="F205" s="77">
        <v>0.38634000000000002</v>
      </c>
      <c r="G205" s="77">
        <v>0.47588000000000003</v>
      </c>
      <c r="H205" s="77">
        <v>0.45728000000000002</v>
      </c>
      <c r="I205" s="77">
        <v>0.48276000000000002</v>
      </c>
      <c r="J205" s="77">
        <v>0.43676999999999999</v>
      </c>
      <c r="K205" s="77">
        <v>0.4929</v>
      </c>
      <c r="L205" s="77">
        <v>0.48882999999999999</v>
      </c>
      <c r="M205" s="77">
        <v>0.50307000000000002</v>
      </c>
      <c r="N205" s="77">
        <v>0.51256999999999997</v>
      </c>
      <c r="O205" s="77">
        <v>0.43924000000000002</v>
      </c>
      <c r="P205" s="77">
        <v>0.42035</v>
      </c>
      <c r="Q205" s="77">
        <v>0.40692</v>
      </c>
      <c r="R205" s="77">
        <v>0.45141999999999999</v>
      </c>
      <c r="T205">
        <v>603</v>
      </c>
      <c r="U205">
        <f t="shared" si="48"/>
        <v>0.93508000000000002</v>
      </c>
      <c r="V205">
        <f t="shared" si="49"/>
        <v>0.66202000000000005</v>
      </c>
      <c r="W205">
        <f t="shared" si="50"/>
        <v>1.0200800000000001</v>
      </c>
      <c r="X205">
        <f t="shared" si="51"/>
        <v>0.77268000000000003</v>
      </c>
      <c r="Y205">
        <f t="shared" si="52"/>
        <v>0.95176000000000005</v>
      </c>
      <c r="Z205">
        <f t="shared" si="53"/>
        <v>0.91456000000000004</v>
      </c>
      <c r="AA205">
        <f t="shared" si="54"/>
        <v>0.96552000000000004</v>
      </c>
      <c r="AB205">
        <f t="shared" si="55"/>
        <v>0.87353999999999998</v>
      </c>
      <c r="AC205">
        <f t="shared" si="56"/>
        <v>0.98580000000000001</v>
      </c>
      <c r="AD205">
        <f t="shared" si="57"/>
        <v>0.97765999999999997</v>
      </c>
      <c r="AE205">
        <f t="shared" si="58"/>
        <v>1.00614</v>
      </c>
      <c r="AF205">
        <f t="shared" si="59"/>
        <v>1.0251399999999999</v>
      </c>
      <c r="AG205">
        <f t="shared" si="60"/>
        <v>0.87848000000000004</v>
      </c>
      <c r="AH205">
        <f t="shared" si="61"/>
        <v>0.8407</v>
      </c>
      <c r="AI205">
        <f t="shared" si="62"/>
        <v>0.81384000000000001</v>
      </c>
      <c r="AJ205">
        <f t="shared" si="63"/>
        <v>0.90283999999999998</v>
      </c>
      <c r="EC205">
        <v>603</v>
      </c>
      <c r="ED205">
        <v>0.93508000000000002</v>
      </c>
      <c r="EE205">
        <v>0.66202000000000005</v>
      </c>
      <c r="EF205">
        <v>1.0200800000000001</v>
      </c>
      <c r="EG205">
        <v>0.77268000000000003</v>
      </c>
      <c r="EH205">
        <v>0.95176000000000005</v>
      </c>
      <c r="EI205">
        <v>0.91456000000000004</v>
      </c>
      <c r="EJ205">
        <v>0.96552000000000004</v>
      </c>
      <c r="EK205">
        <v>0.87353999999999998</v>
      </c>
      <c r="EL205">
        <v>0.98580000000000001</v>
      </c>
      <c r="EM205">
        <v>0.97765999999999997</v>
      </c>
      <c r="EN205">
        <v>1.00614</v>
      </c>
      <c r="EO205">
        <v>1.0251399999999999</v>
      </c>
      <c r="EP205">
        <v>0.87848000000000004</v>
      </c>
      <c r="EQ205">
        <v>0.8407</v>
      </c>
      <c r="ER205">
        <v>0.81384000000000001</v>
      </c>
      <c r="ES205">
        <v>0.90283999999999998</v>
      </c>
    </row>
    <row r="206" spans="1:149" x14ac:dyDescent="0.35">
      <c r="A206" s="77"/>
      <c r="B206" s="77">
        <v>604</v>
      </c>
      <c r="C206" s="77">
        <v>0.46788000000000002</v>
      </c>
      <c r="D206" s="77">
        <v>0.33129999999999998</v>
      </c>
      <c r="E206" s="77">
        <v>0.51046999999999998</v>
      </c>
      <c r="F206" s="77">
        <v>0.38657000000000002</v>
      </c>
      <c r="G206" s="77">
        <v>0.47604000000000002</v>
      </c>
      <c r="H206" s="77">
        <v>0.45744000000000001</v>
      </c>
      <c r="I206" s="77">
        <v>0.48287999999999998</v>
      </c>
      <c r="J206" s="77">
        <v>0.43680999999999998</v>
      </c>
      <c r="K206" s="77">
        <v>0.49318000000000001</v>
      </c>
      <c r="L206" s="77">
        <v>0.48898000000000003</v>
      </c>
      <c r="M206" s="77">
        <v>0.50322</v>
      </c>
      <c r="N206" s="77">
        <v>0.51278999999999997</v>
      </c>
      <c r="O206" s="77">
        <v>0.43913000000000002</v>
      </c>
      <c r="P206" s="77">
        <v>0.42024</v>
      </c>
      <c r="Q206" s="77">
        <v>0.40677000000000002</v>
      </c>
      <c r="R206" s="77">
        <v>0.45141999999999999</v>
      </c>
      <c r="T206">
        <v>604</v>
      </c>
      <c r="U206">
        <f t="shared" si="48"/>
        <v>0.93576000000000004</v>
      </c>
      <c r="V206">
        <f t="shared" si="49"/>
        <v>0.66259999999999997</v>
      </c>
      <c r="W206">
        <f t="shared" si="50"/>
        <v>1.02094</v>
      </c>
      <c r="X206">
        <f t="shared" si="51"/>
        <v>0.77314000000000005</v>
      </c>
      <c r="Y206">
        <f t="shared" si="52"/>
        <v>0.95208000000000004</v>
      </c>
      <c r="Z206">
        <f t="shared" si="53"/>
        <v>0.91488000000000003</v>
      </c>
      <c r="AA206">
        <f t="shared" si="54"/>
        <v>0.96575999999999995</v>
      </c>
      <c r="AB206">
        <f t="shared" si="55"/>
        <v>0.87361999999999995</v>
      </c>
      <c r="AC206">
        <f t="shared" si="56"/>
        <v>0.98636000000000001</v>
      </c>
      <c r="AD206">
        <f t="shared" si="57"/>
        <v>0.97796000000000005</v>
      </c>
      <c r="AE206">
        <f t="shared" si="58"/>
        <v>1.00644</v>
      </c>
      <c r="AF206">
        <f t="shared" si="59"/>
        <v>1.0255799999999999</v>
      </c>
      <c r="AG206">
        <f t="shared" si="60"/>
        <v>0.87826000000000004</v>
      </c>
      <c r="AH206">
        <f t="shared" si="61"/>
        <v>0.84048</v>
      </c>
      <c r="AI206">
        <f t="shared" si="62"/>
        <v>0.81354000000000004</v>
      </c>
      <c r="AJ206">
        <f t="shared" si="63"/>
        <v>0.90283999999999998</v>
      </c>
      <c r="EC206">
        <v>604</v>
      </c>
      <c r="ED206">
        <v>0.93576000000000004</v>
      </c>
      <c r="EE206">
        <v>0.66259999999999997</v>
      </c>
      <c r="EF206">
        <v>1.02094</v>
      </c>
      <c r="EG206">
        <v>0.77314000000000005</v>
      </c>
      <c r="EH206">
        <v>0.95208000000000004</v>
      </c>
      <c r="EI206">
        <v>0.91488000000000003</v>
      </c>
      <c r="EJ206">
        <v>0.96575999999999995</v>
      </c>
      <c r="EK206">
        <v>0.87361999999999995</v>
      </c>
      <c r="EL206">
        <v>0.98636000000000001</v>
      </c>
      <c r="EM206">
        <v>0.97796000000000005</v>
      </c>
      <c r="EN206">
        <v>1.00644</v>
      </c>
      <c r="EO206">
        <v>1.0255799999999999</v>
      </c>
      <c r="EP206">
        <v>0.87826000000000004</v>
      </c>
      <c r="EQ206">
        <v>0.84048</v>
      </c>
      <c r="ER206">
        <v>0.81354000000000004</v>
      </c>
      <c r="ES206">
        <v>0.90283999999999998</v>
      </c>
    </row>
    <row r="207" spans="1:149" x14ac:dyDescent="0.35">
      <c r="A207" s="77"/>
      <c r="B207" s="77">
        <v>605</v>
      </c>
      <c r="C207" s="77">
        <v>0.46822000000000003</v>
      </c>
      <c r="D207" s="77">
        <v>0.33152999999999999</v>
      </c>
      <c r="E207" s="77">
        <v>0.51085999999999998</v>
      </c>
      <c r="F207" s="77">
        <v>0.38695000000000002</v>
      </c>
      <c r="G207" s="77">
        <v>0.47627000000000003</v>
      </c>
      <c r="H207" s="77">
        <v>0.45778000000000002</v>
      </c>
      <c r="I207" s="77">
        <v>0.48327999999999999</v>
      </c>
      <c r="J207" s="77">
        <v>0.43684000000000001</v>
      </c>
      <c r="K207" s="77">
        <v>0.49358000000000002</v>
      </c>
      <c r="L207" s="77">
        <v>0.48930000000000001</v>
      </c>
      <c r="M207" s="77">
        <v>0.50356000000000001</v>
      </c>
      <c r="N207" s="77">
        <v>0.51312000000000002</v>
      </c>
      <c r="O207" s="77">
        <v>0.43913000000000002</v>
      </c>
      <c r="P207" s="77">
        <v>0.42016999999999999</v>
      </c>
      <c r="Q207" s="77">
        <v>0.40675</v>
      </c>
      <c r="R207" s="77">
        <v>0.45125999999999999</v>
      </c>
      <c r="T207">
        <v>605</v>
      </c>
      <c r="U207">
        <f t="shared" si="48"/>
        <v>0.93644000000000005</v>
      </c>
      <c r="V207">
        <f t="shared" si="49"/>
        <v>0.66305999999999998</v>
      </c>
      <c r="W207">
        <f t="shared" si="50"/>
        <v>1.02172</v>
      </c>
      <c r="X207">
        <f t="shared" si="51"/>
        <v>0.77390000000000003</v>
      </c>
      <c r="Y207">
        <f t="shared" si="52"/>
        <v>0.95254000000000005</v>
      </c>
      <c r="Z207">
        <f t="shared" si="53"/>
        <v>0.91556000000000004</v>
      </c>
      <c r="AA207">
        <f t="shared" si="54"/>
        <v>0.96655999999999997</v>
      </c>
      <c r="AB207">
        <f t="shared" si="55"/>
        <v>0.87368000000000001</v>
      </c>
      <c r="AC207">
        <f t="shared" si="56"/>
        <v>0.98716000000000004</v>
      </c>
      <c r="AD207">
        <f t="shared" si="57"/>
        <v>0.97860000000000003</v>
      </c>
      <c r="AE207">
        <f t="shared" si="58"/>
        <v>1.00712</v>
      </c>
      <c r="AF207">
        <f t="shared" si="59"/>
        <v>1.02624</v>
      </c>
      <c r="AG207">
        <f t="shared" si="60"/>
        <v>0.87826000000000004</v>
      </c>
      <c r="AH207">
        <f t="shared" si="61"/>
        <v>0.84033999999999998</v>
      </c>
      <c r="AI207">
        <f t="shared" si="62"/>
        <v>0.8135</v>
      </c>
      <c r="AJ207">
        <f t="shared" si="63"/>
        <v>0.90251999999999999</v>
      </c>
      <c r="EC207">
        <v>605</v>
      </c>
      <c r="ED207">
        <v>0.93644000000000005</v>
      </c>
      <c r="EE207">
        <v>0.66305999999999998</v>
      </c>
      <c r="EF207">
        <v>1.02172</v>
      </c>
      <c r="EG207">
        <v>0.77390000000000003</v>
      </c>
      <c r="EH207">
        <v>0.95254000000000005</v>
      </c>
      <c r="EI207">
        <v>0.91556000000000004</v>
      </c>
      <c r="EJ207">
        <v>0.96655999999999997</v>
      </c>
      <c r="EK207">
        <v>0.87368000000000001</v>
      </c>
      <c r="EL207">
        <v>0.98716000000000004</v>
      </c>
      <c r="EM207">
        <v>0.97860000000000003</v>
      </c>
      <c r="EN207">
        <v>1.00712</v>
      </c>
      <c r="EO207">
        <v>1.02624</v>
      </c>
      <c r="EP207">
        <v>0.87826000000000004</v>
      </c>
      <c r="EQ207">
        <v>0.84033999999999998</v>
      </c>
      <c r="ER207">
        <v>0.8135</v>
      </c>
      <c r="ES207">
        <v>0.90251999999999999</v>
      </c>
    </row>
    <row r="208" spans="1:149" x14ac:dyDescent="0.35">
      <c r="A208" s="77"/>
      <c r="B208" s="77">
        <v>606</v>
      </c>
      <c r="C208" s="77">
        <v>0.46877999999999997</v>
      </c>
      <c r="D208" s="77">
        <v>0.33185999999999999</v>
      </c>
      <c r="E208" s="77">
        <v>0.51158000000000003</v>
      </c>
      <c r="F208" s="77">
        <v>0.38741999999999999</v>
      </c>
      <c r="G208" s="77">
        <v>0.47649999999999998</v>
      </c>
      <c r="H208" s="77">
        <v>0.45815</v>
      </c>
      <c r="I208" s="77">
        <v>0.48365999999999998</v>
      </c>
      <c r="J208" s="77">
        <v>0.437</v>
      </c>
      <c r="K208" s="77">
        <v>0.49404999999999999</v>
      </c>
      <c r="L208" s="77">
        <v>0.48970000000000002</v>
      </c>
      <c r="M208" s="77">
        <v>0.50394000000000005</v>
      </c>
      <c r="N208" s="77">
        <v>0.51363000000000003</v>
      </c>
      <c r="O208" s="77">
        <v>0.43924999999999997</v>
      </c>
      <c r="P208" s="77">
        <v>0.42029</v>
      </c>
      <c r="Q208" s="77">
        <v>0.40681</v>
      </c>
      <c r="R208" s="77">
        <v>0.45141999999999999</v>
      </c>
      <c r="T208">
        <v>606</v>
      </c>
      <c r="U208">
        <f t="shared" si="48"/>
        <v>0.93755999999999995</v>
      </c>
      <c r="V208">
        <f t="shared" si="49"/>
        <v>0.66371999999999998</v>
      </c>
      <c r="W208">
        <f t="shared" si="50"/>
        <v>1.0231600000000001</v>
      </c>
      <c r="X208">
        <f t="shared" si="51"/>
        <v>0.77483999999999997</v>
      </c>
      <c r="Y208">
        <f t="shared" si="52"/>
        <v>0.95299999999999996</v>
      </c>
      <c r="Z208">
        <f t="shared" si="53"/>
        <v>0.9163</v>
      </c>
      <c r="AA208">
        <f t="shared" si="54"/>
        <v>0.96731999999999996</v>
      </c>
      <c r="AB208">
        <f t="shared" si="55"/>
        <v>0.874</v>
      </c>
      <c r="AC208">
        <f t="shared" si="56"/>
        <v>0.98809999999999998</v>
      </c>
      <c r="AD208">
        <f t="shared" si="57"/>
        <v>0.97940000000000005</v>
      </c>
      <c r="AE208">
        <f t="shared" si="58"/>
        <v>1.0078800000000001</v>
      </c>
      <c r="AF208">
        <f t="shared" si="59"/>
        <v>1.0272600000000001</v>
      </c>
      <c r="AG208">
        <f t="shared" si="60"/>
        <v>0.87849999999999995</v>
      </c>
      <c r="AH208">
        <f t="shared" si="61"/>
        <v>0.84057999999999999</v>
      </c>
      <c r="AI208">
        <f t="shared" si="62"/>
        <v>0.81362000000000001</v>
      </c>
      <c r="AJ208">
        <f t="shared" si="63"/>
        <v>0.90283999999999998</v>
      </c>
      <c r="EC208">
        <v>606</v>
      </c>
      <c r="ED208">
        <v>0.93755999999999995</v>
      </c>
      <c r="EE208">
        <v>0.66371999999999998</v>
      </c>
      <c r="EF208">
        <v>1.0231600000000001</v>
      </c>
      <c r="EG208">
        <v>0.77483999999999997</v>
      </c>
      <c r="EH208">
        <v>0.95299999999999996</v>
      </c>
      <c r="EI208">
        <v>0.9163</v>
      </c>
      <c r="EJ208">
        <v>0.96731999999999996</v>
      </c>
      <c r="EK208">
        <v>0.874</v>
      </c>
      <c r="EL208">
        <v>0.98809999999999998</v>
      </c>
      <c r="EM208">
        <v>0.97940000000000005</v>
      </c>
      <c r="EN208">
        <v>1.0078800000000001</v>
      </c>
      <c r="EO208">
        <v>1.0272600000000001</v>
      </c>
      <c r="EP208">
        <v>0.87849999999999995</v>
      </c>
      <c r="EQ208">
        <v>0.84057999999999999</v>
      </c>
      <c r="ER208">
        <v>0.81362000000000001</v>
      </c>
      <c r="ES208">
        <v>0.90283999999999998</v>
      </c>
    </row>
    <row r="209" spans="1:149" x14ac:dyDescent="0.35">
      <c r="A209" s="77"/>
      <c r="B209" s="77">
        <v>607</v>
      </c>
      <c r="C209" s="77">
        <v>0.46948000000000001</v>
      </c>
      <c r="D209" s="77">
        <v>0.33223999999999998</v>
      </c>
      <c r="E209" s="77">
        <v>0.51227999999999996</v>
      </c>
      <c r="F209" s="77">
        <v>0.38791999999999999</v>
      </c>
      <c r="G209" s="77">
        <v>0.47688000000000003</v>
      </c>
      <c r="H209" s="77">
        <v>0.45846999999999999</v>
      </c>
      <c r="I209" s="77">
        <v>0.48404999999999998</v>
      </c>
      <c r="J209" s="77">
        <v>0.43712000000000001</v>
      </c>
      <c r="K209" s="77">
        <v>0.49452000000000002</v>
      </c>
      <c r="L209" s="77">
        <v>0.49015999999999998</v>
      </c>
      <c r="M209" s="77">
        <v>0.50427</v>
      </c>
      <c r="N209" s="77">
        <v>0.51407999999999998</v>
      </c>
      <c r="O209" s="77">
        <v>0.43930000000000002</v>
      </c>
      <c r="P209" s="77">
        <v>0.42026000000000002</v>
      </c>
      <c r="Q209" s="77">
        <v>0.40698000000000001</v>
      </c>
      <c r="R209" s="77">
        <v>0.45145000000000002</v>
      </c>
      <c r="T209">
        <v>607</v>
      </c>
      <c r="U209">
        <f t="shared" si="48"/>
        <v>0.93896000000000002</v>
      </c>
      <c r="V209">
        <f t="shared" si="49"/>
        <v>0.66447999999999996</v>
      </c>
      <c r="W209">
        <f t="shared" si="50"/>
        <v>1.0245599999999999</v>
      </c>
      <c r="X209">
        <f t="shared" si="51"/>
        <v>0.77583999999999997</v>
      </c>
      <c r="Y209">
        <f t="shared" si="52"/>
        <v>0.95376000000000005</v>
      </c>
      <c r="Z209">
        <f t="shared" si="53"/>
        <v>0.91693999999999998</v>
      </c>
      <c r="AA209">
        <f t="shared" si="54"/>
        <v>0.96809999999999996</v>
      </c>
      <c r="AB209">
        <f t="shared" si="55"/>
        <v>0.87424000000000002</v>
      </c>
      <c r="AC209">
        <f t="shared" si="56"/>
        <v>0.98904000000000003</v>
      </c>
      <c r="AD209">
        <f t="shared" si="57"/>
        <v>0.98031999999999997</v>
      </c>
      <c r="AE209">
        <f t="shared" si="58"/>
        <v>1.00854</v>
      </c>
      <c r="AF209">
        <f t="shared" si="59"/>
        <v>1.02816</v>
      </c>
      <c r="AG209">
        <f t="shared" si="60"/>
        <v>0.87860000000000005</v>
      </c>
      <c r="AH209">
        <f t="shared" si="61"/>
        <v>0.84052000000000004</v>
      </c>
      <c r="AI209">
        <f t="shared" si="62"/>
        <v>0.81396000000000002</v>
      </c>
      <c r="AJ209">
        <f t="shared" si="63"/>
        <v>0.90290000000000004</v>
      </c>
      <c r="EC209">
        <v>607</v>
      </c>
      <c r="ED209">
        <v>0.93896000000000002</v>
      </c>
      <c r="EE209">
        <v>0.66447999999999996</v>
      </c>
      <c r="EF209">
        <v>1.0245599999999999</v>
      </c>
      <c r="EG209">
        <v>0.77583999999999997</v>
      </c>
      <c r="EH209">
        <v>0.95376000000000005</v>
      </c>
      <c r="EI209">
        <v>0.91693999999999998</v>
      </c>
      <c r="EJ209">
        <v>0.96809999999999996</v>
      </c>
      <c r="EK209">
        <v>0.87424000000000002</v>
      </c>
      <c r="EL209">
        <v>0.98904000000000003</v>
      </c>
      <c r="EM209">
        <v>0.98031999999999997</v>
      </c>
      <c r="EN209">
        <v>1.00854</v>
      </c>
      <c r="EO209">
        <v>1.02816</v>
      </c>
      <c r="EP209">
        <v>0.87860000000000005</v>
      </c>
      <c r="EQ209">
        <v>0.84052000000000004</v>
      </c>
      <c r="ER209">
        <v>0.81396000000000002</v>
      </c>
      <c r="ES209">
        <v>0.90290000000000004</v>
      </c>
    </row>
    <row r="210" spans="1:149" x14ac:dyDescent="0.35">
      <c r="A210" s="77"/>
      <c r="B210" s="77">
        <v>608</v>
      </c>
      <c r="C210" s="77">
        <v>0.47021000000000002</v>
      </c>
      <c r="D210" s="77">
        <v>0.33278000000000002</v>
      </c>
      <c r="E210" s="77">
        <v>0.51314000000000004</v>
      </c>
      <c r="F210" s="77">
        <v>0.38857000000000003</v>
      </c>
      <c r="G210" s="77">
        <v>0.47736000000000001</v>
      </c>
      <c r="H210" s="77">
        <v>0.45900999999999997</v>
      </c>
      <c r="I210" s="77">
        <v>0.48455999999999999</v>
      </c>
      <c r="J210" s="77">
        <v>0.43739</v>
      </c>
      <c r="K210" s="77">
        <v>0.49508999999999997</v>
      </c>
      <c r="L210" s="77">
        <v>0.49057000000000001</v>
      </c>
      <c r="M210" s="77">
        <v>0.50488</v>
      </c>
      <c r="N210" s="77">
        <v>0.51473999999999998</v>
      </c>
      <c r="O210" s="77">
        <v>0.43958999999999998</v>
      </c>
      <c r="P210" s="77">
        <v>0.42053000000000001</v>
      </c>
      <c r="Q210" s="77">
        <v>0.40704000000000001</v>
      </c>
      <c r="R210" s="77">
        <v>0.45163999999999999</v>
      </c>
      <c r="T210">
        <v>608</v>
      </c>
      <c r="U210">
        <f t="shared" si="48"/>
        <v>0.94042000000000003</v>
      </c>
      <c r="V210">
        <f t="shared" si="49"/>
        <v>0.66556000000000004</v>
      </c>
      <c r="W210">
        <f t="shared" si="50"/>
        <v>1.0262800000000001</v>
      </c>
      <c r="X210">
        <f t="shared" si="51"/>
        <v>0.77714000000000005</v>
      </c>
      <c r="Y210">
        <f t="shared" si="52"/>
        <v>0.95472000000000001</v>
      </c>
      <c r="Z210">
        <f t="shared" si="53"/>
        <v>0.91801999999999995</v>
      </c>
      <c r="AA210">
        <f t="shared" si="54"/>
        <v>0.96911999999999998</v>
      </c>
      <c r="AB210">
        <f t="shared" si="55"/>
        <v>0.87478</v>
      </c>
      <c r="AC210">
        <f t="shared" si="56"/>
        <v>0.99017999999999995</v>
      </c>
      <c r="AD210">
        <f t="shared" si="57"/>
        <v>0.98114000000000001</v>
      </c>
      <c r="AE210">
        <f t="shared" si="58"/>
        <v>1.00976</v>
      </c>
      <c r="AF210">
        <f t="shared" si="59"/>
        <v>1.02948</v>
      </c>
      <c r="AG210">
        <f t="shared" si="60"/>
        <v>0.87917999999999996</v>
      </c>
      <c r="AH210">
        <f t="shared" si="61"/>
        <v>0.84106000000000003</v>
      </c>
      <c r="AI210">
        <f t="shared" si="62"/>
        <v>0.81408000000000003</v>
      </c>
      <c r="AJ210">
        <f t="shared" si="63"/>
        <v>0.90327999999999997</v>
      </c>
      <c r="EC210">
        <v>608</v>
      </c>
      <c r="ED210">
        <v>0.94042000000000003</v>
      </c>
      <c r="EE210">
        <v>0.66556000000000004</v>
      </c>
      <c r="EF210">
        <v>1.0262800000000001</v>
      </c>
      <c r="EG210">
        <v>0.77714000000000005</v>
      </c>
      <c r="EH210">
        <v>0.95472000000000001</v>
      </c>
      <c r="EI210">
        <v>0.91801999999999995</v>
      </c>
      <c r="EJ210">
        <v>0.96911999999999998</v>
      </c>
      <c r="EK210">
        <v>0.87478</v>
      </c>
      <c r="EL210">
        <v>0.99017999999999995</v>
      </c>
      <c r="EM210">
        <v>0.98114000000000001</v>
      </c>
      <c r="EN210">
        <v>1.00976</v>
      </c>
      <c r="EO210">
        <v>1.02948</v>
      </c>
      <c r="EP210">
        <v>0.87917999999999996</v>
      </c>
      <c r="EQ210">
        <v>0.84106000000000003</v>
      </c>
      <c r="ER210">
        <v>0.81408000000000003</v>
      </c>
      <c r="ES210">
        <v>0.90327999999999997</v>
      </c>
    </row>
    <row r="211" spans="1:149" x14ac:dyDescent="0.35">
      <c r="A211" s="77"/>
      <c r="B211" s="77">
        <v>609</v>
      </c>
      <c r="C211" s="77">
        <v>0.47111999999999998</v>
      </c>
      <c r="D211" s="77">
        <v>0.33337</v>
      </c>
      <c r="E211" s="77">
        <v>0.51420999999999994</v>
      </c>
      <c r="F211" s="77">
        <v>0.38930999999999999</v>
      </c>
      <c r="G211" s="77">
        <v>0.47774</v>
      </c>
      <c r="H211" s="77">
        <v>0.45943000000000001</v>
      </c>
      <c r="I211" s="77">
        <v>0.48508000000000001</v>
      </c>
      <c r="J211" s="77">
        <v>0.43768000000000001</v>
      </c>
      <c r="K211" s="77">
        <v>0.49576999999999999</v>
      </c>
      <c r="L211" s="77">
        <v>0.49120000000000003</v>
      </c>
      <c r="M211" s="77">
        <v>0.50543000000000005</v>
      </c>
      <c r="N211" s="77">
        <v>0.51534999999999997</v>
      </c>
      <c r="O211" s="77">
        <v>0.43974000000000002</v>
      </c>
      <c r="P211" s="77">
        <v>0.42064000000000001</v>
      </c>
      <c r="Q211" s="77">
        <v>0.40721000000000002</v>
      </c>
      <c r="R211" s="77">
        <v>0.45177</v>
      </c>
      <c r="T211">
        <v>609</v>
      </c>
      <c r="U211">
        <f t="shared" si="48"/>
        <v>0.94223999999999997</v>
      </c>
      <c r="V211">
        <f t="shared" si="49"/>
        <v>0.66674</v>
      </c>
      <c r="W211">
        <f t="shared" si="50"/>
        <v>1.0284199999999999</v>
      </c>
      <c r="X211">
        <f t="shared" si="51"/>
        <v>0.77861999999999998</v>
      </c>
      <c r="Y211">
        <f t="shared" si="52"/>
        <v>0.95548</v>
      </c>
      <c r="Z211">
        <f t="shared" si="53"/>
        <v>0.91886000000000001</v>
      </c>
      <c r="AA211">
        <f t="shared" si="54"/>
        <v>0.97016000000000002</v>
      </c>
      <c r="AB211">
        <f t="shared" si="55"/>
        <v>0.87536000000000003</v>
      </c>
      <c r="AC211">
        <f t="shared" si="56"/>
        <v>0.99153999999999998</v>
      </c>
      <c r="AD211">
        <f t="shared" si="57"/>
        <v>0.98240000000000005</v>
      </c>
      <c r="AE211">
        <f t="shared" si="58"/>
        <v>1.0108600000000001</v>
      </c>
      <c r="AF211">
        <f t="shared" si="59"/>
        <v>1.0306999999999999</v>
      </c>
      <c r="AG211">
        <f t="shared" si="60"/>
        <v>0.87948000000000004</v>
      </c>
      <c r="AH211">
        <f t="shared" si="61"/>
        <v>0.84128000000000003</v>
      </c>
      <c r="AI211">
        <f t="shared" si="62"/>
        <v>0.81442000000000003</v>
      </c>
      <c r="AJ211">
        <f t="shared" si="63"/>
        <v>0.90354000000000001</v>
      </c>
      <c r="EC211">
        <v>609</v>
      </c>
      <c r="ED211">
        <v>0.94223999999999997</v>
      </c>
      <c r="EE211">
        <v>0.66674</v>
      </c>
      <c r="EF211">
        <v>1.0284199999999999</v>
      </c>
      <c r="EG211">
        <v>0.77861999999999998</v>
      </c>
      <c r="EH211">
        <v>0.95548</v>
      </c>
      <c r="EI211">
        <v>0.91886000000000001</v>
      </c>
      <c r="EJ211">
        <v>0.97016000000000002</v>
      </c>
      <c r="EK211">
        <v>0.87536000000000003</v>
      </c>
      <c r="EL211">
        <v>0.99153999999999998</v>
      </c>
      <c r="EM211">
        <v>0.98240000000000005</v>
      </c>
      <c r="EN211">
        <v>1.0108600000000001</v>
      </c>
      <c r="EO211">
        <v>1.0306999999999999</v>
      </c>
      <c r="EP211">
        <v>0.87948000000000004</v>
      </c>
      <c r="EQ211">
        <v>0.84128000000000003</v>
      </c>
      <c r="ER211">
        <v>0.81442000000000003</v>
      </c>
      <c r="ES211">
        <v>0.90354000000000001</v>
      </c>
    </row>
    <row r="212" spans="1:149" x14ac:dyDescent="0.35">
      <c r="A212" s="77"/>
      <c r="B212" s="77">
        <v>610</v>
      </c>
      <c r="C212" s="77">
        <v>0.47226000000000001</v>
      </c>
      <c r="D212" s="77">
        <v>0.33409</v>
      </c>
      <c r="E212" s="77">
        <v>0.51546000000000003</v>
      </c>
      <c r="F212" s="77">
        <v>0.39026</v>
      </c>
      <c r="G212" s="77">
        <v>0.47826999999999997</v>
      </c>
      <c r="H212" s="77">
        <v>0.46004</v>
      </c>
      <c r="I212" s="77">
        <v>0.48575000000000002</v>
      </c>
      <c r="J212" s="77">
        <v>0.43797000000000003</v>
      </c>
      <c r="K212" s="77">
        <v>0.49651000000000001</v>
      </c>
      <c r="L212" s="77">
        <v>0.49179</v>
      </c>
      <c r="M212" s="77">
        <v>0.50609000000000004</v>
      </c>
      <c r="N212" s="77">
        <v>0.51607999999999998</v>
      </c>
      <c r="O212" s="77">
        <v>0.44002000000000002</v>
      </c>
      <c r="P212" s="77">
        <v>0.42081000000000002</v>
      </c>
      <c r="Q212" s="77">
        <v>0.40742</v>
      </c>
      <c r="R212" s="77">
        <v>0.45208999999999999</v>
      </c>
      <c r="T212">
        <v>610</v>
      </c>
      <c r="U212">
        <f t="shared" si="48"/>
        <v>0.94452000000000003</v>
      </c>
      <c r="V212">
        <f t="shared" si="49"/>
        <v>0.66818</v>
      </c>
      <c r="W212">
        <f t="shared" si="50"/>
        <v>1.0309200000000001</v>
      </c>
      <c r="X212">
        <f t="shared" si="51"/>
        <v>0.78051999999999999</v>
      </c>
      <c r="Y212">
        <f t="shared" si="52"/>
        <v>0.95653999999999995</v>
      </c>
      <c r="Z212">
        <f t="shared" si="53"/>
        <v>0.92008000000000001</v>
      </c>
      <c r="AA212">
        <f t="shared" si="54"/>
        <v>0.97150000000000003</v>
      </c>
      <c r="AB212">
        <f t="shared" si="55"/>
        <v>0.87594000000000005</v>
      </c>
      <c r="AC212">
        <f t="shared" si="56"/>
        <v>0.99302000000000001</v>
      </c>
      <c r="AD212">
        <f t="shared" si="57"/>
        <v>0.98358000000000001</v>
      </c>
      <c r="AE212">
        <f t="shared" si="58"/>
        <v>1.0121800000000001</v>
      </c>
      <c r="AF212">
        <f t="shared" si="59"/>
        <v>1.03216</v>
      </c>
      <c r="AG212">
        <f t="shared" si="60"/>
        <v>0.88004000000000004</v>
      </c>
      <c r="AH212">
        <f t="shared" si="61"/>
        <v>0.84162000000000003</v>
      </c>
      <c r="AI212">
        <f t="shared" si="62"/>
        <v>0.81484000000000001</v>
      </c>
      <c r="AJ212">
        <f t="shared" si="63"/>
        <v>0.90417999999999998</v>
      </c>
      <c r="EC212">
        <v>610</v>
      </c>
      <c r="ED212">
        <v>0.94452000000000003</v>
      </c>
      <c r="EE212">
        <v>0.66818</v>
      </c>
      <c r="EF212">
        <v>1.0309200000000001</v>
      </c>
      <c r="EG212">
        <v>0.78051999999999999</v>
      </c>
      <c r="EH212">
        <v>0.95653999999999995</v>
      </c>
      <c r="EI212">
        <v>0.92008000000000001</v>
      </c>
      <c r="EJ212">
        <v>0.97150000000000003</v>
      </c>
      <c r="EK212">
        <v>0.87594000000000005</v>
      </c>
      <c r="EL212">
        <v>0.99302000000000001</v>
      </c>
      <c r="EM212">
        <v>0.98358000000000001</v>
      </c>
      <c r="EN212">
        <v>1.0121800000000001</v>
      </c>
      <c r="EO212">
        <v>1.03216</v>
      </c>
      <c r="EP212">
        <v>0.88004000000000004</v>
      </c>
      <c r="EQ212">
        <v>0.84162000000000003</v>
      </c>
      <c r="ER212">
        <v>0.81484000000000001</v>
      </c>
      <c r="ES212">
        <v>0.90417999999999998</v>
      </c>
    </row>
    <row r="213" spans="1:149" x14ac:dyDescent="0.35">
      <c r="A213" s="77"/>
      <c r="B213" s="77">
        <v>611</v>
      </c>
      <c r="C213" s="77">
        <v>0.47350999999999999</v>
      </c>
      <c r="D213" s="77">
        <v>0.33495999999999998</v>
      </c>
      <c r="E213" s="77">
        <v>0.51690999999999998</v>
      </c>
      <c r="F213" s="77">
        <v>0.39134000000000002</v>
      </c>
      <c r="G213" s="77">
        <v>0.47899000000000003</v>
      </c>
      <c r="H213" s="77">
        <v>0.46077000000000001</v>
      </c>
      <c r="I213" s="77">
        <v>0.48647000000000001</v>
      </c>
      <c r="J213" s="77">
        <v>0.43841999999999998</v>
      </c>
      <c r="K213" s="77">
        <v>0.49741000000000002</v>
      </c>
      <c r="L213" s="77">
        <v>0.49248999999999998</v>
      </c>
      <c r="M213" s="77">
        <v>0.50692999999999999</v>
      </c>
      <c r="N213" s="77">
        <v>0.51693999999999996</v>
      </c>
      <c r="O213" s="77">
        <v>0.44030999999999998</v>
      </c>
      <c r="P213" s="77">
        <v>0.42104000000000003</v>
      </c>
      <c r="Q213" s="77">
        <v>0.40775</v>
      </c>
      <c r="R213" s="77">
        <v>0.45227000000000001</v>
      </c>
      <c r="T213">
        <v>611</v>
      </c>
      <c r="U213">
        <f t="shared" si="48"/>
        <v>0.94701999999999997</v>
      </c>
      <c r="V213">
        <f t="shared" si="49"/>
        <v>0.66991999999999996</v>
      </c>
      <c r="W213">
        <f t="shared" si="50"/>
        <v>1.03382</v>
      </c>
      <c r="X213">
        <f t="shared" si="51"/>
        <v>0.78268000000000004</v>
      </c>
      <c r="Y213">
        <f t="shared" si="52"/>
        <v>0.95798000000000005</v>
      </c>
      <c r="Z213">
        <f t="shared" si="53"/>
        <v>0.92154000000000003</v>
      </c>
      <c r="AA213">
        <f t="shared" si="54"/>
        <v>0.97294000000000003</v>
      </c>
      <c r="AB213">
        <f t="shared" si="55"/>
        <v>0.87683999999999995</v>
      </c>
      <c r="AC213">
        <f t="shared" si="56"/>
        <v>0.99482000000000004</v>
      </c>
      <c r="AD213">
        <f t="shared" si="57"/>
        <v>0.98497999999999997</v>
      </c>
      <c r="AE213">
        <f t="shared" si="58"/>
        <v>1.01386</v>
      </c>
      <c r="AF213">
        <f t="shared" si="59"/>
        <v>1.0338799999999999</v>
      </c>
      <c r="AG213">
        <f t="shared" si="60"/>
        <v>0.88061999999999996</v>
      </c>
      <c r="AH213">
        <f t="shared" si="61"/>
        <v>0.84208000000000005</v>
      </c>
      <c r="AI213">
        <f t="shared" si="62"/>
        <v>0.8155</v>
      </c>
      <c r="AJ213">
        <f t="shared" si="63"/>
        <v>0.90454000000000001</v>
      </c>
      <c r="EC213">
        <v>611</v>
      </c>
      <c r="ED213">
        <v>0.94701999999999997</v>
      </c>
      <c r="EE213">
        <v>0.66991999999999996</v>
      </c>
      <c r="EF213">
        <v>1.03382</v>
      </c>
      <c r="EG213">
        <v>0.78268000000000004</v>
      </c>
      <c r="EH213">
        <v>0.95798000000000005</v>
      </c>
      <c r="EI213">
        <v>0.92154000000000003</v>
      </c>
      <c r="EJ213">
        <v>0.97294000000000003</v>
      </c>
      <c r="EK213">
        <v>0.87683999999999995</v>
      </c>
      <c r="EL213">
        <v>0.99482000000000004</v>
      </c>
      <c r="EM213">
        <v>0.98497999999999997</v>
      </c>
      <c r="EN213">
        <v>1.01386</v>
      </c>
      <c r="EO213">
        <v>1.0338799999999999</v>
      </c>
      <c r="EP213">
        <v>0.88061999999999996</v>
      </c>
      <c r="EQ213">
        <v>0.84208000000000005</v>
      </c>
      <c r="ER213">
        <v>0.8155</v>
      </c>
      <c r="ES213">
        <v>0.90454000000000001</v>
      </c>
    </row>
    <row r="214" spans="1:149" x14ac:dyDescent="0.35">
      <c r="A214" s="77"/>
      <c r="B214" s="77">
        <v>612</v>
      </c>
      <c r="C214" s="77">
        <v>0.47488000000000002</v>
      </c>
      <c r="D214" s="77">
        <v>0.33589000000000002</v>
      </c>
      <c r="E214" s="77">
        <v>0.51849000000000001</v>
      </c>
      <c r="F214" s="77">
        <v>0.39250000000000002</v>
      </c>
      <c r="G214" s="77">
        <v>0.47964000000000001</v>
      </c>
      <c r="H214" s="77">
        <v>0.46155000000000002</v>
      </c>
      <c r="I214" s="77">
        <v>0.48726000000000003</v>
      </c>
      <c r="J214" s="77">
        <v>0.43885999999999997</v>
      </c>
      <c r="K214" s="77">
        <v>0.49834000000000001</v>
      </c>
      <c r="L214" s="77">
        <v>0.49339</v>
      </c>
      <c r="M214" s="77">
        <v>0.50787000000000004</v>
      </c>
      <c r="N214" s="77">
        <v>0.51793</v>
      </c>
      <c r="O214" s="77">
        <v>0.44069999999999998</v>
      </c>
      <c r="P214" s="77">
        <v>0.42131000000000002</v>
      </c>
      <c r="Q214" s="77">
        <v>0.40789999999999998</v>
      </c>
      <c r="R214" s="77">
        <v>0.45268000000000003</v>
      </c>
      <c r="T214">
        <v>612</v>
      </c>
      <c r="U214">
        <f t="shared" si="48"/>
        <v>0.94976000000000005</v>
      </c>
      <c r="V214">
        <f t="shared" si="49"/>
        <v>0.67178000000000004</v>
      </c>
      <c r="W214">
        <f t="shared" si="50"/>
        <v>1.03698</v>
      </c>
      <c r="X214">
        <f t="shared" si="51"/>
        <v>0.78500000000000003</v>
      </c>
      <c r="Y214">
        <f t="shared" si="52"/>
        <v>0.95928000000000002</v>
      </c>
      <c r="Z214">
        <f t="shared" si="53"/>
        <v>0.92310000000000003</v>
      </c>
      <c r="AA214">
        <f t="shared" si="54"/>
        <v>0.97452000000000005</v>
      </c>
      <c r="AB214">
        <f t="shared" si="55"/>
        <v>0.87771999999999994</v>
      </c>
      <c r="AC214">
        <f t="shared" si="56"/>
        <v>0.99668000000000001</v>
      </c>
      <c r="AD214">
        <f t="shared" si="57"/>
        <v>0.98677999999999999</v>
      </c>
      <c r="AE214">
        <f t="shared" si="58"/>
        <v>1.0157400000000001</v>
      </c>
      <c r="AF214">
        <f t="shared" si="59"/>
        <v>1.03586</v>
      </c>
      <c r="AG214">
        <f t="shared" si="60"/>
        <v>0.88139999999999996</v>
      </c>
      <c r="AH214">
        <f t="shared" si="61"/>
        <v>0.84262000000000004</v>
      </c>
      <c r="AI214">
        <f t="shared" si="62"/>
        <v>0.81579999999999997</v>
      </c>
      <c r="AJ214">
        <f t="shared" si="63"/>
        <v>0.90536000000000005</v>
      </c>
      <c r="EC214">
        <v>612</v>
      </c>
      <c r="ED214">
        <v>0.94976000000000005</v>
      </c>
      <c r="EE214">
        <v>0.67178000000000004</v>
      </c>
      <c r="EF214">
        <v>1.03698</v>
      </c>
      <c r="EG214">
        <v>0.78500000000000003</v>
      </c>
      <c r="EH214">
        <v>0.95928000000000002</v>
      </c>
      <c r="EI214">
        <v>0.92310000000000003</v>
      </c>
      <c r="EJ214">
        <v>0.97452000000000005</v>
      </c>
      <c r="EK214">
        <v>0.87771999999999994</v>
      </c>
      <c r="EL214">
        <v>0.99668000000000001</v>
      </c>
      <c r="EM214">
        <v>0.98677999999999999</v>
      </c>
      <c r="EN214">
        <v>1.0157400000000001</v>
      </c>
      <c r="EO214">
        <v>1.03586</v>
      </c>
      <c r="EP214">
        <v>0.88139999999999996</v>
      </c>
      <c r="EQ214">
        <v>0.84262000000000004</v>
      </c>
      <c r="ER214">
        <v>0.81579999999999997</v>
      </c>
      <c r="ES214">
        <v>0.90536000000000005</v>
      </c>
    </row>
    <row r="215" spans="1:149" x14ac:dyDescent="0.35">
      <c r="A215" s="77"/>
      <c r="B215" s="77">
        <v>613</v>
      </c>
      <c r="C215" s="77">
        <v>0.47658</v>
      </c>
      <c r="D215" s="77">
        <v>0.33694000000000002</v>
      </c>
      <c r="E215" s="77">
        <v>0.52036000000000004</v>
      </c>
      <c r="F215" s="77">
        <v>0.39391999999999999</v>
      </c>
      <c r="G215" s="77">
        <v>0.48049999999999998</v>
      </c>
      <c r="H215" s="77">
        <v>0.46249000000000001</v>
      </c>
      <c r="I215" s="77">
        <v>0.48821999999999999</v>
      </c>
      <c r="J215" s="77">
        <v>0.43951000000000001</v>
      </c>
      <c r="K215" s="77">
        <v>0.49940000000000001</v>
      </c>
      <c r="L215" s="77">
        <v>0.49428</v>
      </c>
      <c r="M215" s="77">
        <v>0.50883</v>
      </c>
      <c r="N215" s="77">
        <v>0.51917000000000002</v>
      </c>
      <c r="O215" s="77">
        <v>0.44112000000000001</v>
      </c>
      <c r="P215" s="77">
        <v>0.42169000000000001</v>
      </c>
      <c r="Q215" s="77">
        <v>0.40828999999999999</v>
      </c>
      <c r="R215" s="77">
        <v>0.45313999999999999</v>
      </c>
      <c r="T215">
        <v>613</v>
      </c>
      <c r="U215">
        <f t="shared" si="48"/>
        <v>0.95316000000000001</v>
      </c>
      <c r="V215">
        <f t="shared" si="49"/>
        <v>0.67388000000000003</v>
      </c>
      <c r="W215">
        <f t="shared" si="50"/>
        <v>1.0407200000000001</v>
      </c>
      <c r="X215">
        <f t="shared" si="51"/>
        <v>0.78783999999999998</v>
      </c>
      <c r="Y215">
        <f t="shared" si="52"/>
        <v>0.96099999999999997</v>
      </c>
      <c r="Z215">
        <f t="shared" si="53"/>
        <v>0.92498000000000002</v>
      </c>
      <c r="AA215">
        <f t="shared" si="54"/>
        <v>0.97643999999999997</v>
      </c>
      <c r="AB215">
        <f t="shared" si="55"/>
        <v>0.87902000000000002</v>
      </c>
      <c r="AC215">
        <f t="shared" si="56"/>
        <v>0.99880000000000002</v>
      </c>
      <c r="AD215">
        <f t="shared" si="57"/>
        <v>0.98855999999999999</v>
      </c>
      <c r="AE215">
        <f t="shared" si="58"/>
        <v>1.01766</v>
      </c>
      <c r="AF215">
        <f t="shared" si="59"/>
        <v>1.03834</v>
      </c>
      <c r="AG215">
        <f t="shared" si="60"/>
        <v>0.88224000000000002</v>
      </c>
      <c r="AH215">
        <f t="shared" si="61"/>
        <v>0.84338000000000002</v>
      </c>
      <c r="AI215">
        <f t="shared" si="62"/>
        <v>0.81657999999999997</v>
      </c>
      <c r="AJ215">
        <f t="shared" si="63"/>
        <v>0.90627999999999997</v>
      </c>
      <c r="EC215">
        <v>613</v>
      </c>
      <c r="ED215">
        <v>0.95316000000000001</v>
      </c>
      <c r="EE215">
        <v>0.67388000000000003</v>
      </c>
      <c r="EF215">
        <v>1.0407200000000001</v>
      </c>
      <c r="EG215">
        <v>0.78783999999999998</v>
      </c>
      <c r="EH215">
        <v>0.96099999999999997</v>
      </c>
      <c r="EI215">
        <v>0.92498000000000002</v>
      </c>
      <c r="EJ215">
        <v>0.97643999999999997</v>
      </c>
      <c r="EK215">
        <v>0.87902000000000002</v>
      </c>
      <c r="EL215">
        <v>0.99880000000000002</v>
      </c>
      <c r="EM215">
        <v>0.98855999999999999</v>
      </c>
      <c r="EN215">
        <v>1.01766</v>
      </c>
      <c r="EO215">
        <v>1.03834</v>
      </c>
      <c r="EP215">
        <v>0.88224000000000002</v>
      </c>
      <c r="EQ215">
        <v>0.84338000000000002</v>
      </c>
      <c r="ER215">
        <v>0.81657999999999997</v>
      </c>
      <c r="ES215">
        <v>0.90627999999999997</v>
      </c>
    </row>
    <row r="216" spans="1:149" x14ac:dyDescent="0.35">
      <c r="A216" s="77"/>
      <c r="B216" s="77">
        <v>614</v>
      </c>
      <c r="C216" s="77">
        <v>0.47824</v>
      </c>
      <c r="D216" s="77">
        <v>0.33806999999999998</v>
      </c>
      <c r="E216" s="77">
        <v>0.52231000000000005</v>
      </c>
      <c r="F216" s="77">
        <v>0.39539999999999997</v>
      </c>
      <c r="G216" s="77">
        <v>0.48146</v>
      </c>
      <c r="H216" s="77">
        <v>0.46356000000000003</v>
      </c>
      <c r="I216" s="77">
        <v>0.48924000000000001</v>
      </c>
      <c r="J216" s="77">
        <v>0.44008999999999998</v>
      </c>
      <c r="K216" s="77">
        <v>0.50065999999999999</v>
      </c>
      <c r="L216" s="77">
        <v>0.49525000000000002</v>
      </c>
      <c r="M216" s="77">
        <v>0.50988999999999995</v>
      </c>
      <c r="N216" s="77">
        <v>0.52027999999999996</v>
      </c>
      <c r="O216" s="77">
        <v>0.44158999999999998</v>
      </c>
      <c r="P216" s="77">
        <v>0.42199999999999999</v>
      </c>
      <c r="Q216" s="77">
        <v>0.40860000000000002</v>
      </c>
      <c r="R216" s="77">
        <v>0.45357999999999998</v>
      </c>
      <c r="T216">
        <v>614</v>
      </c>
      <c r="U216">
        <f t="shared" si="48"/>
        <v>0.95648</v>
      </c>
      <c r="V216">
        <f t="shared" si="49"/>
        <v>0.67613999999999996</v>
      </c>
      <c r="W216">
        <f t="shared" si="50"/>
        <v>1.0446200000000001</v>
      </c>
      <c r="X216">
        <f t="shared" si="51"/>
        <v>0.79079999999999995</v>
      </c>
      <c r="Y216">
        <f t="shared" si="52"/>
        <v>0.96292</v>
      </c>
      <c r="Z216">
        <f t="shared" si="53"/>
        <v>0.92712000000000006</v>
      </c>
      <c r="AA216">
        <f t="shared" si="54"/>
        <v>0.97848000000000002</v>
      </c>
      <c r="AB216">
        <f t="shared" si="55"/>
        <v>0.88017999999999996</v>
      </c>
      <c r="AC216">
        <f t="shared" si="56"/>
        <v>1.00132</v>
      </c>
      <c r="AD216">
        <f t="shared" si="57"/>
        <v>0.99050000000000005</v>
      </c>
      <c r="AE216">
        <f t="shared" si="58"/>
        <v>1.0197799999999999</v>
      </c>
      <c r="AF216">
        <f t="shared" si="59"/>
        <v>1.0405599999999999</v>
      </c>
      <c r="AG216">
        <f t="shared" si="60"/>
        <v>0.88317999999999997</v>
      </c>
      <c r="AH216">
        <f t="shared" si="61"/>
        <v>0.84399999999999997</v>
      </c>
      <c r="AI216">
        <f t="shared" si="62"/>
        <v>0.81720000000000004</v>
      </c>
      <c r="AJ216">
        <f t="shared" si="63"/>
        <v>0.90715999999999997</v>
      </c>
      <c r="EC216">
        <v>614</v>
      </c>
      <c r="ED216">
        <v>0.95648</v>
      </c>
      <c r="EE216">
        <v>0.67613999999999996</v>
      </c>
      <c r="EF216">
        <v>1.0446200000000001</v>
      </c>
      <c r="EG216">
        <v>0.79079999999999995</v>
      </c>
      <c r="EH216">
        <v>0.96292</v>
      </c>
      <c r="EI216">
        <v>0.92712000000000006</v>
      </c>
      <c r="EJ216">
        <v>0.97848000000000002</v>
      </c>
      <c r="EK216">
        <v>0.88017999999999996</v>
      </c>
      <c r="EL216">
        <v>1.00132</v>
      </c>
      <c r="EM216">
        <v>0.99050000000000005</v>
      </c>
      <c r="EN216">
        <v>1.0197799999999999</v>
      </c>
      <c r="EO216">
        <v>1.0405599999999999</v>
      </c>
      <c r="EP216">
        <v>0.88317999999999997</v>
      </c>
      <c r="EQ216">
        <v>0.84399999999999997</v>
      </c>
      <c r="ER216">
        <v>0.81720000000000004</v>
      </c>
      <c r="ES216">
        <v>0.90715999999999997</v>
      </c>
    </row>
    <row r="217" spans="1:149" x14ac:dyDescent="0.35">
      <c r="A217" s="77"/>
      <c r="B217" s="77">
        <v>615</v>
      </c>
      <c r="C217" s="77">
        <v>0.48007</v>
      </c>
      <c r="D217" s="77">
        <v>0.33935999999999999</v>
      </c>
      <c r="E217" s="77">
        <v>0.52434000000000003</v>
      </c>
      <c r="F217" s="77">
        <v>0.39702999999999999</v>
      </c>
      <c r="G217" s="77">
        <v>0.48242000000000002</v>
      </c>
      <c r="H217" s="77">
        <v>0.46460000000000001</v>
      </c>
      <c r="I217" s="77">
        <v>0.49030000000000001</v>
      </c>
      <c r="J217" s="77">
        <v>0.44078000000000001</v>
      </c>
      <c r="K217" s="77">
        <v>0.50185000000000002</v>
      </c>
      <c r="L217" s="77">
        <v>0.49641000000000002</v>
      </c>
      <c r="M217" s="77">
        <v>0.51099000000000006</v>
      </c>
      <c r="N217" s="77">
        <v>0.52146999999999999</v>
      </c>
      <c r="O217" s="77">
        <v>0.44223000000000001</v>
      </c>
      <c r="P217" s="77">
        <v>0.42241000000000001</v>
      </c>
      <c r="Q217" s="77">
        <v>0.40909000000000001</v>
      </c>
      <c r="R217" s="77">
        <v>0.4541</v>
      </c>
      <c r="T217">
        <v>615</v>
      </c>
      <c r="U217">
        <f t="shared" si="48"/>
        <v>0.96013999999999999</v>
      </c>
      <c r="V217">
        <f t="shared" si="49"/>
        <v>0.67871999999999999</v>
      </c>
      <c r="W217">
        <f t="shared" si="50"/>
        <v>1.0486800000000001</v>
      </c>
      <c r="X217">
        <f t="shared" si="51"/>
        <v>0.79405999999999999</v>
      </c>
      <c r="Y217">
        <f t="shared" si="52"/>
        <v>0.96484000000000003</v>
      </c>
      <c r="Z217">
        <f t="shared" si="53"/>
        <v>0.92920000000000003</v>
      </c>
      <c r="AA217">
        <f t="shared" si="54"/>
        <v>0.98060000000000003</v>
      </c>
      <c r="AB217">
        <f t="shared" si="55"/>
        <v>0.88156000000000001</v>
      </c>
      <c r="AC217">
        <f t="shared" si="56"/>
        <v>1.0037</v>
      </c>
      <c r="AD217">
        <f t="shared" si="57"/>
        <v>0.99282000000000004</v>
      </c>
      <c r="AE217">
        <f t="shared" si="58"/>
        <v>1.0219800000000001</v>
      </c>
      <c r="AF217">
        <f t="shared" si="59"/>
        <v>1.04294</v>
      </c>
      <c r="AG217">
        <f t="shared" si="60"/>
        <v>0.88446000000000002</v>
      </c>
      <c r="AH217">
        <f t="shared" si="61"/>
        <v>0.84482000000000002</v>
      </c>
      <c r="AI217">
        <f t="shared" si="62"/>
        <v>0.81818000000000002</v>
      </c>
      <c r="AJ217">
        <f t="shared" si="63"/>
        <v>0.90820000000000001</v>
      </c>
      <c r="EC217">
        <v>615</v>
      </c>
      <c r="ED217">
        <v>0.96013999999999999</v>
      </c>
      <c r="EE217">
        <v>0.67871999999999999</v>
      </c>
      <c r="EF217">
        <v>1.0486800000000001</v>
      </c>
      <c r="EG217">
        <v>0.79405999999999999</v>
      </c>
      <c r="EH217">
        <v>0.96484000000000003</v>
      </c>
      <c r="EI217">
        <v>0.92920000000000003</v>
      </c>
      <c r="EJ217">
        <v>0.98060000000000003</v>
      </c>
      <c r="EK217">
        <v>0.88156000000000001</v>
      </c>
      <c r="EL217">
        <v>1.0037</v>
      </c>
      <c r="EM217">
        <v>0.99282000000000004</v>
      </c>
      <c r="EN217">
        <v>1.0219800000000001</v>
      </c>
      <c r="EO217">
        <v>1.04294</v>
      </c>
      <c r="EP217">
        <v>0.88446000000000002</v>
      </c>
      <c r="EQ217">
        <v>0.84482000000000002</v>
      </c>
      <c r="ER217">
        <v>0.81818000000000002</v>
      </c>
      <c r="ES217">
        <v>0.90820000000000001</v>
      </c>
    </row>
    <row r="218" spans="1:149" x14ac:dyDescent="0.35">
      <c r="A218" s="77"/>
      <c r="B218" s="77">
        <v>616</v>
      </c>
      <c r="C218" s="77">
        <v>0.48215000000000002</v>
      </c>
      <c r="D218" s="77">
        <v>0.34077000000000002</v>
      </c>
      <c r="E218" s="77">
        <v>0.52666000000000002</v>
      </c>
      <c r="F218" s="77">
        <v>0.39872999999999997</v>
      </c>
      <c r="G218" s="77">
        <v>0.48337999999999998</v>
      </c>
      <c r="H218" s="77">
        <v>0.46564</v>
      </c>
      <c r="I218" s="77">
        <v>0.49141000000000001</v>
      </c>
      <c r="J218" s="77">
        <v>0.44145000000000001</v>
      </c>
      <c r="K218" s="77">
        <v>0.50307000000000002</v>
      </c>
      <c r="L218" s="77">
        <v>0.49743999999999999</v>
      </c>
      <c r="M218" s="77">
        <v>0.51215999999999995</v>
      </c>
      <c r="N218" s="77">
        <v>0.52288999999999997</v>
      </c>
      <c r="O218" s="77">
        <v>0.44267000000000001</v>
      </c>
      <c r="P218" s="77">
        <v>0.42287000000000002</v>
      </c>
      <c r="Q218" s="77">
        <v>0.40949999999999998</v>
      </c>
      <c r="R218" s="77">
        <v>0.45465</v>
      </c>
      <c r="T218">
        <v>616</v>
      </c>
      <c r="U218">
        <f t="shared" si="48"/>
        <v>0.96430000000000005</v>
      </c>
      <c r="V218">
        <f t="shared" si="49"/>
        <v>0.68154000000000003</v>
      </c>
      <c r="W218">
        <f t="shared" si="50"/>
        <v>1.05332</v>
      </c>
      <c r="X218">
        <f t="shared" si="51"/>
        <v>0.79745999999999995</v>
      </c>
      <c r="Y218">
        <f t="shared" si="52"/>
        <v>0.96675999999999995</v>
      </c>
      <c r="Z218">
        <f t="shared" si="53"/>
        <v>0.93128</v>
      </c>
      <c r="AA218">
        <f t="shared" si="54"/>
        <v>0.98282000000000003</v>
      </c>
      <c r="AB218">
        <f t="shared" si="55"/>
        <v>0.88290000000000002</v>
      </c>
      <c r="AC218">
        <f t="shared" si="56"/>
        <v>1.00614</v>
      </c>
      <c r="AD218">
        <f t="shared" si="57"/>
        <v>0.99487999999999999</v>
      </c>
      <c r="AE218">
        <f t="shared" si="58"/>
        <v>1.0243199999999999</v>
      </c>
      <c r="AF218">
        <f t="shared" si="59"/>
        <v>1.0457799999999999</v>
      </c>
      <c r="AG218">
        <f t="shared" si="60"/>
        <v>0.88534000000000002</v>
      </c>
      <c r="AH218">
        <f t="shared" si="61"/>
        <v>0.84574000000000005</v>
      </c>
      <c r="AI218">
        <f t="shared" si="62"/>
        <v>0.81899999999999995</v>
      </c>
      <c r="AJ218">
        <f t="shared" si="63"/>
        <v>0.9093</v>
      </c>
      <c r="EC218">
        <v>616</v>
      </c>
      <c r="ED218">
        <v>0.96430000000000005</v>
      </c>
      <c r="EE218">
        <v>0.68154000000000003</v>
      </c>
      <c r="EF218">
        <v>1.05332</v>
      </c>
      <c r="EG218">
        <v>0.79745999999999995</v>
      </c>
      <c r="EH218">
        <v>0.96675999999999995</v>
      </c>
      <c r="EI218">
        <v>0.93128</v>
      </c>
      <c r="EJ218">
        <v>0.98282000000000003</v>
      </c>
      <c r="EK218">
        <v>0.88290000000000002</v>
      </c>
      <c r="EL218">
        <v>1.00614</v>
      </c>
      <c r="EM218">
        <v>0.99487999999999999</v>
      </c>
      <c r="EN218">
        <v>1.0243199999999999</v>
      </c>
      <c r="EO218">
        <v>1.0457799999999999</v>
      </c>
      <c r="EP218">
        <v>0.88534000000000002</v>
      </c>
      <c r="EQ218">
        <v>0.84574000000000005</v>
      </c>
      <c r="ER218">
        <v>0.81899999999999995</v>
      </c>
      <c r="ES218">
        <v>0.9093</v>
      </c>
    </row>
    <row r="219" spans="1:149" x14ac:dyDescent="0.35">
      <c r="A219" s="77"/>
      <c r="B219" s="77">
        <v>617</v>
      </c>
      <c r="C219" s="77">
        <v>0.48442000000000002</v>
      </c>
      <c r="D219" s="77">
        <v>0.34228999999999998</v>
      </c>
      <c r="E219" s="77">
        <v>0.52920999999999996</v>
      </c>
      <c r="F219" s="77">
        <v>0.40065000000000001</v>
      </c>
      <c r="G219" s="77">
        <v>0.48459000000000002</v>
      </c>
      <c r="H219" s="77">
        <v>0.46698000000000001</v>
      </c>
      <c r="I219" s="77">
        <v>0.49271999999999999</v>
      </c>
      <c r="J219" s="77">
        <v>0.44235000000000002</v>
      </c>
      <c r="K219" s="77">
        <v>0.50468000000000002</v>
      </c>
      <c r="L219" s="77">
        <v>0.49875000000000003</v>
      </c>
      <c r="M219" s="77">
        <v>0.51353000000000004</v>
      </c>
      <c r="N219" s="77">
        <v>0.52437</v>
      </c>
      <c r="O219" s="77">
        <v>0.44336999999999999</v>
      </c>
      <c r="P219" s="77">
        <v>0.4234</v>
      </c>
      <c r="Q219" s="77">
        <v>0.41010000000000002</v>
      </c>
      <c r="R219" s="77">
        <v>0.45530999999999999</v>
      </c>
      <c r="T219">
        <v>617</v>
      </c>
      <c r="U219">
        <f t="shared" si="48"/>
        <v>0.96884000000000003</v>
      </c>
      <c r="V219">
        <f t="shared" si="49"/>
        <v>0.68457999999999997</v>
      </c>
      <c r="W219">
        <f t="shared" si="50"/>
        <v>1.0584199999999999</v>
      </c>
      <c r="X219">
        <f t="shared" si="51"/>
        <v>0.80130000000000001</v>
      </c>
      <c r="Y219">
        <f t="shared" si="52"/>
        <v>0.96918000000000004</v>
      </c>
      <c r="Z219">
        <f t="shared" si="53"/>
        <v>0.93396000000000001</v>
      </c>
      <c r="AA219">
        <f t="shared" si="54"/>
        <v>0.98543999999999998</v>
      </c>
      <c r="AB219">
        <f t="shared" si="55"/>
        <v>0.88470000000000004</v>
      </c>
      <c r="AC219">
        <f t="shared" si="56"/>
        <v>1.00936</v>
      </c>
      <c r="AD219">
        <f t="shared" si="57"/>
        <v>0.99750000000000005</v>
      </c>
      <c r="AE219">
        <f t="shared" si="58"/>
        <v>1.0270600000000001</v>
      </c>
      <c r="AF219">
        <f t="shared" si="59"/>
        <v>1.04874</v>
      </c>
      <c r="AG219">
        <f t="shared" si="60"/>
        <v>0.88673999999999997</v>
      </c>
      <c r="AH219">
        <f t="shared" si="61"/>
        <v>0.8468</v>
      </c>
      <c r="AI219">
        <f t="shared" si="62"/>
        <v>0.82020000000000004</v>
      </c>
      <c r="AJ219">
        <f t="shared" si="63"/>
        <v>0.91061999999999999</v>
      </c>
      <c r="EC219">
        <v>617</v>
      </c>
      <c r="ED219">
        <v>0.96884000000000003</v>
      </c>
      <c r="EE219">
        <v>0.68457999999999997</v>
      </c>
      <c r="EF219">
        <v>1.0584199999999999</v>
      </c>
      <c r="EG219">
        <v>0.80130000000000001</v>
      </c>
      <c r="EH219">
        <v>0.96918000000000004</v>
      </c>
      <c r="EI219">
        <v>0.93396000000000001</v>
      </c>
      <c r="EJ219">
        <v>0.98543999999999998</v>
      </c>
      <c r="EK219">
        <v>0.88470000000000004</v>
      </c>
      <c r="EL219">
        <v>1.00936</v>
      </c>
      <c r="EM219">
        <v>0.99750000000000005</v>
      </c>
      <c r="EN219">
        <v>1.0270600000000001</v>
      </c>
      <c r="EO219">
        <v>1.04874</v>
      </c>
      <c r="EP219">
        <v>0.88673999999999997</v>
      </c>
      <c r="EQ219">
        <v>0.8468</v>
      </c>
      <c r="ER219">
        <v>0.82020000000000004</v>
      </c>
      <c r="ES219">
        <v>0.91061999999999999</v>
      </c>
    </row>
    <row r="220" spans="1:149" x14ac:dyDescent="0.35">
      <c r="A220" s="77"/>
      <c r="B220" s="77">
        <v>618</v>
      </c>
      <c r="C220" s="77">
        <v>0.48663000000000001</v>
      </c>
      <c r="D220" s="77">
        <v>0.34383999999999998</v>
      </c>
      <c r="E220" s="77">
        <v>0.53171000000000002</v>
      </c>
      <c r="F220" s="77">
        <v>0.40254000000000001</v>
      </c>
      <c r="G220" s="77">
        <v>0.48563000000000001</v>
      </c>
      <c r="H220" s="77">
        <v>0.46822000000000003</v>
      </c>
      <c r="I220" s="77">
        <v>0.49393999999999999</v>
      </c>
      <c r="J220" s="77">
        <v>0.44303999999999999</v>
      </c>
      <c r="K220" s="77">
        <v>0.50600999999999996</v>
      </c>
      <c r="L220" s="77">
        <v>0.49995000000000001</v>
      </c>
      <c r="M220" s="77">
        <v>0.51485000000000003</v>
      </c>
      <c r="N220" s="77">
        <v>0.52576000000000001</v>
      </c>
      <c r="O220" s="77">
        <v>0.44408999999999998</v>
      </c>
      <c r="P220" s="77">
        <v>0.42398000000000002</v>
      </c>
      <c r="Q220" s="77">
        <v>0.41069</v>
      </c>
      <c r="R220" s="77">
        <v>0.45606999999999998</v>
      </c>
      <c r="T220">
        <v>618</v>
      </c>
      <c r="U220">
        <f t="shared" si="48"/>
        <v>0.97326000000000001</v>
      </c>
      <c r="V220">
        <f t="shared" si="49"/>
        <v>0.68767999999999996</v>
      </c>
      <c r="W220">
        <f t="shared" si="50"/>
        <v>1.06342</v>
      </c>
      <c r="X220">
        <f t="shared" si="51"/>
        <v>0.80508000000000002</v>
      </c>
      <c r="Y220">
        <f t="shared" si="52"/>
        <v>0.97126000000000001</v>
      </c>
      <c r="Z220">
        <f t="shared" si="53"/>
        <v>0.93644000000000005</v>
      </c>
      <c r="AA220">
        <f t="shared" si="54"/>
        <v>0.98787999999999998</v>
      </c>
      <c r="AB220">
        <f t="shared" si="55"/>
        <v>0.88607999999999998</v>
      </c>
      <c r="AC220">
        <f t="shared" si="56"/>
        <v>1.0120199999999999</v>
      </c>
      <c r="AD220">
        <f t="shared" si="57"/>
        <v>0.99990000000000001</v>
      </c>
      <c r="AE220">
        <f t="shared" si="58"/>
        <v>1.0297000000000001</v>
      </c>
      <c r="AF220">
        <f t="shared" si="59"/>
        <v>1.05152</v>
      </c>
      <c r="AG220">
        <f t="shared" si="60"/>
        <v>0.88817999999999997</v>
      </c>
      <c r="AH220">
        <f t="shared" si="61"/>
        <v>0.84796000000000005</v>
      </c>
      <c r="AI220">
        <f t="shared" si="62"/>
        <v>0.82138</v>
      </c>
      <c r="AJ220">
        <f t="shared" si="63"/>
        <v>0.91213999999999995</v>
      </c>
      <c r="EC220">
        <v>618</v>
      </c>
      <c r="ED220">
        <v>0.97326000000000001</v>
      </c>
      <c r="EE220">
        <v>0.68767999999999996</v>
      </c>
      <c r="EF220">
        <v>1.06342</v>
      </c>
      <c r="EG220">
        <v>0.80508000000000002</v>
      </c>
      <c r="EH220">
        <v>0.97126000000000001</v>
      </c>
      <c r="EI220">
        <v>0.93644000000000005</v>
      </c>
      <c r="EJ220">
        <v>0.98787999999999998</v>
      </c>
      <c r="EK220">
        <v>0.88607999999999998</v>
      </c>
      <c r="EL220">
        <v>1.0120199999999999</v>
      </c>
      <c r="EM220">
        <v>0.99990000000000001</v>
      </c>
      <c r="EN220">
        <v>1.0297000000000001</v>
      </c>
      <c r="EO220">
        <v>1.05152</v>
      </c>
      <c r="EP220">
        <v>0.88817999999999997</v>
      </c>
      <c r="EQ220">
        <v>0.84796000000000005</v>
      </c>
      <c r="ER220">
        <v>0.82138</v>
      </c>
      <c r="ES220">
        <v>0.91213999999999995</v>
      </c>
    </row>
    <row r="221" spans="1:149" x14ac:dyDescent="0.35">
      <c r="A221" s="77"/>
      <c r="B221" s="77">
        <v>619</v>
      </c>
      <c r="C221" s="77">
        <v>0.48895</v>
      </c>
      <c r="D221" s="77">
        <v>0.34533999999999998</v>
      </c>
      <c r="E221" s="77">
        <v>0.53424000000000005</v>
      </c>
      <c r="F221" s="77">
        <v>0.40445999999999999</v>
      </c>
      <c r="G221" s="77">
        <v>0.48676999999999998</v>
      </c>
      <c r="H221" s="77">
        <v>0.46949999999999997</v>
      </c>
      <c r="I221" s="77">
        <v>0.49521999999999999</v>
      </c>
      <c r="J221" s="77">
        <v>0.44394</v>
      </c>
      <c r="K221" s="77">
        <v>0.50751999999999997</v>
      </c>
      <c r="L221" s="77">
        <v>0.50114000000000003</v>
      </c>
      <c r="M221" s="77">
        <v>0.51619999999999999</v>
      </c>
      <c r="N221" s="77">
        <v>0.52732999999999997</v>
      </c>
      <c r="O221" s="77">
        <v>0.44481999999999999</v>
      </c>
      <c r="P221" s="77">
        <v>0.42448000000000002</v>
      </c>
      <c r="Q221" s="77">
        <v>0.41121999999999997</v>
      </c>
      <c r="R221" s="77">
        <v>0.45673000000000002</v>
      </c>
      <c r="T221">
        <v>619</v>
      </c>
      <c r="U221">
        <f t="shared" si="48"/>
        <v>0.97789999999999999</v>
      </c>
      <c r="V221">
        <f t="shared" si="49"/>
        <v>0.69067999999999996</v>
      </c>
      <c r="W221">
        <f t="shared" si="50"/>
        <v>1.0684800000000001</v>
      </c>
      <c r="X221">
        <f t="shared" si="51"/>
        <v>0.80891999999999997</v>
      </c>
      <c r="Y221">
        <f t="shared" si="52"/>
        <v>0.97353999999999996</v>
      </c>
      <c r="Z221">
        <f t="shared" si="53"/>
        <v>0.93899999999999995</v>
      </c>
      <c r="AA221">
        <f t="shared" si="54"/>
        <v>0.99043999999999999</v>
      </c>
      <c r="AB221">
        <f t="shared" si="55"/>
        <v>0.88788</v>
      </c>
      <c r="AC221">
        <f t="shared" si="56"/>
        <v>1.0150399999999999</v>
      </c>
      <c r="AD221">
        <f t="shared" si="57"/>
        <v>1.0022800000000001</v>
      </c>
      <c r="AE221">
        <f t="shared" si="58"/>
        <v>1.0324</v>
      </c>
      <c r="AF221">
        <f t="shared" si="59"/>
        <v>1.0546599999999999</v>
      </c>
      <c r="AG221">
        <f t="shared" si="60"/>
        <v>0.88963999999999999</v>
      </c>
      <c r="AH221">
        <f t="shared" si="61"/>
        <v>0.84896000000000005</v>
      </c>
      <c r="AI221">
        <f t="shared" si="62"/>
        <v>0.82243999999999995</v>
      </c>
      <c r="AJ221">
        <f t="shared" si="63"/>
        <v>0.91346000000000005</v>
      </c>
      <c r="EC221">
        <v>619</v>
      </c>
      <c r="ED221">
        <v>0.97789999999999999</v>
      </c>
      <c r="EE221">
        <v>0.69067999999999996</v>
      </c>
      <c r="EF221">
        <v>1.0684800000000001</v>
      </c>
      <c r="EG221">
        <v>0.80891999999999997</v>
      </c>
      <c r="EH221">
        <v>0.97353999999999996</v>
      </c>
      <c r="EI221">
        <v>0.93899999999999995</v>
      </c>
      <c r="EJ221">
        <v>0.99043999999999999</v>
      </c>
      <c r="EK221">
        <v>0.88788</v>
      </c>
      <c r="EL221">
        <v>1.0150399999999999</v>
      </c>
      <c r="EM221">
        <v>1.0022800000000001</v>
      </c>
      <c r="EN221">
        <v>1.0324</v>
      </c>
      <c r="EO221">
        <v>1.0546599999999999</v>
      </c>
      <c r="EP221">
        <v>0.88963999999999999</v>
      </c>
      <c r="EQ221">
        <v>0.84896000000000005</v>
      </c>
      <c r="ER221">
        <v>0.82243999999999995</v>
      </c>
      <c r="ES221">
        <v>0.91346000000000005</v>
      </c>
    </row>
    <row r="222" spans="1:149" x14ac:dyDescent="0.35">
      <c r="A222" s="77"/>
      <c r="B222" s="77">
        <v>620</v>
      </c>
      <c r="C222" s="77">
        <v>0.49129</v>
      </c>
      <c r="D222" s="77">
        <v>0.34705000000000003</v>
      </c>
      <c r="E222" s="77">
        <v>0.53683000000000003</v>
      </c>
      <c r="F222" s="77">
        <v>0.40644999999999998</v>
      </c>
      <c r="G222" s="77">
        <v>0.48802000000000001</v>
      </c>
      <c r="H222" s="77">
        <v>0.47072999999999998</v>
      </c>
      <c r="I222" s="77">
        <v>0.49643999999999999</v>
      </c>
      <c r="J222" s="77">
        <v>0.44475999999999999</v>
      </c>
      <c r="K222" s="77">
        <v>0.50895999999999997</v>
      </c>
      <c r="L222" s="77">
        <v>0.50241000000000002</v>
      </c>
      <c r="M222" s="77">
        <v>0.51749999999999996</v>
      </c>
      <c r="N222" s="77">
        <v>0.52878999999999998</v>
      </c>
      <c r="O222" s="77">
        <v>0.44557000000000002</v>
      </c>
      <c r="P222" s="77">
        <v>0.42513000000000001</v>
      </c>
      <c r="Q222" s="77">
        <v>0.41191</v>
      </c>
      <c r="R222" s="77">
        <v>0.45746999999999999</v>
      </c>
      <c r="T222">
        <v>620</v>
      </c>
      <c r="U222">
        <f t="shared" si="48"/>
        <v>0.98258000000000001</v>
      </c>
      <c r="V222">
        <f t="shared" si="49"/>
        <v>0.69410000000000005</v>
      </c>
      <c r="W222">
        <f t="shared" si="50"/>
        <v>1.0736600000000001</v>
      </c>
      <c r="X222">
        <f t="shared" si="51"/>
        <v>0.81289999999999996</v>
      </c>
      <c r="Y222">
        <f t="shared" si="52"/>
        <v>0.97604000000000002</v>
      </c>
      <c r="Z222">
        <f t="shared" si="53"/>
        <v>0.94145999999999996</v>
      </c>
      <c r="AA222">
        <f t="shared" si="54"/>
        <v>0.99287999999999998</v>
      </c>
      <c r="AB222">
        <f t="shared" si="55"/>
        <v>0.88951999999999998</v>
      </c>
      <c r="AC222">
        <f t="shared" si="56"/>
        <v>1.0179199999999999</v>
      </c>
      <c r="AD222">
        <f t="shared" si="57"/>
        <v>1.00482</v>
      </c>
      <c r="AE222">
        <f t="shared" si="58"/>
        <v>1.0349999999999999</v>
      </c>
      <c r="AF222">
        <f t="shared" si="59"/>
        <v>1.05758</v>
      </c>
      <c r="AG222">
        <f t="shared" si="60"/>
        <v>0.89114000000000004</v>
      </c>
      <c r="AH222">
        <f t="shared" si="61"/>
        <v>0.85026000000000002</v>
      </c>
      <c r="AI222">
        <f t="shared" si="62"/>
        <v>0.82382</v>
      </c>
      <c r="AJ222">
        <f t="shared" si="63"/>
        <v>0.91493999999999998</v>
      </c>
      <c r="EC222">
        <v>620</v>
      </c>
      <c r="ED222">
        <v>0.98258000000000001</v>
      </c>
      <c r="EE222">
        <v>0.69410000000000005</v>
      </c>
      <c r="EF222">
        <v>1.0736600000000001</v>
      </c>
      <c r="EG222">
        <v>0.81289999999999996</v>
      </c>
      <c r="EH222">
        <v>0.97604000000000002</v>
      </c>
      <c r="EI222">
        <v>0.94145999999999996</v>
      </c>
      <c r="EJ222">
        <v>0.99287999999999998</v>
      </c>
      <c r="EK222">
        <v>0.88951999999999998</v>
      </c>
      <c r="EL222">
        <v>1.0179199999999999</v>
      </c>
      <c r="EM222">
        <v>1.00482</v>
      </c>
      <c r="EN222">
        <v>1.0349999999999999</v>
      </c>
      <c r="EO222">
        <v>1.05758</v>
      </c>
      <c r="EP222">
        <v>0.89114000000000004</v>
      </c>
      <c r="EQ222">
        <v>0.85026000000000002</v>
      </c>
      <c r="ER222">
        <v>0.82382</v>
      </c>
      <c r="ES222">
        <v>0.91493999999999998</v>
      </c>
    </row>
    <row r="223" spans="1:149" x14ac:dyDescent="0.35">
      <c r="A223" s="77"/>
      <c r="B223" s="77">
        <v>621</v>
      </c>
      <c r="C223" s="77">
        <v>0.49364999999999998</v>
      </c>
      <c r="D223" s="77">
        <v>0.34859000000000001</v>
      </c>
      <c r="E223" s="77">
        <v>0.53940999999999995</v>
      </c>
      <c r="F223" s="77">
        <v>0.40851999999999999</v>
      </c>
      <c r="G223" s="77">
        <v>0.48918</v>
      </c>
      <c r="H223" s="77">
        <v>0.47205999999999998</v>
      </c>
      <c r="I223" s="77">
        <v>0.49775999999999998</v>
      </c>
      <c r="J223" s="77">
        <v>0.4456</v>
      </c>
      <c r="K223" s="77">
        <v>0.51041000000000003</v>
      </c>
      <c r="L223" s="77">
        <v>0.50373999999999997</v>
      </c>
      <c r="M223" s="77">
        <v>0.51885999999999999</v>
      </c>
      <c r="N223" s="77">
        <v>0.53029000000000004</v>
      </c>
      <c r="O223" s="77">
        <v>0.44629000000000002</v>
      </c>
      <c r="P223" s="77">
        <v>0.42576999999999998</v>
      </c>
      <c r="Q223" s="77">
        <v>0.41250999999999999</v>
      </c>
      <c r="R223" s="77">
        <v>0.45816000000000001</v>
      </c>
      <c r="T223">
        <v>621</v>
      </c>
      <c r="U223">
        <f t="shared" si="48"/>
        <v>0.98729999999999996</v>
      </c>
      <c r="V223">
        <f t="shared" si="49"/>
        <v>0.69718000000000002</v>
      </c>
      <c r="W223">
        <f t="shared" si="50"/>
        <v>1.0788199999999999</v>
      </c>
      <c r="X223">
        <f t="shared" si="51"/>
        <v>0.81703999999999999</v>
      </c>
      <c r="Y223">
        <f t="shared" si="52"/>
        <v>0.97836000000000001</v>
      </c>
      <c r="Z223">
        <f t="shared" si="53"/>
        <v>0.94411999999999996</v>
      </c>
      <c r="AA223">
        <f t="shared" si="54"/>
        <v>0.99551999999999996</v>
      </c>
      <c r="AB223">
        <f t="shared" si="55"/>
        <v>0.89119999999999999</v>
      </c>
      <c r="AC223">
        <f t="shared" si="56"/>
        <v>1.0208200000000001</v>
      </c>
      <c r="AD223">
        <f t="shared" si="57"/>
        <v>1.0074799999999999</v>
      </c>
      <c r="AE223">
        <f t="shared" si="58"/>
        <v>1.03772</v>
      </c>
      <c r="AF223">
        <f t="shared" si="59"/>
        <v>1.0605800000000001</v>
      </c>
      <c r="AG223">
        <f t="shared" si="60"/>
        <v>0.89258000000000004</v>
      </c>
      <c r="AH223">
        <f t="shared" si="61"/>
        <v>0.85153999999999996</v>
      </c>
      <c r="AI223">
        <f t="shared" si="62"/>
        <v>0.82501999999999998</v>
      </c>
      <c r="AJ223">
        <f t="shared" si="63"/>
        <v>0.91632000000000002</v>
      </c>
      <c r="EC223">
        <v>621</v>
      </c>
      <c r="ED223">
        <v>0.98729999999999996</v>
      </c>
      <c r="EE223">
        <v>0.69718000000000002</v>
      </c>
      <c r="EF223">
        <v>1.0788199999999999</v>
      </c>
      <c r="EG223">
        <v>0.81703999999999999</v>
      </c>
      <c r="EH223">
        <v>0.97836000000000001</v>
      </c>
      <c r="EI223">
        <v>0.94411999999999996</v>
      </c>
      <c r="EJ223">
        <v>0.99551999999999996</v>
      </c>
      <c r="EK223">
        <v>0.89119999999999999</v>
      </c>
      <c r="EL223">
        <v>1.0208200000000001</v>
      </c>
      <c r="EM223">
        <v>1.0074799999999999</v>
      </c>
      <c r="EN223">
        <v>1.03772</v>
      </c>
      <c r="EO223">
        <v>1.0605800000000001</v>
      </c>
      <c r="EP223">
        <v>0.89258000000000004</v>
      </c>
      <c r="EQ223">
        <v>0.85153999999999996</v>
      </c>
      <c r="ER223">
        <v>0.82501999999999998</v>
      </c>
      <c r="ES223">
        <v>0.91632000000000002</v>
      </c>
    </row>
    <row r="224" spans="1:149" x14ac:dyDescent="0.35">
      <c r="A224" s="77"/>
      <c r="B224" s="77">
        <v>622</v>
      </c>
      <c r="C224" s="77">
        <v>0.49603000000000003</v>
      </c>
      <c r="D224" s="77">
        <v>0.35021999999999998</v>
      </c>
      <c r="E224" s="77">
        <v>0.54210999999999998</v>
      </c>
      <c r="F224" s="77">
        <v>0.41048000000000001</v>
      </c>
      <c r="G224" s="77">
        <v>0.49027999999999999</v>
      </c>
      <c r="H224" s="77">
        <v>0.47333999999999998</v>
      </c>
      <c r="I224" s="77">
        <v>0.49904999999999999</v>
      </c>
      <c r="J224" s="77">
        <v>0.44640999999999997</v>
      </c>
      <c r="K224" s="77">
        <v>0.51190000000000002</v>
      </c>
      <c r="L224" s="77">
        <v>0.50514000000000003</v>
      </c>
      <c r="M224" s="77">
        <v>0.52029000000000003</v>
      </c>
      <c r="N224" s="77">
        <v>0.53171999999999997</v>
      </c>
      <c r="O224" s="77">
        <v>0.44707999999999998</v>
      </c>
      <c r="P224" s="77">
        <v>0.42638999999999999</v>
      </c>
      <c r="Q224" s="77">
        <v>0.41305999999999998</v>
      </c>
      <c r="R224" s="77">
        <v>0.45891999999999999</v>
      </c>
      <c r="T224">
        <v>622</v>
      </c>
      <c r="U224">
        <f t="shared" si="48"/>
        <v>0.99206000000000005</v>
      </c>
      <c r="V224">
        <f t="shared" si="49"/>
        <v>0.70043999999999995</v>
      </c>
      <c r="W224">
        <f t="shared" si="50"/>
        <v>1.08422</v>
      </c>
      <c r="X224">
        <f t="shared" si="51"/>
        <v>0.82096000000000002</v>
      </c>
      <c r="Y224">
        <f t="shared" si="52"/>
        <v>0.98055999999999999</v>
      </c>
      <c r="Z224">
        <f t="shared" si="53"/>
        <v>0.94667999999999997</v>
      </c>
      <c r="AA224">
        <f t="shared" si="54"/>
        <v>0.99809999999999999</v>
      </c>
      <c r="AB224">
        <f t="shared" si="55"/>
        <v>0.89281999999999995</v>
      </c>
      <c r="AC224">
        <f t="shared" si="56"/>
        <v>1.0238</v>
      </c>
      <c r="AD224">
        <f t="shared" si="57"/>
        <v>1.0102800000000001</v>
      </c>
      <c r="AE224">
        <f t="shared" si="58"/>
        <v>1.0405800000000001</v>
      </c>
      <c r="AF224">
        <f t="shared" si="59"/>
        <v>1.0634399999999999</v>
      </c>
      <c r="AG224">
        <f t="shared" si="60"/>
        <v>0.89415999999999995</v>
      </c>
      <c r="AH224">
        <f t="shared" si="61"/>
        <v>0.85277999999999998</v>
      </c>
      <c r="AI224">
        <f t="shared" si="62"/>
        <v>0.82611999999999997</v>
      </c>
      <c r="AJ224">
        <f t="shared" si="63"/>
        <v>0.91783999999999999</v>
      </c>
      <c r="EC224">
        <v>622</v>
      </c>
      <c r="ED224">
        <v>0.99206000000000005</v>
      </c>
      <c r="EE224">
        <v>0.70043999999999995</v>
      </c>
      <c r="EF224">
        <v>1.08422</v>
      </c>
      <c r="EG224">
        <v>0.82096000000000002</v>
      </c>
      <c r="EH224">
        <v>0.98055999999999999</v>
      </c>
      <c r="EI224">
        <v>0.94667999999999997</v>
      </c>
      <c r="EJ224">
        <v>0.99809999999999999</v>
      </c>
      <c r="EK224">
        <v>0.89281999999999995</v>
      </c>
      <c r="EL224">
        <v>1.0238</v>
      </c>
      <c r="EM224">
        <v>1.0102800000000001</v>
      </c>
      <c r="EN224">
        <v>1.0405800000000001</v>
      </c>
      <c r="EO224">
        <v>1.0634399999999999</v>
      </c>
      <c r="EP224">
        <v>0.89415999999999995</v>
      </c>
      <c r="EQ224">
        <v>0.85277999999999998</v>
      </c>
      <c r="ER224">
        <v>0.82611999999999997</v>
      </c>
      <c r="ES224">
        <v>0.91783999999999999</v>
      </c>
    </row>
    <row r="225" spans="1:149" x14ac:dyDescent="0.35">
      <c r="A225" s="77"/>
      <c r="B225" s="77">
        <v>623</v>
      </c>
      <c r="C225" s="77">
        <v>0.49865999999999999</v>
      </c>
      <c r="D225" s="77">
        <v>0.35204000000000002</v>
      </c>
      <c r="E225" s="77">
        <v>0.54488999999999999</v>
      </c>
      <c r="F225" s="77">
        <v>0.41282999999999997</v>
      </c>
      <c r="G225" s="77">
        <v>0.49153000000000002</v>
      </c>
      <c r="H225" s="77">
        <v>0.47475000000000001</v>
      </c>
      <c r="I225" s="77">
        <v>0.50038000000000005</v>
      </c>
      <c r="J225" s="77">
        <v>0.44740000000000002</v>
      </c>
      <c r="K225" s="77">
        <v>0.51351999999999998</v>
      </c>
      <c r="L225" s="77">
        <v>0.50646999999999998</v>
      </c>
      <c r="M225" s="77">
        <v>0.52173000000000003</v>
      </c>
      <c r="N225" s="77">
        <v>0.53335999999999995</v>
      </c>
      <c r="O225" s="77">
        <v>0.44806000000000001</v>
      </c>
      <c r="P225" s="77">
        <v>0.42706</v>
      </c>
      <c r="Q225" s="77">
        <v>0.41393999999999997</v>
      </c>
      <c r="R225" s="77">
        <v>0.45978999999999998</v>
      </c>
      <c r="T225">
        <v>623</v>
      </c>
      <c r="U225">
        <f t="shared" si="48"/>
        <v>0.99731999999999998</v>
      </c>
      <c r="V225">
        <f t="shared" si="49"/>
        <v>0.70408000000000004</v>
      </c>
      <c r="W225">
        <f t="shared" si="50"/>
        <v>1.08978</v>
      </c>
      <c r="X225">
        <f t="shared" si="51"/>
        <v>0.82565999999999995</v>
      </c>
      <c r="Y225">
        <f t="shared" si="52"/>
        <v>0.98306000000000004</v>
      </c>
      <c r="Z225">
        <f t="shared" si="53"/>
        <v>0.94950000000000001</v>
      </c>
      <c r="AA225">
        <f t="shared" si="54"/>
        <v>1.0007600000000001</v>
      </c>
      <c r="AB225">
        <f t="shared" si="55"/>
        <v>0.89480000000000004</v>
      </c>
      <c r="AC225">
        <f t="shared" si="56"/>
        <v>1.02704</v>
      </c>
      <c r="AD225">
        <f t="shared" si="57"/>
        <v>1.01294</v>
      </c>
      <c r="AE225">
        <f t="shared" si="58"/>
        <v>1.0434600000000001</v>
      </c>
      <c r="AF225">
        <f t="shared" si="59"/>
        <v>1.0667199999999999</v>
      </c>
      <c r="AG225">
        <f t="shared" si="60"/>
        <v>0.89612000000000003</v>
      </c>
      <c r="AH225">
        <f t="shared" si="61"/>
        <v>0.85411999999999999</v>
      </c>
      <c r="AI225">
        <f t="shared" si="62"/>
        <v>0.82787999999999995</v>
      </c>
      <c r="AJ225">
        <f t="shared" si="63"/>
        <v>0.91957999999999995</v>
      </c>
      <c r="EC225">
        <v>623</v>
      </c>
      <c r="ED225">
        <v>0.99731999999999998</v>
      </c>
      <c r="EE225">
        <v>0.70408000000000004</v>
      </c>
      <c r="EF225">
        <v>1.08978</v>
      </c>
      <c r="EG225">
        <v>0.82565999999999995</v>
      </c>
      <c r="EH225">
        <v>0.98306000000000004</v>
      </c>
      <c r="EI225">
        <v>0.94950000000000001</v>
      </c>
      <c r="EJ225">
        <v>1.0007600000000001</v>
      </c>
      <c r="EK225">
        <v>0.89480000000000004</v>
      </c>
      <c r="EL225">
        <v>1.02704</v>
      </c>
      <c r="EM225">
        <v>1.01294</v>
      </c>
      <c r="EN225">
        <v>1.0434600000000001</v>
      </c>
      <c r="EO225">
        <v>1.0667199999999999</v>
      </c>
      <c r="EP225">
        <v>0.89612000000000003</v>
      </c>
      <c r="EQ225">
        <v>0.85411999999999999</v>
      </c>
      <c r="ER225">
        <v>0.82787999999999995</v>
      </c>
      <c r="ES225">
        <v>0.91957999999999995</v>
      </c>
    </row>
    <row r="226" spans="1:149" x14ac:dyDescent="0.35">
      <c r="A226" s="77"/>
      <c r="B226" s="77">
        <v>624</v>
      </c>
      <c r="C226" s="77">
        <v>0.50112999999999996</v>
      </c>
      <c r="D226" s="77">
        <v>0.35376000000000002</v>
      </c>
      <c r="E226" s="77">
        <v>0.54766999999999999</v>
      </c>
      <c r="F226" s="77">
        <v>0.41487000000000002</v>
      </c>
      <c r="G226" s="77">
        <v>0.49281000000000003</v>
      </c>
      <c r="H226" s="77">
        <v>0.47614000000000001</v>
      </c>
      <c r="I226" s="77">
        <v>0.50180000000000002</v>
      </c>
      <c r="J226" s="77">
        <v>0.44829000000000002</v>
      </c>
      <c r="K226" s="77">
        <v>0.51505999999999996</v>
      </c>
      <c r="L226" s="77">
        <v>0.50783999999999996</v>
      </c>
      <c r="M226" s="77">
        <v>0.52317999999999998</v>
      </c>
      <c r="N226" s="77">
        <v>0.53496999999999995</v>
      </c>
      <c r="O226" s="77">
        <v>0.44890999999999998</v>
      </c>
      <c r="P226" s="77">
        <v>0.42777999999999999</v>
      </c>
      <c r="Q226" s="77">
        <v>0.41466999999999998</v>
      </c>
      <c r="R226" s="77">
        <v>0.46056000000000002</v>
      </c>
      <c r="T226">
        <v>624</v>
      </c>
      <c r="U226">
        <f t="shared" si="48"/>
        <v>1.0022599999999999</v>
      </c>
      <c r="V226">
        <f t="shared" si="49"/>
        <v>0.70752000000000004</v>
      </c>
      <c r="W226">
        <f t="shared" si="50"/>
        <v>1.09534</v>
      </c>
      <c r="X226">
        <f t="shared" si="51"/>
        <v>0.82974000000000003</v>
      </c>
      <c r="Y226">
        <f t="shared" si="52"/>
        <v>0.98562000000000005</v>
      </c>
      <c r="Z226">
        <f t="shared" si="53"/>
        <v>0.95228000000000002</v>
      </c>
      <c r="AA226">
        <f t="shared" si="54"/>
        <v>1.0036</v>
      </c>
      <c r="AB226">
        <f t="shared" si="55"/>
        <v>0.89658000000000004</v>
      </c>
      <c r="AC226">
        <f t="shared" si="56"/>
        <v>1.0301199999999999</v>
      </c>
      <c r="AD226">
        <f t="shared" si="57"/>
        <v>1.0156799999999999</v>
      </c>
      <c r="AE226">
        <f t="shared" si="58"/>
        <v>1.04636</v>
      </c>
      <c r="AF226">
        <f t="shared" si="59"/>
        <v>1.0699399999999999</v>
      </c>
      <c r="AG226">
        <f t="shared" si="60"/>
        <v>0.89781999999999995</v>
      </c>
      <c r="AH226">
        <f t="shared" si="61"/>
        <v>0.85555999999999999</v>
      </c>
      <c r="AI226">
        <f t="shared" si="62"/>
        <v>0.82933999999999997</v>
      </c>
      <c r="AJ226">
        <f t="shared" si="63"/>
        <v>0.92112000000000005</v>
      </c>
      <c r="EC226">
        <v>624</v>
      </c>
      <c r="ED226">
        <v>1.0022599999999999</v>
      </c>
      <c r="EE226">
        <v>0.70752000000000004</v>
      </c>
      <c r="EF226">
        <v>1.09534</v>
      </c>
      <c r="EG226">
        <v>0.82974000000000003</v>
      </c>
      <c r="EH226">
        <v>0.98562000000000005</v>
      </c>
      <c r="EI226">
        <v>0.95228000000000002</v>
      </c>
      <c r="EJ226">
        <v>1.0036</v>
      </c>
      <c r="EK226">
        <v>0.89658000000000004</v>
      </c>
      <c r="EL226">
        <v>1.0301199999999999</v>
      </c>
      <c r="EM226">
        <v>1.0156799999999999</v>
      </c>
      <c r="EN226">
        <v>1.04636</v>
      </c>
      <c r="EO226">
        <v>1.0699399999999999</v>
      </c>
      <c r="EP226">
        <v>0.89781999999999995</v>
      </c>
      <c r="EQ226">
        <v>0.85555999999999999</v>
      </c>
      <c r="ER226">
        <v>0.82933999999999997</v>
      </c>
      <c r="ES226">
        <v>0.92112000000000005</v>
      </c>
    </row>
    <row r="227" spans="1:149" x14ac:dyDescent="0.35">
      <c r="A227" s="77"/>
      <c r="B227" s="77">
        <v>625</v>
      </c>
      <c r="C227" s="77">
        <v>0.50361999999999996</v>
      </c>
      <c r="D227" s="77">
        <v>0.35541</v>
      </c>
      <c r="E227" s="77">
        <v>0.55035000000000001</v>
      </c>
      <c r="F227" s="77">
        <v>0.41694999999999999</v>
      </c>
      <c r="G227" s="77">
        <v>0.49391000000000002</v>
      </c>
      <c r="H227" s="77">
        <v>0.47736000000000001</v>
      </c>
      <c r="I227" s="77">
        <v>0.50307999999999997</v>
      </c>
      <c r="J227" s="77">
        <v>0.44901999999999997</v>
      </c>
      <c r="K227" s="77">
        <v>0.51656000000000002</v>
      </c>
      <c r="L227" s="77">
        <v>0.50905999999999996</v>
      </c>
      <c r="M227" s="77">
        <v>0.52451000000000003</v>
      </c>
      <c r="N227" s="77">
        <v>0.53642000000000001</v>
      </c>
      <c r="O227" s="77">
        <v>0.44971</v>
      </c>
      <c r="P227" s="77">
        <v>0.42841000000000001</v>
      </c>
      <c r="Q227" s="77">
        <v>0.41519</v>
      </c>
      <c r="R227" s="77">
        <v>0.46132000000000001</v>
      </c>
      <c r="T227">
        <v>625</v>
      </c>
      <c r="U227">
        <f t="shared" si="48"/>
        <v>1.0072399999999999</v>
      </c>
      <c r="V227">
        <f t="shared" si="49"/>
        <v>0.71082000000000001</v>
      </c>
      <c r="W227">
        <f t="shared" si="50"/>
        <v>1.1007</v>
      </c>
      <c r="X227">
        <f t="shared" si="51"/>
        <v>0.83389999999999997</v>
      </c>
      <c r="Y227">
        <f t="shared" si="52"/>
        <v>0.98782000000000003</v>
      </c>
      <c r="Z227">
        <f t="shared" si="53"/>
        <v>0.95472000000000001</v>
      </c>
      <c r="AA227">
        <f t="shared" si="54"/>
        <v>1.0061599999999999</v>
      </c>
      <c r="AB227">
        <f t="shared" si="55"/>
        <v>0.89803999999999995</v>
      </c>
      <c r="AC227">
        <f t="shared" si="56"/>
        <v>1.03312</v>
      </c>
      <c r="AD227">
        <f t="shared" si="57"/>
        <v>1.0181199999999999</v>
      </c>
      <c r="AE227">
        <f t="shared" si="58"/>
        <v>1.0490200000000001</v>
      </c>
      <c r="AF227">
        <f t="shared" si="59"/>
        <v>1.07284</v>
      </c>
      <c r="AG227">
        <f t="shared" si="60"/>
        <v>0.89942</v>
      </c>
      <c r="AH227">
        <f t="shared" si="61"/>
        <v>0.85682000000000003</v>
      </c>
      <c r="AI227">
        <f t="shared" si="62"/>
        <v>0.83038000000000001</v>
      </c>
      <c r="AJ227">
        <f t="shared" si="63"/>
        <v>0.92264000000000002</v>
      </c>
      <c r="EC227">
        <v>625</v>
      </c>
      <c r="ED227">
        <v>1.0072399999999999</v>
      </c>
      <c r="EE227">
        <v>0.71082000000000001</v>
      </c>
      <c r="EF227">
        <v>1.1007</v>
      </c>
      <c r="EG227">
        <v>0.83389999999999997</v>
      </c>
      <c r="EH227">
        <v>0.98782000000000003</v>
      </c>
      <c r="EI227">
        <v>0.95472000000000001</v>
      </c>
      <c r="EJ227">
        <v>1.0061599999999999</v>
      </c>
      <c r="EK227">
        <v>0.89803999999999995</v>
      </c>
      <c r="EL227">
        <v>1.03312</v>
      </c>
      <c r="EM227">
        <v>1.0181199999999999</v>
      </c>
      <c r="EN227">
        <v>1.0490200000000001</v>
      </c>
      <c r="EO227">
        <v>1.07284</v>
      </c>
      <c r="EP227">
        <v>0.89942</v>
      </c>
      <c r="EQ227">
        <v>0.85682000000000003</v>
      </c>
      <c r="ER227">
        <v>0.83038000000000001</v>
      </c>
      <c r="ES227">
        <v>0.92264000000000002</v>
      </c>
    </row>
    <row r="228" spans="1:149" x14ac:dyDescent="0.35">
      <c r="A228" s="77"/>
      <c r="B228" s="77">
        <v>626</v>
      </c>
      <c r="C228" s="77">
        <v>0.50607000000000002</v>
      </c>
      <c r="D228" s="77">
        <v>0.35713</v>
      </c>
      <c r="E228" s="77">
        <v>0.55301</v>
      </c>
      <c r="F228" s="77">
        <v>0.41909999999999997</v>
      </c>
      <c r="G228" s="77">
        <v>0.49513000000000001</v>
      </c>
      <c r="H228" s="77">
        <v>0.47870000000000001</v>
      </c>
      <c r="I228" s="77">
        <v>0.50439000000000001</v>
      </c>
      <c r="J228" s="77">
        <v>0.44986999999999999</v>
      </c>
      <c r="K228" s="77">
        <v>0.5181</v>
      </c>
      <c r="L228" s="77">
        <v>0.51036000000000004</v>
      </c>
      <c r="M228" s="77">
        <v>0.52590999999999999</v>
      </c>
      <c r="N228" s="77">
        <v>0.53798000000000001</v>
      </c>
      <c r="O228" s="77">
        <v>0.45056000000000002</v>
      </c>
      <c r="P228" s="77">
        <v>0.42910999999999999</v>
      </c>
      <c r="Q228" s="77">
        <v>0.41592000000000001</v>
      </c>
      <c r="R228" s="77">
        <v>0.46214</v>
      </c>
      <c r="T228">
        <v>626</v>
      </c>
      <c r="U228">
        <f t="shared" si="48"/>
        <v>1.01214</v>
      </c>
      <c r="V228">
        <f t="shared" si="49"/>
        <v>0.71426000000000001</v>
      </c>
      <c r="W228">
        <f t="shared" si="50"/>
        <v>1.10602</v>
      </c>
      <c r="X228">
        <f t="shared" si="51"/>
        <v>0.83819999999999995</v>
      </c>
      <c r="Y228">
        <f t="shared" si="52"/>
        <v>0.99026000000000003</v>
      </c>
      <c r="Z228">
        <f t="shared" si="53"/>
        <v>0.95740000000000003</v>
      </c>
      <c r="AA228">
        <f t="shared" si="54"/>
        <v>1.00878</v>
      </c>
      <c r="AB228">
        <f t="shared" si="55"/>
        <v>0.89973999999999998</v>
      </c>
      <c r="AC228">
        <f t="shared" si="56"/>
        <v>1.0362</v>
      </c>
      <c r="AD228">
        <f t="shared" si="57"/>
        <v>1.0207200000000001</v>
      </c>
      <c r="AE228">
        <f t="shared" si="58"/>
        <v>1.05182</v>
      </c>
      <c r="AF228">
        <f t="shared" si="59"/>
        <v>1.07596</v>
      </c>
      <c r="AG228">
        <f t="shared" si="60"/>
        <v>0.90112000000000003</v>
      </c>
      <c r="AH228">
        <f t="shared" si="61"/>
        <v>0.85821999999999998</v>
      </c>
      <c r="AI228">
        <f t="shared" si="62"/>
        <v>0.83184000000000002</v>
      </c>
      <c r="AJ228">
        <f t="shared" si="63"/>
        <v>0.92427999999999999</v>
      </c>
      <c r="EC228">
        <v>626</v>
      </c>
      <c r="ED228">
        <v>1.01214</v>
      </c>
      <c r="EE228">
        <v>0.71426000000000001</v>
      </c>
      <c r="EF228">
        <v>1.10602</v>
      </c>
      <c r="EG228">
        <v>0.83819999999999995</v>
      </c>
      <c r="EH228">
        <v>0.99026000000000003</v>
      </c>
      <c r="EI228">
        <v>0.95740000000000003</v>
      </c>
      <c r="EJ228">
        <v>1.00878</v>
      </c>
      <c r="EK228">
        <v>0.89973999999999998</v>
      </c>
      <c r="EL228">
        <v>1.0362</v>
      </c>
      <c r="EM228">
        <v>1.0207200000000001</v>
      </c>
      <c r="EN228">
        <v>1.05182</v>
      </c>
      <c r="EO228">
        <v>1.07596</v>
      </c>
      <c r="EP228">
        <v>0.90112000000000003</v>
      </c>
      <c r="EQ228">
        <v>0.85821999999999998</v>
      </c>
      <c r="ER228">
        <v>0.83184000000000002</v>
      </c>
      <c r="ES228">
        <v>0.92427999999999999</v>
      </c>
    </row>
    <row r="229" spans="1:149" x14ac:dyDescent="0.35">
      <c r="A229" s="77"/>
      <c r="B229" s="77">
        <v>627</v>
      </c>
      <c r="C229" s="77">
        <v>0.50836000000000003</v>
      </c>
      <c r="D229" s="77">
        <v>0.35870000000000002</v>
      </c>
      <c r="E229" s="77">
        <v>0.55549999999999999</v>
      </c>
      <c r="F229" s="77">
        <v>0.42101</v>
      </c>
      <c r="G229" s="77">
        <v>0.49617</v>
      </c>
      <c r="H229" s="77">
        <v>0.47986000000000001</v>
      </c>
      <c r="I229" s="77">
        <v>0.50556999999999996</v>
      </c>
      <c r="J229" s="77">
        <v>0.45069999999999999</v>
      </c>
      <c r="K229" s="77">
        <v>0.51949000000000001</v>
      </c>
      <c r="L229" s="77">
        <v>0.51158000000000003</v>
      </c>
      <c r="M229" s="77">
        <v>0.52715000000000001</v>
      </c>
      <c r="N229" s="77">
        <v>0.53937999999999997</v>
      </c>
      <c r="O229" s="77">
        <v>0.45134000000000002</v>
      </c>
      <c r="P229" s="77">
        <v>0.42971999999999999</v>
      </c>
      <c r="Q229" s="77">
        <v>0.41660000000000003</v>
      </c>
      <c r="R229" s="77">
        <v>0.46289000000000002</v>
      </c>
      <c r="T229">
        <v>627</v>
      </c>
      <c r="U229">
        <f t="shared" si="48"/>
        <v>1.0167200000000001</v>
      </c>
      <c r="V229">
        <f t="shared" si="49"/>
        <v>0.71740000000000004</v>
      </c>
      <c r="W229">
        <f t="shared" si="50"/>
        <v>1.111</v>
      </c>
      <c r="X229">
        <f t="shared" si="51"/>
        <v>0.84201999999999999</v>
      </c>
      <c r="Y229">
        <f t="shared" si="52"/>
        <v>0.99234</v>
      </c>
      <c r="Z229">
        <f t="shared" si="53"/>
        <v>0.95972000000000002</v>
      </c>
      <c r="AA229">
        <f t="shared" si="54"/>
        <v>1.0111399999999999</v>
      </c>
      <c r="AB229">
        <f t="shared" si="55"/>
        <v>0.90139999999999998</v>
      </c>
      <c r="AC229">
        <f t="shared" si="56"/>
        <v>1.03898</v>
      </c>
      <c r="AD229">
        <f t="shared" si="57"/>
        <v>1.0231600000000001</v>
      </c>
      <c r="AE229">
        <f t="shared" si="58"/>
        <v>1.0543</v>
      </c>
      <c r="AF229">
        <f t="shared" si="59"/>
        <v>1.0787599999999999</v>
      </c>
      <c r="AG229">
        <f t="shared" si="60"/>
        <v>0.90268000000000004</v>
      </c>
      <c r="AH229">
        <f t="shared" si="61"/>
        <v>0.85943999999999998</v>
      </c>
      <c r="AI229">
        <f t="shared" si="62"/>
        <v>0.83320000000000005</v>
      </c>
      <c r="AJ229">
        <f t="shared" si="63"/>
        <v>0.92578000000000005</v>
      </c>
      <c r="EC229">
        <v>627</v>
      </c>
      <c r="ED229">
        <v>1.0167200000000001</v>
      </c>
      <c r="EE229">
        <v>0.71740000000000004</v>
      </c>
      <c r="EF229">
        <v>1.111</v>
      </c>
      <c r="EG229">
        <v>0.84201999999999999</v>
      </c>
      <c r="EH229">
        <v>0.99234</v>
      </c>
      <c r="EI229">
        <v>0.95972000000000002</v>
      </c>
      <c r="EJ229">
        <v>1.0111399999999999</v>
      </c>
      <c r="EK229">
        <v>0.90139999999999998</v>
      </c>
      <c r="EL229">
        <v>1.03898</v>
      </c>
      <c r="EM229">
        <v>1.0231600000000001</v>
      </c>
      <c r="EN229">
        <v>1.0543</v>
      </c>
      <c r="EO229">
        <v>1.0787599999999999</v>
      </c>
      <c r="EP229">
        <v>0.90268000000000004</v>
      </c>
      <c r="EQ229">
        <v>0.85943999999999998</v>
      </c>
      <c r="ER229">
        <v>0.83320000000000005</v>
      </c>
      <c r="ES229">
        <v>0.92578000000000005</v>
      </c>
    </row>
    <row r="230" spans="1:149" x14ac:dyDescent="0.35">
      <c r="A230" s="77"/>
      <c r="B230" s="77">
        <v>628</v>
      </c>
      <c r="C230" s="77">
        <v>0.51036000000000004</v>
      </c>
      <c r="D230" s="77">
        <v>0.36005999999999999</v>
      </c>
      <c r="E230" s="77">
        <v>0.55759000000000003</v>
      </c>
      <c r="F230" s="77">
        <v>0.42276000000000002</v>
      </c>
      <c r="G230" s="77">
        <v>0.49718000000000001</v>
      </c>
      <c r="H230" s="77">
        <v>0.48091</v>
      </c>
      <c r="I230" s="77">
        <v>0.50661</v>
      </c>
      <c r="J230" s="77">
        <v>0.45128000000000001</v>
      </c>
      <c r="K230" s="77">
        <v>0.52058000000000004</v>
      </c>
      <c r="L230" s="77">
        <v>0.51258999999999999</v>
      </c>
      <c r="M230" s="77">
        <v>0.52820999999999996</v>
      </c>
      <c r="N230" s="77">
        <v>0.54059000000000001</v>
      </c>
      <c r="O230" s="77">
        <v>0.45201000000000002</v>
      </c>
      <c r="P230" s="77">
        <v>0.43028</v>
      </c>
      <c r="Q230" s="77">
        <v>0.41719000000000001</v>
      </c>
      <c r="R230" s="77">
        <v>0.46353</v>
      </c>
      <c r="T230">
        <v>628</v>
      </c>
      <c r="U230">
        <f t="shared" si="48"/>
        <v>1.0207200000000001</v>
      </c>
      <c r="V230">
        <f t="shared" si="49"/>
        <v>0.72011999999999998</v>
      </c>
      <c r="W230">
        <f t="shared" si="50"/>
        <v>1.1151800000000001</v>
      </c>
      <c r="X230">
        <f t="shared" si="51"/>
        <v>0.84552000000000005</v>
      </c>
      <c r="Y230">
        <f t="shared" si="52"/>
        <v>0.99436000000000002</v>
      </c>
      <c r="Z230">
        <f t="shared" si="53"/>
        <v>0.96182000000000001</v>
      </c>
      <c r="AA230">
        <f t="shared" si="54"/>
        <v>1.01322</v>
      </c>
      <c r="AB230">
        <f t="shared" si="55"/>
        <v>0.90256000000000003</v>
      </c>
      <c r="AC230">
        <f t="shared" si="56"/>
        <v>1.0411600000000001</v>
      </c>
      <c r="AD230">
        <f t="shared" si="57"/>
        <v>1.02518</v>
      </c>
      <c r="AE230">
        <f t="shared" si="58"/>
        <v>1.0564199999999999</v>
      </c>
      <c r="AF230">
        <f t="shared" si="59"/>
        <v>1.08118</v>
      </c>
      <c r="AG230">
        <f t="shared" si="60"/>
        <v>0.90402000000000005</v>
      </c>
      <c r="AH230">
        <f t="shared" si="61"/>
        <v>0.86055999999999999</v>
      </c>
      <c r="AI230">
        <f t="shared" si="62"/>
        <v>0.83438000000000001</v>
      </c>
      <c r="AJ230">
        <f t="shared" si="63"/>
        <v>0.92706</v>
      </c>
      <c r="EC230">
        <v>628</v>
      </c>
      <c r="ED230">
        <v>1.0207200000000001</v>
      </c>
      <c r="EE230">
        <v>0.72011999999999998</v>
      </c>
      <c r="EF230">
        <v>1.1151800000000001</v>
      </c>
      <c r="EG230">
        <v>0.84552000000000005</v>
      </c>
      <c r="EH230">
        <v>0.99436000000000002</v>
      </c>
      <c r="EI230">
        <v>0.96182000000000001</v>
      </c>
      <c r="EJ230">
        <v>1.01322</v>
      </c>
      <c r="EK230">
        <v>0.90256000000000003</v>
      </c>
      <c r="EL230">
        <v>1.0411600000000001</v>
      </c>
      <c r="EM230">
        <v>1.02518</v>
      </c>
      <c r="EN230">
        <v>1.0564199999999999</v>
      </c>
      <c r="EO230">
        <v>1.08118</v>
      </c>
      <c r="EP230">
        <v>0.90402000000000005</v>
      </c>
      <c r="EQ230">
        <v>0.86055999999999999</v>
      </c>
      <c r="ER230">
        <v>0.83438000000000001</v>
      </c>
      <c r="ES230">
        <v>0.92706</v>
      </c>
    </row>
    <row r="231" spans="1:149" x14ac:dyDescent="0.35">
      <c r="A231" s="77"/>
      <c r="B231" s="77">
        <v>629</v>
      </c>
      <c r="C231" s="77">
        <v>0.51221000000000005</v>
      </c>
      <c r="D231" s="77">
        <v>0.36132999999999998</v>
      </c>
      <c r="E231" s="77">
        <v>0.55957000000000001</v>
      </c>
      <c r="F231" s="77">
        <v>0.42432999999999998</v>
      </c>
      <c r="G231" s="77">
        <v>0.49797000000000002</v>
      </c>
      <c r="H231" s="77">
        <v>0.4819</v>
      </c>
      <c r="I231" s="77">
        <v>0.50756999999999997</v>
      </c>
      <c r="J231" s="77">
        <v>0.45184000000000002</v>
      </c>
      <c r="K231" s="77">
        <v>0.52173999999999998</v>
      </c>
      <c r="L231" s="77">
        <v>0.51359999999999995</v>
      </c>
      <c r="M231" s="77">
        <v>0.52924000000000004</v>
      </c>
      <c r="N231" s="77">
        <v>0.54164000000000001</v>
      </c>
      <c r="O231" s="77">
        <v>0.45273999999999998</v>
      </c>
      <c r="P231" s="77">
        <v>0.43089</v>
      </c>
      <c r="Q231" s="77">
        <v>0.41776000000000002</v>
      </c>
      <c r="R231" s="77">
        <v>0.46412999999999999</v>
      </c>
      <c r="T231">
        <v>629</v>
      </c>
      <c r="U231">
        <f t="shared" si="48"/>
        <v>1.0244200000000001</v>
      </c>
      <c r="V231">
        <f t="shared" si="49"/>
        <v>0.72265999999999997</v>
      </c>
      <c r="W231">
        <f t="shared" si="50"/>
        <v>1.11914</v>
      </c>
      <c r="X231">
        <f t="shared" si="51"/>
        <v>0.84865999999999997</v>
      </c>
      <c r="Y231">
        <f t="shared" si="52"/>
        <v>0.99594000000000005</v>
      </c>
      <c r="Z231">
        <f t="shared" si="53"/>
        <v>0.96379999999999999</v>
      </c>
      <c r="AA231">
        <f t="shared" si="54"/>
        <v>1.0151399999999999</v>
      </c>
      <c r="AB231">
        <f t="shared" si="55"/>
        <v>0.90368000000000004</v>
      </c>
      <c r="AC231">
        <f t="shared" si="56"/>
        <v>1.04348</v>
      </c>
      <c r="AD231">
        <f t="shared" si="57"/>
        <v>1.0271999999999999</v>
      </c>
      <c r="AE231">
        <f t="shared" si="58"/>
        <v>1.0584800000000001</v>
      </c>
      <c r="AF231">
        <f t="shared" si="59"/>
        <v>1.08328</v>
      </c>
      <c r="AG231">
        <f t="shared" si="60"/>
        <v>0.90547999999999995</v>
      </c>
      <c r="AH231">
        <f t="shared" si="61"/>
        <v>0.86177999999999999</v>
      </c>
      <c r="AI231">
        <f t="shared" si="62"/>
        <v>0.83552000000000004</v>
      </c>
      <c r="AJ231">
        <f t="shared" si="63"/>
        <v>0.92825999999999997</v>
      </c>
      <c r="EC231">
        <v>629</v>
      </c>
      <c r="ED231">
        <v>1.0244200000000001</v>
      </c>
      <c r="EE231">
        <v>0.72265999999999997</v>
      </c>
      <c r="EF231">
        <v>1.11914</v>
      </c>
      <c r="EG231">
        <v>0.84865999999999997</v>
      </c>
      <c r="EH231">
        <v>0.99594000000000005</v>
      </c>
      <c r="EI231">
        <v>0.96379999999999999</v>
      </c>
      <c r="EJ231">
        <v>1.0151399999999999</v>
      </c>
      <c r="EK231">
        <v>0.90368000000000004</v>
      </c>
      <c r="EL231">
        <v>1.04348</v>
      </c>
      <c r="EM231">
        <v>1.0271999999999999</v>
      </c>
      <c r="EN231">
        <v>1.0584800000000001</v>
      </c>
      <c r="EO231">
        <v>1.08328</v>
      </c>
      <c r="EP231">
        <v>0.90547999999999995</v>
      </c>
      <c r="EQ231">
        <v>0.86177999999999999</v>
      </c>
      <c r="ER231">
        <v>0.83552000000000004</v>
      </c>
      <c r="ES231">
        <v>0.92825999999999997</v>
      </c>
    </row>
    <row r="232" spans="1:149" x14ac:dyDescent="0.35">
      <c r="A232" s="77"/>
      <c r="B232" s="77">
        <v>630</v>
      </c>
      <c r="C232" s="77">
        <v>0.51402000000000003</v>
      </c>
      <c r="D232" s="77">
        <v>0.36254999999999998</v>
      </c>
      <c r="E232" s="77">
        <v>0.56152000000000002</v>
      </c>
      <c r="F232" s="77">
        <v>0.42586000000000002</v>
      </c>
      <c r="G232" s="77">
        <v>0.49873000000000001</v>
      </c>
      <c r="H232" s="77">
        <v>0.48272999999999999</v>
      </c>
      <c r="I232" s="77">
        <v>0.50849999999999995</v>
      </c>
      <c r="J232" s="77">
        <v>0.45247999999999999</v>
      </c>
      <c r="K232" s="77">
        <v>0.52280000000000004</v>
      </c>
      <c r="L232" s="77">
        <v>0.51446999999999998</v>
      </c>
      <c r="M232" s="77">
        <v>0.53013999999999994</v>
      </c>
      <c r="N232" s="77">
        <v>0.54274</v>
      </c>
      <c r="O232" s="77">
        <v>0.45337</v>
      </c>
      <c r="P232" s="77">
        <v>0.43137999999999999</v>
      </c>
      <c r="Q232" s="77">
        <v>0.41829</v>
      </c>
      <c r="R232" s="77">
        <v>0.46471000000000001</v>
      </c>
      <c r="T232">
        <v>630</v>
      </c>
      <c r="U232">
        <f t="shared" si="48"/>
        <v>1.0280400000000001</v>
      </c>
      <c r="V232">
        <f t="shared" si="49"/>
        <v>0.72509999999999997</v>
      </c>
      <c r="W232">
        <f t="shared" si="50"/>
        <v>1.12304</v>
      </c>
      <c r="X232">
        <f t="shared" si="51"/>
        <v>0.85172000000000003</v>
      </c>
      <c r="Y232">
        <f t="shared" si="52"/>
        <v>0.99746000000000001</v>
      </c>
      <c r="Z232">
        <f t="shared" si="53"/>
        <v>0.96545999999999998</v>
      </c>
      <c r="AA232">
        <f t="shared" si="54"/>
        <v>1.0169999999999999</v>
      </c>
      <c r="AB232">
        <f t="shared" si="55"/>
        <v>0.90495999999999999</v>
      </c>
      <c r="AC232">
        <f t="shared" si="56"/>
        <v>1.0456000000000001</v>
      </c>
      <c r="AD232">
        <f t="shared" si="57"/>
        <v>1.02894</v>
      </c>
      <c r="AE232">
        <f t="shared" si="58"/>
        <v>1.0602799999999999</v>
      </c>
      <c r="AF232">
        <f t="shared" si="59"/>
        <v>1.08548</v>
      </c>
      <c r="AG232">
        <f t="shared" si="60"/>
        <v>0.90673999999999999</v>
      </c>
      <c r="AH232">
        <f t="shared" si="61"/>
        <v>0.86275999999999997</v>
      </c>
      <c r="AI232">
        <f t="shared" si="62"/>
        <v>0.83657999999999999</v>
      </c>
      <c r="AJ232">
        <f t="shared" si="63"/>
        <v>0.92942000000000002</v>
      </c>
      <c r="EC232">
        <v>630</v>
      </c>
      <c r="ED232">
        <v>1.0280400000000001</v>
      </c>
      <c r="EE232">
        <v>0.72509999999999997</v>
      </c>
      <c r="EF232">
        <v>1.12304</v>
      </c>
      <c r="EG232">
        <v>0.85172000000000003</v>
      </c>
      <c r="EH232">
        <v>0.99746000000000001</v>
      </c>
      <c r="EI232">
        <v>0.96545999999999998</v>
      </c>
      <c r="EJ232">
        <v>1.0169999999999999</v>
      </c>
      <c r="EK232">
        <v>0.90495999999999999</v>
      </c>
      <c r="EL232">
        <v>1.0456000000000001</v>
      </c>
      <c r="EM232">
        <v>1.02894</v>
      </c>
      <c r="EN232">
        <v>1.0602799999999999</v>
      </c>
      <c r="EO232">
        <v>1.08548</v>
      </c>
      <c r="EP232">
        <v>0.90673999999999999</v>
      </c>
      <c r="EQ232">
        <v>0.86275999999999997</v>
      </c>
      <c r="ER232">
        <v>0.83657999999999999</v>
      </c>
      <c r="ES232">
        <v>0.92942000000000002</v>
      </c>
    </row>
    <row r="233" spans="1:149" x14ac:dyDescent="0.35">
      <c r="A233" s="77"/>
      <c r="B233" s="77">
        <v>631</v>
      </c>
      <c r="C233" s="77">
        <v>0.51553000000000004</v>
      </c>
      <c r="D233" s="77">
        <v>0.36365999999999998</v>
      </c>
      <c r="E233" s="77">
        <v>0.56308000000000002</v>
      </c>
      <c r="F233" s="77">
        <v>0.42714999999999997</v>
      </c>
      <c r="G233" s="77">
        <v>0.49945000000000001</v>
      </c>
      <c r="H233" s="77">
        <v>0.48354999999999998</v>
      </c>
      <c r="I233" s="77">
        <v>0.50922999999999996</v>
      </c>
      <c r="J233" s="77">
        <v>0.45295999999999997</v>
      </c>
      <c r="K233" s="77">
        <v>0.52368000000000003</v>
      </c>
      <c r="L233" s="77">
        <v>0.51519999999999999</v>
      </c>
      <c r="M233" s="77">
        <v>0.53095999999999999</v>
      </c>
      <c r="N233" s="77">
        <v>0.54369000000000001</v>
      </c>
      <c r="O233" s="77">
        <v>0.45390000000000003</v>
      </c>
      <c r="P233" s="77">
        <v>0.43175000000000002</v>
      </c>
      <c r="Q233" s="77">
        <v>0.41869000000000001</v>
      </c>
      <c r="R233" s="77">
        <v>0.46522999999999998</v>
      </c>
      <c r="T233">
        <v>631</v>
      </c>
      <c r="U233">
        <f t="shared" si="48"/>
        <v>1.0310600000000001</v>
      </c>
      <c r="V233">
        <f t="shared" si="49"/>
        <v>0.72731999999999997</v>
      </c>
      <c r="W233">
        <f t="shared" si="50"/>
        <v>1.12616</v>
      </c>
      <c r="X233">
        <f t="shared" si="51"/>
        <v>0.85429999999999995</v>
      </c>
      <c r="Y233">
        <f t="shared" si="52"/>
        <v>0.99890000000000001</v>
      </c>
      <c r="Z233">
        <f t="shared" si="53"/>
        <v>0.96709999999999996</v>
      </c>
      <c r="AA233">
        <f t="shared" si="54"/>
        <v>1.0184599999999999</v>
      </c>
      <c r="AB233">
        <f t="shared" si="55"/>
        <v>0.90591999999999995</v>
      </c>
      <c r="AC233">
        <f t="shared" si="56"/>
        <v>1.0473600000000001</v>
      </c>
      <c r="AD233">
        <f t="shared" si="57"/>
        <v>1.0304</v>
      </c>
      <c r="AE233">
        <f t="shared" si="58"/>
        <v>1.06192</v>
      </c>
      <c r="AF233">
        <f t="shared" si="59"/>
        <v>1.08738</v>
      </c>
      <c r="AG233">
        <f t="shared" si="60"/>
        <v>0.90780000000000005</v>
      </c>
      <c r="AH233">
        <f t="shared" si="61"/>
        <v>0.86350000000000005</v>
      </c>
      <c r="AI233">
        <f t="shared" si="62"/>
        <v>0.83738000000000001</v>
      </c>
      <c r="AJ233">
        <f t="shared" si="63"/>
        <v>0.93045999999999995</v>
      </c>
      <c r="EC233">
        <v>631</v>
      </c>
      <c r="ED233">
        <v>1.0310600000000001</v>
      </c>
      <c r="EE233">
        <v>0.72731999999999997</v>
      </c>
      <c r="EF233">
        <v>1.12616</v>
      </c>
      <c r="EG233">
        <v>0.85429999999999995</v>
      </c>
      <c r="EH233">
        <v>0.99890000000000001</v>
      </c>
      <c r="EI233">
        <v>0.96709999999999996</v>
      </c>
      <c r="EJ233">
        <v>1.0184599999999999</v>
      </c>
      <c r="EK233">
        <v>0.90591999999999995</v>
      </c>
      <c r="EL233">
        <v>1.0473600000000001</v>
      </c>
      <c r="EM233">
        <v>1.0304</v>
      </c>
      <c r="EN233">
        <v>1.06192</v>
      </c>
      <c r="EO233">
        <v>1.08738</v>
      </c>
      <c r="EP233">
        <v>0.90780000000000005</v>
      </c>
      <c r="EQ233">
        <v>0.86350000000000005</v>
      </c>
      <c r="ER233">
        <v>0.83738000000000001</v>
      </c>
      <c r="ES233">
        <v>0.93045999999999995</v>
      </c>
    </row>
    <row r="234" spans="1:149" x14ac:dyDescent="0.35">
      <c r="A234" s="77"/>
      <c r="B234" s="77">
        <v>632</v>
      </c>
      <c r="C234" s="77">
        <v>0.51680000000000004</v>
      </c>
      <c r="D234" s="77">
        <v>0.36452000000000001</v>
      </c>
      <c r="E234" s="77">
        <v>0.56435999999999997</v>
      </c>
      <c r="F234" s="77">
        <v>0.42813000000000001</v>
      </c>
      <c r="G234" s="77">
        <v>0.49997000000000003</v>
      </c>
      <c r="H234" s="77">
        <v>0.48419000000000001</v>
      </c>
      <c r="I234" s="77">
        <v>0.50988999999999995</v>
      </c>
      <c r="J234" s="77">
        <v>0.45330999999999999</v>
      </c>
      <c r="K234" s="77">
        <v>0.52439999999999998</v>
      </c>
      <c r="L234" s="77">
        <v>0.51581999999999995</v>
      </c>
      <c r="M234" s="77">
        <v>0.53163000000000005</v>
      </c>
      <c r="N234" s="77">
        <v>0.54442999999999997</v>
      </c>
      <c r="O234" s="77">
        <v>0.45438000000000001</v>
      </c>
      <c r="P234" s="77">
        <v>0.43219000000000002</v>
      </c>
      <c r="Q234" s="77">
        <v>0.41904999999999998</v>
      </c>
      <c r="R234" s="77">
        <v>0.46571000000000001</v>
      </c>
      <c r="T234">
        <v>632</v>
      </c>
      <c r="U234">
        <f t="shared" si="48"/>
        <v>1.0336000000000001</v>
      </c>
      <c r="V234">
        <f t="shared" si="49"/>
        <v>0.72904000000000002</v>
      </c>
      <c r="W234">
        <f t="shared" si="50"/>
        <v>1.1287199999999999</v>
      </c>
      <c r="X234">
        <f t="shared" si="51"/>
        <v>0.85626000000000002</v>
      </c>
      <c r="Y234">
        <f t="shared" si="52"/>
        <v>0.99994000000000005</v>
      </c>
      <c r="Z234">
        <f t="shared" si="53"/>
        <v>0.96838000000000002</v>
      </c>
      <c r="AA234">
        <f t="shared" si="54"/>
        <v>1.0197799999999999</v>
      </c>
      <c r="AB234">
        <f t="shared" si="55"/>
        <v>0.90661999999999998</v>
      </c>
      <c r="AC234">
        <f t="shared" si="56"/>
        <v>1.0488</v>
      </c>
      <c r="AD234">
        <f t="shared" si="57"/>
        <v>1.0316399999999999</v>
      </c>
      <c r="AE234">
        <f t="shared" si="58"/>
        <v>1.0632600000000001</v>
      </c>
      <c r="AF234">
        <f t="shared" si="59"/>
        <v>1.0888599999999999</v>
      </c>
      <c r="AG234">
        <f t="shared" si="60"/>
        <v>0.90876000000000001</v>
      </c>
      <c r="AH234">
        <f t="shared" si="61"/>
        <v>0.86438000000000004</v>
      </c>
      <c r="AI234">
        <f t="shared" si="62"/>
        <v>0.83809999999999996</v>
      </c>
      <c r="AJ234">
        <f t="shared" si="63"/>
        <v>0.93142000000000003</v>
      </c>
      <c r="EC234">
        <v>632</v>
      </c>
      <c r="ED234">
        <v>1.0336000000000001</v>
      </c>
      <c r="EE234">
        <v>0.72904000000000002</v>
      </c>
      <c r="EF234">
        <v>1.1287199999999999</v>
      </c>
      <c r="EG234">
        <v>0.85626000000000002</v>
      </c>
      <c r="EH234">
        <v>0.99994000000000005</v>
      </c>
      <c r="EI234">
        <v>0.96838000000000002</v>
      </c>
      <c r="EJ234">
        <v>1.0197799999999999</v>
      </c>
      <c r="EK234">
        <v>0.90661999999999998</v>
      </c>
      <c r="EL234">
        <v>1.0488</v>
      </c>
      <c r="EM234">
        <v>1.0316399999999999</v>
      </c>
      <c r="EN234">
        <v>1.0632600000000001</v>
      </c>
      <c r="EO234">
        <v>1.0888599999999999</v>
      </c>
      <c r="EP234">
        <v>0.90876000000000001</v>
      </c>
      <c r="EQ234">
        <v>0.86438000000000004</v>
      </c>
      <c r="ER234">
        <v>0.83809999999999996</v>
      </c>
      <c r="ES234">
        <v>0.93142000000000003</v>
      </c>
    </row>
    <row r="235" spans="1:149" x14ac:dyDescent="0.35">
      <c r="A235" s="77"/>
      <c r="B235" s="77">
        <v>633</v>
      </c>
      <c r="C235" s="77">
        <v>0.51770000000000005</v>
      </c>
      <c r="D235" s="77">
        <v>0.36516999999999999</v>
      </c>
      <c r="E235" s="77">
        <v>0.56533999999999995</v>
      </c>
      <c r="F235" s="77">
        <v>0.42896000000000001</v>
      </c>
      <c r="G235" s="77">
        <v>0.50043000000000004</v>
      </c>
      <c r="H235" s="77">
        <v>0.48479</v>
      </c>
      <c r="I235" s="77">
        <v>0.51041999999999998</v>
      </c>
      <c r="J235" s="77">
        <v>0.45374999999999999</v>
      </c>
      <c r="K235" s="77">
        <v>0.52505000000000002</v>
      </c>
      <c r="L235" s="77">
        <v>0.51637</v>
      </c>
      <c r="M235" s="77">
        <v>0.53212000000000004</v>
      </c>
      <c r="N235" s="77">
        <v>0.54503999999999997</v>
      </c>
      <c r="O235" s="77">
        <v>0.45479000000000003</v>
      </c>
      <c r="P235" s="77">
        <v>0.4325</v>
      </c>
      <c r="Q235" s="77">
        <v>0.41944999999999999</v>
      </c>
      <c r="R235" s="77">
        <v>0.46611000000000002</v>
      </c>
      <c r="T235">
        <v>633</v>
      </c>
      <c r="U235">
        <f t="shared" si="48"/>
        <v>1.0354000000000001</v>
      </c>
      <c r="V235">
        <f t="shared" si="49"/>
        <v>0.73033999999999999</v>
      </c>
      <c r="W235">
        <f t="shared" si="50"/>
        <v>1.1306799999999999</v>
      </c>
      <c r="X235">
        <f t="shared" si="51"/>
        <v>0.85792000000000002</v>
      </c>
      <c r="Y235">
        <f t="shared" si="52"/>
        <v>1.0008600000000001</v>
      </c>
      <c r="Z235">
        <f t="shared" si="53"/>
        <v>0.96958</v>
      </c>
      <c r="AA235">
        <f t="shared" si="54"/>
        <v>1.02084</v>
      </c>
      <c r="AB235">
        <f t="shared" si="55"/>
        <v>0.90749999999999997</v>
      </c>
      <c r="AC235">
        <f t="shared" si="56"/>
        <v>1.0501</v>
      </c>
      <c r="AD235">
        <f t="shared" si="57"/>
        <v>1.03274</v>
      </c>
      <c r="AE235">
        <f t="shared" si="58"/>
        <v>1.0642400000000001</v>
      </c>
      <c r="AF235">
        <f t="shared" si="59"/>
        <v>1.0900799999999999</v>
      </c>
      <c r="AG235">
        <f t="shared" si="60"/>
        <v>0.90958000000000006</v>
      </c>
      <c r="AH235">
        <f t="shared" si="61"/>
        <v>0.86499999999999999</v>
      </c>
      <c r="AI235">
        <f t="shared" si="62"/>
        <v>0.83889999999999998</v>
      </c>
      <c r="AJ235">
        <f t="shared" si="63"/>
        <v>0.93222000000000005</v>
      </c>
      <c r="EC235">
        <v>633</v>
      </c>
      <c r="ED235">
        <v>1.0354000000000001</v>
      </c>
      <c r="EE235">
        <v>0.73033999999999999</v>
      </c>
      <c r="EF235">
        <v>1.1306799999999999</v>
      </c>
      <c r="EG235">
        <v>0.85792000000000002</v>
      </c>
      <c r="EH235">
        <v>1.0008600000000001</v>
      </c>
      <c r="EI235">
        <v>0.96958</v>
      </c>
      <c r="EJ235">
        <v>1.02084</v>
      </c>
      <c r="EK235">
        <v>0.90749999999999997</v>
      </c>
      <c r="EL235">
        <v>1.0501</v>
      </c>
      <c r="EM235">
        <v>1.03274</v>
      </c>
      <c r="EN235">
        <v>1.0642400000000001</v>
      </c>
      <c r="EO235">
        <v>1.0900799999999999</v>
      </c>
      <c r="EP235">
        <v>0.90958000000000006</v>
      </c>
      <c r="EQ235">
        <v>0.86499999999999999</v>
      </c>
      <c r="ER235">
        <v>0.83889999999999998</v>
      </c>
      <c r="ES235">
        <v>0.93222000000000005</v>
      </c>
    </row>
    <row r="236" spans="1:149" x14ac:dyDescent="0.35">
      <c r="A236" s="77"/>
      <c r="B236" s="77">
        <v>634</v>
      </c>
      <c r="C236" s="77">
        <v>0.51841999999999999</v>
      </c>
      <c r="D236" s="77">
        <v>0.36564999999999998</v>
      </c>
      <c r="E236" s="77">
        <v>0.56594999999999995</v>
      </c>
      <c r="F236" s="77">
        <v>0.42954999999999999</v>
      </c>
      <c r="G236" s="77">
        <v>0.50061</v>
      </c>
      <c r="H236" s="77">
        <v>0.48498999999999998</v>
      </c>
      <c r="I236" s="77">
        <v>0.51070000000000004</v>
      </c>
      <c r="J236" s="77">
        <v>0.45368999999999998</v>
      </c>
      <c r="K236" s="77">
        <v>0.52537999999999996</v>
      </c>
      <c r="L236" s="77">
        <v>0.51668000000000003</v>
      </c>
      <c r="M236" s="77">
        <v>0.5323</v>
      </c>
      <c r="N236" s="77">
        <v>0.54532999999999998</v>
      </c>
      <c r="O236" s="77">
        <v>0.45500000000000002</v>
      </c>
      <c r="P236" s="77">
        <v>0.43268000000000001</v>
      </c>
      <c r="Q236" s="77">
        <v>0.41968</v>
      </c>
      <c r="R236" s="77">
        <v>0.46628999999999998</v>
      </c>
      <c r="T236">
        <v>634</v>
      </c>
      <c r="U236">
        <f t="shared" si="48"/>
        <v>1.03684</v>
      </c>
      <c r="V236">
        <f t="shared" si="49"/>
        <v>0.73129999999999995</v>
      </c>
      <c r="W236">
        <f t="shared" si="50"/>
        <v>1.1318999999999999</v>
      </c>
      <c r="X236">
        <f t="shared" si="51"/>
        <v>0.85909999999999997</v>
      </c>
      <c r="Y236">
        <f t="shared" si="52"/>
        <v>1.00122</v>
      </c>
      <c r="Z236">
        <f t="shared" si="53"/>
        <v>0.96997999999999995</v>
      </c>
      <c r="AA236">
        <f t="shared" si="54"/>
        <v>1.0214000000000001</v>
      </c>
      <c r="AB236">
        <f t="shared" si="55"/>
        <v>0.90737999999999996</v>
      </c>
      <c r="AC236">
        <f t="shared" si="56"/>
        <v>1.0507599999999999</v>
      </c>
      <c r="AD236">
        <f t="shared" si="57"/>
        <v>1.0333600000000001</v>
      </c>
      <c r="AE236">
        <f t="shared" si="58"/>
        <v>1.0646</v>
      </c>
      <c r="AF236">
        <f t="shared" si="59"/>
        <v>1.09066</v>
      </c>
      <c r="AG236">
        <f t="shared" si="60"/>
        <v>0.91</v>
      </c>
      <c r="AH236">
        <f t="shared" si="61"/>
        <v>0.86536000000000002</v>
      </c>
      <c r="AI236">
        <f t="shared" si="62"/>
        <v>0.83935999999999999</v>
      </c>
      <c r="AJ236">
        <f t="shared" si="63"/>
        <v>0.93257999999999996</v>
      </c>
      <c r="EC236">
        <v>634</v>
      </c>
      <c r="ED236">
        <v>1.03684</v>
      </c>
      <c r="EE236">
        <v>0.73129999999999995</v>
      </c>
      <c r="EF236">
        <v>1.1318999999999999</v>
      </c>
      <c r="EG236">
        <v>0.85909999999999997</v>
      </c>
      <c r="EH236">
        <v>1.00122</v>
      </c>
      <c r="EI236">
        <v>0.96997999999999995</v>
      </c>
      <c r="EJ236">
        <v>1.0214000000000001</v>
      </c>
      <c r="EK236">
        <v>0.90737999999999996</v>
      </c>
      <c r="EL236">
        <v>1.0507599999999999</v>
      </c>
      <c r="EM236">
        <v>1.0333600000000001</v>
      </c>
      <c r="EN236">
        <v>1.0646</v>
      </c>
      <c r="EO236">
        <v>1.09066</v>
      </c>
      <c r="EP236">
        <v>0.91</v>
      </c>
      <c r="EQ236">
        <v>0.86536000000000002</v>
      </c>
      <c r="ER236">
        <v>0.83935999999999999</v>
      </c>
      <c r="ES236">
        <v>0.93257999999999996</v>
      </c>
    </row>
    <row r="237" spans="1:149" x14ac:dyDescent="0.35">
      <c r="A237" s="77"/>
      <c r="B237" s="77">
        <v>635</v>
      </c>
      <c r="C237" s="77">
        <v>0.51873999999999998</v>
      </c>
      <c r="D237" s="77">
        <v>0.36587999999999998</v>
      </c>
      <c r="E237" s="77">
        <v>0.56628000000000001</v>
      </c>
      <c r="F237" s="77">
        <v>0.42984</v>
      </c>
      <c r="G237" s="77">
        <v>0.50075000000000003</v>
      </c>
      <c r="H237" s="77">
        <v>0.48514000000000002</v>
      </c>
      <c r="I237" s="77">
        <v>0.51082000000000005</v>
      </c>
      <c r="J237" s="77">
        <v>0.45377000000000001</v>
      </c>
      <c r="K237" s="77">
        <v>0.52569999999999995</v>
      </c>
      <c r="L237" s="77">
        <v>0.51685000000000003</v>
      </c>
      <c r="M237" s="77">
        <v>0.53246000000000004</v>
      </c>
      <c r="N237" s="77">
        <v>0.54556000000000004</v>
      </c>
      <c r="O237" s="77">
        <v>0.45512000000000002</v>
      </c>
      <c r="P237" s="77">
        <v>0.43276999999999999</v>
      </c>
      <c r="Q237" s="77">
        <v>0.41987999999999998</v>
      </c>
      <c r="R237" s="77">
        <v>0.46639999999999998</v>
      </c>
      <c r="T237">
        <v>635</v>
      </c>
      <c r="U237">
        <f t="shared" si="48"/>
        <v>1.03748</v>
      </c>
      <c r="V237">
        <f t="shared" si="49"/>
        <v>0.73175999999999997</v>
      </c>
      <c r="W237">
        <f t="shared" si="50"/>
        <v>1.13256</v>
      </c>
      <c r="X237">
        <f t="shared" si="51"/>
        <v>0.85968</v>
      </c>
      <c r="Y237">
        <f t="shared" si="52"/>
        <v>1.0015000000000001</v>
      </c>
      <c r="Z237">
        <f t="shared" si="53"/>
        <v>0.97028000000000003</v>
      </c>
      <c r="AA237">
        <f t="shared" si="54"/>
        <v>1.0216400000000001</v>
      </c>
      <c r="AB237">
        <f t="shared" si="55"/>
        <v>0.90754000000000001</v>
      </c>
      <c r="AC237">
        <f t="shared" si="56"/>
        <v>1.0513999999999999</v>
      </c>
      <c r="AD237">
        <f t="shared" si="57"/>
        <v>1.0337000000000001</v>
      </c>
      <c r="AE237">
        <f t="shared" si="58"/>
        <v>1.0649200000000001</v>
      </c>
      <c r="AF237">
        <f t="shared" si="59"/>
        <v>1.0911200000000001</v>
      </c>
      <c r="AG237">
        <f t="shared" si="60"/>
        <v>0.91024000000000005</v>
      </c>
      <c r="AH237">
        <f t="shared" si="61"/>
        <v>0.86553999999999998</v>
      </c>
      <c r="AI237">
        <f t="shared" si="62"/>
        <v>0.83975999999999995</v>
      </c>
      <c r="AJ237">
        <f t="shared" si="63"/>
        <v>0.93279999999999996</v>
      </c>
      <c r="EC237">
        <v>635</v>
      </c>
      <c r="ED237">
        <v>1.03748</v>
      </c>
      <c r="EE237">
        <v>0.73175999999999997</v>
      </c>
      <c r="EF237">
        <v>1.13256</v>
      </c>
      <c r="EG237">
        <v>0.85968</v>
      </c>
      <c r="EH237">
        <v>1.0015000000000001</v>
      </c>
      <c r="EI237">
        <v>0.97028000000000003</v>
      </c>
      <c r="EJ237">
        <v>1.0216400000000001</v>
      </c>
      <c r="EK237">
        <v>0.90754000000000001</v>
      </c>
      <c r="EL237">
        <v>1.0513999999999999</v>
      </c>
      <c r="EM237">
        <v>1.0337000000000001</v>
      </c>
      <c r="EN237">
        <v>1.0649200000000001</v>
      </c>
      <c r="EO237">
        <v>1.0911200000000001</v>
      </c>
      <c r="EP237">
        <v>0.91024000000000005</v>
      </c>
      <c r="EQ237">
        <v>0.86553999999999998</v>
      </c>
      <c r="ER237">
        <v>0.83975999999999995</v>
      </c>
      <c r="ES237">
        <v>0.93279999999999996</v>
      </c>
    </row>
    <row r="238" spans="1:149" x14ac:dyDescent="0.35">
      <c r="A238" s="77"/>
      <c r="B238" s="77">
        <v>636</v>
      </c>
      <c r="C238" s="77">
        <v>0.51871999999999996</v>
      </c>
      <c r="D238" s="77">
        <v>0.36588999999999999</v>
      </c>
      <c r="E238" s="77">
        <v>0.56613000000000002</v>
      </c>
      <c r="F238" s="77">
        <v>0.42986000000000002</v>
      </c>
      <c r="G238" s="77">
        <v>0.50061</v>
      </c>
      <c r="H238" s="77">
        <v>0.48516999999999999</v>
      </c>
      <c r="I238" s="77">
        <v>0.51076999999999995</v>
      </c>
      <c r="J238" s="77">
        <v>0.4536</v>
      </c>
      <c r="K238" s="77">
        <v>0.52559999999999996</v>
      </c>
      <c r="L238" s="77">
        <v>0.51678000000000002</v>
      </c>
      <c r="M238" s="77">
        <v>0.53242</v>
      </c>
      <c r="N238" s="77">
        <v>0.54545999999999994</v>
      </c>
      <c r="O238" s="77">
        <v>0.45528999999999997</v>
      </c>
      <c r="P238" s="77">
        <v>0.43276999999999999</v>
      </c>
      <c r="Q238" s="77">
        <v>0.41991000000000001</v>
      </c>
      <c r="R238" s="77">
        <v>0.46654000000000001</v>
      </c>
      <c r="T238">
        <v>636</v>
      </c>
      <c r="U238">
        <f t="shared" si="48"/>
        <v>1.0374399999999999</v>
      </c>
      <c r="V238">
        <f t="shared" si="49"/>
        <v>0.73177999999999999</v>
      </c>
      <c r="W238">
        <f t="shared" si="50"/>
        <v>1.13226</v>
      </c>
      <c r="X238">
        <f t="shared" si="51"/>
        <v>0.85972000000000004</v>
      </c>
      <c r="Y238">
        <f t="shared" si="52"/>
        <v>1.00122</v>
      </c>
      <c r="Z238">
        <f t="shared" si="53"/>
        <v>0.97033999999999998</v>
      </c>
      <c r="AA238">
        <f t="shared" si="54"/>
        <v>1.0215399999999999</v>
      </c>
      <c r="AB238">
        <f t="shared" si="55"/>
        <v>0.90720000000000001</v>
      </c>
      <c r="AC238">
        <f t="shared" si="56"/>
        <v>1.0511999999999999</v>
      </c>
      <c r="AD238">
        <f t="shared" si="57"/>
        <v>1.03356</v>
      </c>
      <c r="AE238">
        <f t="shared" si="58"/>
        <v>1.06484</v>
      </c>
      <c r="AF238">
        <f t="shared" si="59"/>
        <v>1.0909199999999999</v>
      </c>
      <c r="AG238">
        <f t="shared" si="60"/>
        <v>0.91057999999999995</v>
      </c>
      <c r="AH238">
        <f t="shared" si="61"/>
        <v>0.86553999999999998</v>
      </c>
      <c r="AI238">
        <f t="shared" si="62"/>
        <v>0.83982000000000001</v>
      </c>
      <c r="AJ238">
        <f t="shared" si="63"/>
        <v>0.93308000000000002</v>
      </c>
      <c r="EC238">
        <v>636</v>
      </c>
      <c r="ED238">
        <v>1.0374399999999999</v>
      </c>
      <c r="EE238">
        <v>0.73177999999999999</v>
      </c>
      <c r="EF238">
        <v>1.13226</v>
      </c>
      <c r="EG238">
        <v>0.85972000000000004</v>
      </c>
      <c r="EH238">
        <v>1.00122</v>
      </c>
      <c r="EI238">
        <v>0.97033999999999998</v>
      </c>
      <c r="EJ238">
        <v>1.0215399999999999</v>
      </c>
      <c r="EK238">
        <v>0.90720000000000001</v>
      </c>
      <c r="EL238">
        <v>1.0511999999999999</v>
      </c>
      <c r="EM238">
        <v>1.03356</v>
      </c>
      <c r="EN238">
        <v>1.06484</v>
      </c>
      <c r="EO238">
        <v>1.0909199999999999</v>
      </c>
      <c r="EP238">
        <v>0.91057999999999995</v>
      </c>
      <c r="EQ238">
        <v>0.86553999999999998</v>
      </c>
      <c r="ER238">
        <v>0.83982000000000001</v>
      </c>
      <c r="ES238">
        <v>0.93308000000000002</v>
      </c>
    </row>
    <row r="239" spans="1:149" x14ac:dyDescent="0.35">
      <c r="A239" s="77"/>
      <c r="B239" s="77">
        <v>637</v>
      </c>
      <c r="C239" s="77">
        <v>0.51839999999999997</v>
      </c>
      <c r="D239" s="77">
        <v>0.36565999999999999</v>
      </c>
      <c r="E239" s="77">
        <v>0.56567000000000001</v>
      </c>
      <c r="F239" s="77">
        <v>0.42958000000000002</v>
      </c>
      <c r="G239" s="77">
        <v>0.50043000000000004</v>
      </c>
      <c r="H239" s="77">
        <v>0.48493999999999998</v>
      </c>
      <c r="I239" s="77">
        <v>0.51053000000000004</v>
      </c>
      <c r="J239" s="77">
        <v>0.45337</v>
      </c>
      <c r="K239" s="77">
        <v>0.52542</v>
      </c>
      <c r="L239" s="77">
        <v>0.51666000000000001</v>
      </c>
      <c r="M239" s="77">
        <v>0.53208999999999995</v>
      </c>
      <c r="N239" s="77">
        <v>0.54520999999999997</v>
      </c>
      <c r="O239" s="77">
        <v>0.45519999999999999</v>
      </c>
      <c r="P239" s="77">
        <v>0.43269000000000002</v>
      </c>
      <c r="Q239" s="77">
        <v>0.41982000000000003</v>
      </c>
      <c r="R239" s="77">
        <v>0.46642</v>
      </c>
      <c r="T239">
        <v>637</v>
      </c>
      <c r="U239">
        <f t="shared" si="48"/>
        <v>1.0367999999999999</v>
      </c>
      <c r="V239">
        <f t="shared" si="49"/>
        <v>0.73131999999999997</v>
      </c>
      <c r="W239">
        <f t="shared" si="50"/>
        <v>1.13134</v>
      </c>
      <c r="X239">
        <f t="shared" si="51"/>
        <v>0.85916000000000003</v>
      </c>
      <c r="Y239">
        <f t="shared" si="52"/>
        <v>1.0008600000000001</v>
      </c>
      <c r="Z239">
        <f t="shared" si="53"/>
        <v>0.96987999999999996</v>
      </c>
      <c r="AA239">
        <f t="shared" si="54"/>
        <v>1.0210600000000001</v>
      </c>
      <c r="AB239">
        <f t="shared" si="55"/>
        <v>0.90673999999999999</v>
      </c>
      <c r="AC239">
        <f t="shared" si="56"/>
        <v>1.05084</v>
      </c>
      <c r="AD239">
        <f t="shared" si="57"/>
        <v>1.03332</v>
      </c>
      <c r="AE239">
        <f t="shared" si="58"/>
        <v>1.0641799999999999</v>
      </c>
      <c r="AF239">
        <f t="shared" si="59"/>
        <v>1.0904199999999999</v>
      </c>
      <c r="AG239">
        <f t="shared" si="60"/>
        <v>0.91039999999999999</v>
      </c>
      <c r="AH239">
        <f t="shared" si="61"/>
        <v>0.86538000000000004</v>
      </c>
      <c r="AI239">
        <f t="shared" si="62"/>
        <v>0.83964000000000005</v>
      </c>
      <c r="AJ239">
        <f t="shared" si="63"/>
        <v>0.93284</v>
      </c>
      <c r="EC239">
        <v>637</v>
      </c>
      <c r="ED239">
        <v>1.0367999999999999</v>
      </c>
      <c r="EE239">
        <v>0.73131999999999997</v>
      </c>
      <c r="EF239">
        <v>1.13134</v>
      </c>
      <c r="EG239">
        <v>0.85916000000000003</v>
      </c>
      <c r="EH239">
        <v>1.0008600000000001</v>
      </c>
      <c r="EI239">
        <v>0.96987999999999996</v>
      </c>
      <c r="EJ239">
        <v>1.0210600000000001</v>
      </c>
      <c r="EK239">
        <v>0.90673999999999999</v>
      </c>
      <c r="EL239">
        <v>1.05084</v>
      </c>
      <c r="EM239">
        <v>1.03332</v>
      </c>
      <c r="EN239">
        <v>1.0641799999999999</v>
      </c>
      <c r="EO239">
        <v>1.0904199999999999</v>
      </c>
      <c r="EP239">
        <v>0.91039999999999999</v>
      </c>
      <c r="EQ239">
        <v>0.86538000000000004</v>
      </c>
      <c r="ER239">
        <v>0.83964000000000005</v>
      </c>
      <c r="ES239">
        <v>0.93284</v>
      </c>
    </row>
    <row r="240" spans="1:149" x14ac:dyDescent="0.35">
      <c r="A240" s="77"/>
      <c r="B240" s="77">
        <v>638</v>
      </c>
      <c r="C240" s="77">
        <v>0.51770000000000005</v>
      </c>
      <c r="D240" s="77">
        <v>0.36525000000000002</v>
      </c>
      <c r="E240" s="77">
        <v>0.56481999999999999</v>
      </c>
      <c r="F240" s="77">
        <v>0.42904999999999999</v>
      </c>
      <c r="G240" s="77">
        <v>0.50002999999999997</v>
      </c>
      <c r="H240" s="77">
        <v>0.48457</v>
      </c>
      <c r="I240" s="77">
        <v>0.51022000000000001</v>
      </c>
      <c r="J240" s="77">
        <v>0.45302999999999999</v>
      </c>
      <c r="K240" s="77">
        <v>0.52503999999999995</v>
      </c>
      <c r="L240" s="77">
        <v>0.51624999999999999</v>
      </c>
      <c r="M240" s="77">
        <v>0.53171000000000002</v>
      </c>
      <c r="N240" s="77">
        <v>0.54488000000000003</v>
      </c>
      <c r="O240" s="77">
        <v>0.45499000000000001</v>
      </c>
      <c r="P240" s="77">
        <v>0.43253000000000003</v>
      </c>
      <c r="Q240" s="77">
        <v>0.41971000000000003</v>
      </c>
      <c r="R240" s="77">
        <v>0.4662</v>
      </c>
      <c r="T240">
        <v>638</v>
      </c>
      <c r="U240">
        <f t="shared" si="48"/>
        <v>1.0354000000000001</v>
      </c>
      <c r="V240">
        <f t="shared" si="49"/>
        <v>0.73050000000000004</v>
      </c>
      <c r="W240">
        <f t="shared" si="50"/>
        <v>1.12964</v>
      </c>
      <c r="X240">
        <f t="shared" si="51"/>
        <v>0.85809999999999997</v>
      </c>
      <c r="Y240">
        <f t="shared" si="52"/>
        <v>1.0000599999999999</v>
      </c>
      <c r="Z240">
        <f t="shared" si="53"/>
        <v>0.96914</v>
      </c>
      <c r="AA240">
        <f t="shared" si="54"/>
        <v>1.02044</v>
      </c>
      <c r="AB240">
        <f t="shared" si="55"/>
        <v>0.90605999999999998</v>
      </c>
      <c r="AC240">
        <f t="shared" si="56"/>
        <v>1.0500799999999999</v>
      </c>
      <c r="AD240">
        <f t="shared" si="57"/>
        <v>1.0325</v>
      </c>
      <c r="AE240">
        <f t="shared" si="58"/>
        <v>1.06342</v>
      </c>
      <c r="AF240">
        <f t="shared" si="59"/>
        <v>1.0897600000000001</v>
      </c>
      <c r="AG240">
        <f t="shared" si="60"/>
        <v>0.90998000000000001</v>
      </c>
      <c r="AH240">
        <f t="shared" si="61"/>
        <v>0.86506000000000005</v>
      </c>
      <c r="AI240">
        <f t="shared" si="62"/>
        <v>0.83942000000000005</v>
      </c>
      <c r="AJ240">
        <f t="shared" si="63"/>
        <v>0.93240000000000001</v>
      </c>
      <c r="EC240">
        <v>638</v>
      </c>
      <c r="ED240">
        <v>1.0354000000000001</v>
      </c>
      <c r="EE240">
        <v>0.73050000000000004</v>
      </c>
      <c r="EF240">
        <v>1.12964</v>
      </c>
      <c r="EG240">
        <v>0.85809999999999997</v>
      </c>
      <c r="EH240">
        <v>1.0000599999999999</v>
      </c>
      <c r="EI240">
        <v>0.96914</v>
      </c>
      <c r="EJ240">
        <v>1.02044</v>
      </c>
      <c r="EK240">
        <v>0.90605999999999998</v>
      </c>
      <c r="EL240">
        <v>1.0500799999999999</v>
      </c>
      <c r="EM240">
        <v>1.0325</v>
      </c>
      <c r="EN240">
        <v>1.06342</v>
      </c>
      <c r="EO240">
        <v>1.0897600000000001</v>
      </c>
      <c r="EP240">
        <v>0.90998000000000001</v>
      </c>
      <c r="EQ240">
        <v>0.86506000000000005</v>
      </c>
      <c r="ER240">
        <v>0.83942000000000005</v>
      </c>
      <c r="ES240">
        <v>0.93240000000000001</v>
      </c>
    </row>
    <row r="241" spans="1:149" x14ac:dyDescent="0.35">
      <c r="A241" s="77"/>
      <c r="B241" s="77">
        <v>639</v>
      </c>
      <c r="C241" s="77">
        <v>0.51671</v>
      </c>
      <c r="D241" s="77">
        <v>0.36458000000000002</v>
      </c>
      <c r="E241" s="77">
        <v>0.56364000000000003</v>
      </c>
      <c r="F241" s="77">
        <v>0.42814999999999998</v>
      </c>
      <c r="G241" s="77">
        <v>0.49947000000000003</v>
      </c>
      <c r="H241" s="77">
        <v>0.48404000000000003</v>
      </c>
      <c r="I241" s="77">
        <v>0.50968999999999998</v>
      </c>
      <c r="J241" s="77">
        <v>0.45262000000000002</v>
      </c>
      <c r="K241" s="77">
        <v>0.52451000000000003</v>
      </c>
      <c r="L241" s="77">
        <v>0.51578999999999997</v>
      </c>
      <c r="M241" s="77">
        <v>0.53115999999999997</v>
      </c>
      <c r="N241" s="77">
        <v>0.54430000000000001</v>
      </c>
      <c r="O241" s="77">
        <v>0.45485999999999999</v>
      </c>
      <c r="P241" s="77">
        <v>0.43228</v>
      </c>
      <c r="Q241" s="77">
        <v>0.41955999999999999</v>
      </c>
      <c r="R241" s="77">
        <v>0.46603</v>
      </c>
      <c r="T241">
        <v>639</v>
      </c>
      <c r="U241">
        <f t="shared" si="48"/>
        <v>1.03342</v>
      </c>
      <c r="V241">
        <f t="shared" si="49"/>
        <v>0.72916000000000003</v>
      </c>
      <c r="W241">
        <f t="shared" si="50"/>
        <v>1.1272800000000001</v>
      </c>
      <c r="X241">
        <f t="shared" si="51"/>
        <v>0.85629999999999995</v>
      </c>
      <c r="Y241">
        <f t="shared" si="52"/>
        <v>0.99894000000000005</v>
      </c>
      <c r="Z241">
        <f t="shared" si="53"/>
        <v>0.96808000000000005</v>
      </c>
      <c r="AA241">
        <f t="shared" si="54"/>
        <v>1.01938</v>
      </c>
      <c r="AB241">
        <f t="shared" si="55"/>
        <v>0.90524000000000004</v>
      </c>
      <c r="AC241">
        <f t="shared" si="56"/>
        <v>1.0490200000000001</v>
      </c>
      <c r="AD241">
        <f t="shared" si="57"/>
        <v>1.0315799999999999</v>
      </c>
      <c r="AE241">
        <f t="shared" si="58"/>
        <v>1.0623199999999999</v>
      </c>
      <c r="AF241">
        <f t="shared" si="59"/>
        <v>1.0886</v>
      </c>
      <c r="AG241">
        <f t="shared" si="60"/>
        <v>0.90971999999999997</v>
      </c>
      <c r="AH241">
        <f t="shared" si="61"/>
        <v>0.86456</v>
      </c>
      <c r="AI241">
        <f t="shared" si="62"/>
        <v>0.83911999999999998</v>
      </c>
      <c r="AJ241">
        <f t="shared" si="63"/>
        <v>0.93206</v>
      </c>
      <c r="EC241">
        <v>639</v>
      </c>
      <c r="ED241">
        <v>1.03342</v>
      </c>
      <c r="EE241">
        <v>0.72916000000000003</v>
      </c>
      <c r="EF241">
        <v>1.1272800000000001</v>
      </c>
      <c r="EG241">
        <v>0.85629999999999995</v>
      </c>
      <c r="EH241">
        <v>0.99894000000000005</v>
      </c>
      <c r="EI241">
        <v>0.96808000000000005</v>
      </c>
      <c r="EJ241">
        <v>1.01938</v>
      </c>
      <c r="EK241">
        <v>0.90524000000000004</v>
      </c>
      <c r="EL241">
        <v>1.0490200000000001</v>
      </c>
      <c r="EM241">
        <v>1.0315799999999999</v>
      </c>
      <c r="EN241">
        <v>1.0623199999999999</v>
      </c>
      <c r="EO241">
        <v>1.0886</v>
      </c>
      <c r="EP241">
        <v>0.90971999999999997</v>
      </c>
      <c r="EQ241">
        <v>0.86456</v>
      </c>
      <c r="ER241">
        <v>0.83911999999999998</v>
      </c>
      <c r="ES241">
        <v>0.93206</v>
      </c>
    </row>
    <row r="242" spans="1:149" x14ac:dyDescent="0.35">
      <c r="A242" s="77"/>
      <c r="B242" s="77">
        <v>640</v>
      </c>
      <c r="C242" s="77">
        <v>0.51519999999999999</v>
      </c>
      <c r="D242" s="77">
        <v>0.36351</v>
      </c>
      <c r="E242" s="77">
        <v>0.56200000000000006</v>
      </c>
      <c r="F242" s="77">
        <v>0.42686000000000002</v>
      </c>
      <c r="G242" s="77">
        <v>0.49878</v>
      </c>
      <c r="H242" s="77">
        <v>0.48327999999999999</v>
      </c>
      <c r="I242" s="77">
        <v>0.50892999999999999</v>
      </c>
      <c r="J242" s="77">
        <v>0.45200000000000001</v>
      </c>
      <c r="K242" s="77">
        <v>0.52373999999999998</v>
      </c>
      <c r="L242" s="77">
        <v>0.51502999999999999</v>
      </c>
      <c r="M242" s="77">
        <v>0.53032999999999997</v>
      </c>
      <c r="N242" s="77">
        <v>0.54344000000000003</v>
      </c>
      <c r="O242" s="77">
        <v>0.45446999999999999</v>
      </c>
      <c r="P242" s="77">
        <v>0.43197999999999998</v>
      </c>
      <c r="Q242" s="77">
        <v>0.41937000000000002</v>
      </c>
      <c r="R242" s="77">
        <v>0.46561999999999998</v>
      </c>
      <c r="T242">
        <v>640</v>
      </c>
      <c r="U242">
        <f t="shared" si="48"/>
        <v>1.0304</v>
      </c>
      <c r="V242">
        <f t="shared" si="49"/>
        <v>0.72702</v>
      </c>
      <c r="W242">
        <f t="shared" si="50"/>
        <v>1.1240000000000001</v>
      </c>
      <c r="X242">
        <f t="shared" si="51"/>
        <v>0.85372000000000003</v>
      </c>
      <c r="Y242">
        <f t="shared" si="52"/>
        <v>0.99756</v>
      </c>
      <c r="Z242">
        <f t="shared" si="53"/>
        <v>0.96655999999999997</v>
      </c>
      <c r="AA242">
        <f t="shared" si="54"/>
        <v>1.01786</v>
      </c>
      <c r="AB242">
        <f t="shared" si="55"/>
        <v>0.90400000000000003</v>
      </c>
      <c r="AC242">
        <f t="shared" si="56"/>
        <v>1.04748</v>
      </c>
      <c r="AD242">
        <f t="shared" si="57"/>
        <v>1.03006</v>
      </c>
      <c r="AE242">
        <f t="shared" si="58"/>
        <v>1.0606599999999999</v>
      </c>
      <c r="AF242">
        <f t="shared" si="59"/>
        <v>1.0868800000000001</v>
      </c>
      <c r="AG242">
        <f t="shared" si="60"/>
        <v>0.90893999999999997</v>
      </c>
      <c r="AH242">
        <f t="shared" si="61"/>
        <v>0.86395999999999995</v>
      </c>
      <c r="AI242">
        <f t="shared" si="62"/>
        <v>0.83874000000000004</v>
      </c>
      <c r="AJ242">
        <f t="shared" si="63"/>
        <v>0.93123999999999996</v>
      </c>
      <c r="EC242">
        <v>640</v>
      </c>
      <c r="ED242">
        <v>1.0304</v>
      </c>
      <c r="EE242">
        <v>0.72702</v>
      </c>
      <c r="EF242">
        <v>1.1240000000000001</v>
      </c>
      <c r="EG242">
        <v>0.85372000000000003</v>
      </c>
      <c r="EH242">
        <v>0.99756</v>
      </c>
      <c r="EI242">
        <v>0.96655999999999997</v>
      </c>
      <c r="EJ242">
        <v>1.01786</v>
      </c>
      <c r="EK242">
        <v>0.90400000000000003</v>
      </c>
      <c r="EL242">
        <v>1.04748</v>
      </c>
      <c r="EM242">
        <v>1.03006</v>
      </c>
      <c r="EN242">
        <v>1.0606599999999999</v>
      </c>
      <c r="EO242">
        <v>1.0868800000000001</v>
      </c>
      <c r="EP242">
        <v>0.90893999999999997</v>
      </c>
      <c r="EQ242">
        <v>0.86395999999999995</v>
      </c>
      <c r="ER242">
        <v>0.83874000000000004</v>
      </c>
      <c r="ES242">
        <v>0.93123999999999996</v>
      </c>
    </row>
    <row r="243" spans="1:149" x14ac:dyDescent="0.35">
      <c r="A243" s="77"/>
      <c r="B243" s="77">
        <v>641</v>
      </c>
      <c r="C243" s="77">
        <v>0.51356999999999997</v>
      </c>
      <c r="D243" s="77">
        <v>0.3624</v>
      </c>
      <c r="E243" s="77">
        <v>0.56003000000000003</v>
      </c>
      <c r="F243" s="77">
        <v>0.42542999999999997</v>
      </c>
      <c r="G243" s="77">
        <v>0.49791999999999997</v>
      </c>
      <c r="H243" s="77">
        <v>0.48242000000000002</v>
      </c>
      <c r="I243" s="77">
        <v>0.50819000000000003</v>
      </c>
      <c r="J243" s="77">
        <v>0.45132</v>
      </c>
      <c r="K243" s="77">
        <v>0.52281</v>
      </c>
      <c r="L243" s="77">
        <v>0.51424000000000003</v>
      </c>
      <c r="M243" s="77">
        <v>0.52949999999999997</v>
      </c>
      <c r="N243" s="77">
        <v>0.54247999999999996</v>
      </c>
      <c r="O243" s="77">
        <v>0.45406999999999997</v>
      </c>
      <c r="P243" s="77">
        <v>0.43160999999999999</v>
      </c>
      <c r="Q243" s="77">
        <v>0.41907</v>
      </c>
      <c r="R243" s="77">
        <v>0.46522999999999998</v>
      </c>
      <c r="T243">
        <v>641</v>
      </c>
      <c r="U243">
        <f t="shared" si="48"/>
        <v>1.0271399999999999</v>
      </c>
      <c r="V243">
        <f t="shared" si="49"/>
        <v>0.7248</v>
      </c>
      <c r="W243">
        <f t="shared" si="50"/>
        <v>1.1200600000000001</v>
      </c>
      <c r="X243">
        <f t="shared" si="51"/>
        <v>0.85085999999999995</v>
      </c>
      <c r="Y243">
        <f t="shared" si="52"/>
        <v>0.99583999999999995</v>
      </c>
      <c r="Z243">
        <f t="shared" si="53"/>
        <v>0.96484000000000003</v>
      </c>
      <c r="AA243">
        <f t="shared" si="54"/>
        <v>1.0163800000000001</v>
      </c>
      <c r="AB243">
        <f t="shared" si="55"/>
        <v>0.90264</v>
      </c>
      <c r="AC243">
        <f t="shared" si="56"/>
        <v>1.04562</v>
      </c>
      <c r="AD243">
        <f t="shared" si="57"/>
        <v>1.0284800000000001</v>
      </c>
      <c r="AE243">
        <f t="shared" si="58"/>
        <v>1.0589999999999999</v>
      </c>
      <c r="AF243">
        <f t="shared" si="59"/>
        <v>1.0849599999999999</v>
      </c>
      <c r="AG243">
        <f t="shared" si="60"/>
        <v>0.90813999999999995</v>
      </c>
      <c r="AH243">
        <f t="shared" si="61"/>
        <v>0.86321999999999999</v>
      </c>
      <c r="AI243">
        <f t="shared" si="62"/>
        <v>0.83814</v>
      </c>
      <c r="AJ243">
        <f t="shared" si="63"/>
        <v>0.93045999999999995</v>
      </c>
      <c r="EC243">
        <v>641</v>
      </c>
      <c r="ED243">
        <v>1.0271399999999999</v>
      </c>
      <c r="EE243">
        <v>0.7248</v>
      </c>
      <c r="EF243">
        <v>1.1200600000000001</v>
      </c>
      <c r="EG243">
        <v>0.85085999999999995</v>
      </c>
      <c r="EH243">
        <v>0.99583999999999995</v>
      </c>
      <c r="EI243">
        <v>0.96484000000000003</v>
      </c>
      <c r="EJ243">
        <v>1.0163800000000001</v>
      </c>
      <c r="EK243">
        <v>0.90264</v>
      </c>
      <c r="EL243">
        <v>1.04562</v>
      </c>
      <c r="EM243">
        <v>1.0284800000000001</v>
      </c>
      <c r="EN243">
        <v>1.0589999999999999</v>
      </c>
      <c r="EO243">
        <v>1.0849599999999999</v>
      </c>
      <c r="EP243">
        <v>0.90813999999999995</v>
      </c>
      <c r="EQ243">
        <v>0.86321999999999999</v>
      </c>
      <c r="ER243">
        <v>0.83814</v>
      </c>
      <c r="ES243">
        <v>0.93045999999999995</v>
      </c>
    </row>
    <row r="244" spans="1:149" x14ac:dyDescent="0.35">
      <c r="A244" s="77"/>
      <c r="B244" s="77">
        <v>642</v>
      </c>
      <c r="C244" s="77">
        <v>0.51166</v>
      </c>
      <c r="D244" s="77">
        <v>0.36109999999999998</v>
      </c>
      <c r="E244" s="77">
        <v>0.55781999999999998</v>
      </c>
      <c r="F244" s="77">
        <v>0.42377999999999999</v>
      </c>
      <c r="G244" s="77">
        <v>0.49708999999999998</v>
      </c>
      <c r="H244" s="77">
        <v>0.48152</v>
      </c>
      <c r="I244" s="77">
        <v>0.50726000000000004</v>
      </c>
      <c r="J244" s="77">
        <v>0.45057999999999998</v>
      </c>
      <c r="K244" s="77">
        <v>0.52188000000000001</v>
      </c>
      <c r="L244" s="77">
        <v>0.51337999999999995</v>
      </c>
      <c r="M244" s="77">
        <v>0.52847</v>
      </c>
      <c r="N244" s="77">
        <v>0.54147000000000001</v>
      </c>
      <c r="O244" s="77">
        <v>0.45366000000000001</v>
      </c>
      <c r="P244" s="77">
        <v>0.43126999999999999</v>
      </c>
      <c r="Q244" s="77">
        <v>0.41872999999999999</v>
      </c>
      <c r="R244" s="77">
        <v>0.46481</v>
      </c>
      <c r="T244">
        <v>642</v>
      </c>
      <c r="U244">
        <f t="shared" si="48"/>
        <v>1.02332</v>
      </c>
      <c r="V244">
        <f t="shared" si="49"/>
        <v>0.72219999999999995</v>
      </c>
      <c r="W244">
        <f t="shared" si="50"/>
        <v>1.11564</v>
      </c>
      <c r="X244">
        <f t="shared" si="51"/>
        <v>0.84755999999999998</v>
      </c>
      <c r="Y244">
        <f t="shared" si="52"/>
        <v>0.99417999999999995</v>
      </c>
      <c r="Z244">
        <f t="shared" si="53"/>
        <v>0.96304000000000001</v>
      </c>
      <c r="AA244">
        <f t="shared" si="54"/>
        <v>1.0145200000000001</v>
      </c>
      <c r="AB244">
        <f t="shared" si="55"/>
        <v>0.90115999999999996</v>
      </c>
      <c r="AC244">
        <f t="shared" si="56"/>
        <v>1.04376</v>
      </c>
      <c r="AD244">
        <f t="shared" si="57"/>
        <v>1.0267599999999999</v>
      </c>
      <c r="AE244">
        <f t="shared" si="58"/>
        <v>1.05694</v>
      </c>
      <c r="AF244">
        <f t="shared" si="59"/>
        <v>1.08294</v>
      </c>
      <c r="AG244">
        <f t="shared" si="60"/>
        <v>0.90732000000000002</v>
      </c>
      <c r="AH244">
        <f t="shared" si="61"/>
        <v>0.86253999999999997</v>
      </c>
      <c r="AI244">
        <f t="shared" si="62"/>
        <v>0.83745999999999998</v>
      </c>
      <c r="AJ244">
        <f t="shared" si="63"/>
        <v>0.92962</v>
      </c>
      <c r="EC244">
        <v>642</v>
      </c>
      <c r="ED244">
        <v>1.02332</v>
      </c>
      <c r="EE244">
        <v>0.72219999999999995</v>
      </c>
      <c r="EF244">
        <v>1.11564</v>
      </c>
      <c r="EG244">
        <v>0.84755999999999998</v>
      </c>
      <c r="EH244">
        <v>0.99417999999999995</v>
      </c>
      <c r="EI244">
        <v>0.96304000000000001</v>
      </c>
      <c r="EJ244">
        <v>1.0145200000000001</v>
      </c>
      <c r="EK244">
        <v>0.90115999999999996</v>
      </c>
      <c r="EL244">
        <v>1.04376</v>
      </c>
      <c r="EM244">
        <v>1.0267599999999999</v>
      </c>
      <c r="EN244">
        <v>1.05694</v>
      </c>
      <c r="EO244">
        <v>1.08294</v>
      </c>
      <c r="EP244">
        <v>0.90732000000000002</v>
      </c>
      <c r="EQ244">
        <v>0.86253999999999997</v>
      </c>
      <c r="ER244">
        <v>0.83745999999999998</v>
      </c>
      <c r="ES244">
        <v>0.92962</v>
      </c>
    </row>
    <row r="245" spans="1:149" x14ac:dyDescent="0.35">
      <c r="A245" s="77"/>
      <c r="B245" s="77">
        <v>643</v>
      </c>
      <c r="C245" s="77">
        <v>0.50934999999999997</v>
      </c>
      <c r="D245" s="77">
        <v>0.35957</v>
      </c>
      <c r="E245" s="77">
        <v>0.55527000000000004</v>
      </c>
      <c r="F245" s="77">
        <v>0.42187999999999998</v>
      </c>
      <c r="G245" s="77">
        <v>0.49619999999999997</v>
      </c>
      <c r="H245" s="77">
        <v>0.48043999999999998</v>
      </c>
      <c r="I245" s="77">
        <v>0.50626000000000004</v>
      </c>
      <c r="J245" s="77">
        <v>0.44974999999999998</v>
      </c>
      <c r="K245" s="77">
        <v>0.52075000000000005</v>
      </c>
      <c r="L245" s="77">
        <v>0.51241000000000003</v>
      </c>
      <c r="M245" s="77">
        <v>0.52732999999999997</v>
      </c>
      <c r="N245" s="77">
        <v>0.54020999999999997</v>
      </c>
      <c r="O245" s="77">
        <v>0.45311000000000001</v>
      </c>
      <c r="P245" s="77">
        <v>0.43076999999999999</v>
      </c>
      <c r="Q245" s="77">
        <v>0.41832000000000003</v>
      </c>
      <c r="R245" s="77">
        <v>0.46426000000000001</v>
      </c>
      <c r="T245">
        <v>643</v>
      </c>
      <c r="U245">
        <f t="shared" si="48"/>
        <v>1.0186999999999999</v>
      </c>
      <c r="V245">
        <f t="shared" si="49"/>
        <v>0.71914</v>
      </c>
      <c r="W245">
        <f t="shared" si="50"/>
        <v>1.1105400000000001</v>
      </c>
      <c r="X245">
        <f t="shared" si="51"/>
        <v>0.84375999999999995</v>
      </c>
      <c r="Y245">
        <f t="shared" si="52"/>
        <v>0.99239999999999995</v>
      </c>
      <c r="Z245">
        <f t="shared" si="53"/>
        <v>0.96087999999999996</v>
      </c>
      <c r="AA245">
        <f t="shared" si="54"/>
        <v>1.0125200000000001</v>
      </c>
      <c r="AB245">
        <f t="shared" si="55"/>
        <v>0.89949999999999997</v>
      </c>
      <c r="AC245">
        <f t="shared" si="56"/>
        <v>1.0415000000000001</v>
      </c>
      <c r="AD245">
        <f t="shared" si="57"/>
        <v>1.0248200000000001</v>
      </c>
      <c r="AE245">
        <f t="shared" si="58"/>
        <v>1.0546599999999999</v>
      </c>
      <c r="AF245">
        <f t="shared" si="59"/>
        <v>1.0804199999999999</v>
      </c>
      <c r="AG245">
        <f t="shared" si="60"/>
        <v>0.90622000000000003</v>
      </c>
      <c r="AH245">
        <f t="shared" si="61"/>
        <v>0.86153999999999997</v>
      </c>
      <c r="AI245">
        <f t="shared" si="62"/>
        <v>0.83664000000000005</v>
      </c>
      <c r="AJ245">
        <f t="shared" si="63"/>
        <v>0.92852000000000001</v>
      </c>
      <c r="EC245">
        <v>643</v>
      </c>
      <c r="ED245">
        <v>1.0186999999999999</v>
      </c>
      <c r="EE245">
        <v>0.71914</v>
      </c>
      <c r="EF245">
        <v>1.1105400000000001</v>
      </c>
      <c r="EG245">
        <v>0.84375999999999995</v>
      </c>
      <c r="EH245">
        <v>0.99239999999999995</v>
      </c>
      <c r="EI245">
        <v>0.96087999999999996</v>
      </c>
      <c r="EJ245">
        <v>1.0125200000000001</v>
      </c>
      <c r="EK245">
        <v>0.89949999999999997</v>
      </c>
      <c r="EL245">
        <v>1.0415000000000001</v>
      </c>
      <c r="EM245">
        <v>1.0248200000000001</v>
      </c>
      <c r="EN245">
        <v>1.0546599999999999</v>
      </c>
      <c r="EO245">
        <v>1.0804199999999999</v>
      </c>
      <c r="EP245">
        <v>0.90622000000000003</v>
      </c>
      <c r="EQ245">
        <v>0.86153999999999997</v>
      </c>
      <c r="ER245">
        <v>0.83664000000000005</v>
      </c>
      <c r="ES245">
        <v>0.92852000000000001</v>
      </c>
    </row>
    <row r="246" spans="1:149" x14ac:dyDescent="0.35">
      <c r="A246" s="77"/>
      <c r="B246" s="77">
        <v>644</v>
      </c>
      <c r="C246" s="77">
        <v>0.50700000000000001</v>
      </c>
      <c r="D246" s="77">
        <v>0.35791000000000001</v>
      </c>
      <c r="E246" s="77">
        <v>0.55259999999999998</v>
      </c>
      <c r="F246" s="77">
        <v>0.41982000000000003</v>
      </c>
      <c r="G246" s="77">
        <v>0.49514999999999998</v>
      </c>
      <c r="H246" s="77">
        <v>0.47932000000000002</v>
      </c>
      <c r="I246" s="77">
        <v>0.50517000000000001</v>
      </c>
      <c r="J246" s="77">
        <v>0.44901000000000002</v>
      </c>
      <c r="K246" s="77">
        <v>0.51951999999999998</v>
      </c>
      <c r="L246" s="77">
        <v>0.51143000000000005</v>
      </c>
      <c r="M246" s="77">
        <v>0.52614000000000005</v>
      </c>
      <c r="N246" s="77">
        <v>0.53895999999999999</v>
      </c>
      <c r="O246" s="77">
        <v>0.45255000000000001</v>
      </c>
      <c r="P246" s="77">
        <v>0.43028</v>
      </c>
      <c r="Q246" s="77">
        <v>0.41785</v>
      </c>
      <c r="R246" s="77">
        <v>0.46371000000000001</v>
      </c>
      <c r="T246">
        <v>644</v>
      </c>
      <c r="U246">
        <f t="shared" si="48"/>
        <v>1.014</v>
      </c>
      <c r="V246">
        <f t="shared" si="49"/>
        <v>0.71582000000000001</v>
      </c>
      <c r="W246">
        <f t="shared" si="50"/>
        <v>1.1052</v>
      </c>
      <c r="X246">
        <f t="shared" si="51"/>
        <v>0.83964000000000005</v>
      </c>
      <c r="Y246">
        <f t="shared" si="52"/>
        <v>0.99029999999999996</v>
      </c>
      <c r="Z246">
        <f t="shared" si="53"/>
        <v>0.95864000000000005</v>
      </c>
      <c r="AA246">
        <f t="shared" si="54"/>
        <v>1.01034</v>
      </c>
      <c r="AB246">
        <f t="shared" si="55"/>
        <v>0.89802000000000004</v>
      </c>
      <c r="AC246">
        <f t="shared" si="56"/>
        <v>1.03904</v>
      </c>
      <c r="AD246">
        <f t="shared" si="57"/>
        <v>1.0228600000000001</v>
      </c>
      <c r="AE246">
        <f t="shared" si="58"/>
        <v>1.0522800000000001</v>
      </c>
      <c r="AF246">
        <f t="shared" si="59"/>
        <v>1.07792</v>
      </c>
      <c r="AG246">
        <f t="shared" si="60"/>
        <v>0.90510000000000002</v>
      </c>
      <c r="AH246">
        <f t="shared" si="61"/>
        <v>0.86055999999999999</v>
      </c>
      <c r="AI246">
        <f t="shared" si="62"/>
        <v>0.8357</v>
      </c>
      <c r="AJ246">
        <f t="shared" si="63"/>
        <v>0.92742000000000002</v>
      </c>
      <c r="EC246">
        <v>644</v>
      </c>
      <c r="ED246">
        <v>1.014</v>
      </c>
      <c r="EE246">
        <v>0.71582000000000001</v>
      </c>
      <c r="EF246">
        <v>1.1052</v>
      </c>
      <c r="EG246">
        <v>0.83964000000000005</v>
      </c>
      <c r="EH246">
        <v>0.99029999999999996</v>
      </c>
      <c r="EI246">
        <v>0.95864000000000005</v>
      </c>
      <c r="EJ246">
        <v>1.01034</v>
      </c>
      <c r="EK246">
        <v>0.89802000000000004</v>
      </c>
      <c r="EL246">
        <v>1.03904</v>
      </c>
      <c r="EM246">
        <v>1.0228600000000001</v>
      </c>
      <c r="EN246">
        <v>1.0522800000000001</v>
      </c>
      <c r="EO246">
        <v>1.07792</v>
      </c>
      <c r="EP246">
        <v>0.90510000000000002</v>
      </c>
      <c r="EQ246">
        <v>0.86055999999999999</v>
      </c>
      <c r="ER246">
        <v>0.8357</v>
      </c>
      <c r="ES246">
        <v>0.92742000000000002</v>
      </c>
    </row>
    <row r="247" spans="1:149" x14ac:dyDescent="0.35">
      <c r="A247" s="77"/>
      <c r="B247" s="77">
        <v>645</v>
      </c>
      <c r="C247" s="77">
        <v>0.50446000000000002</v>
      </c>
      <c r="D247" s="77">
        <v>0.35625000000000001</v>
      </c>
      <c r="E247" s="77">
        <v>0.54979999999999996</v>
      </c>
      <c r="F247" s="77">
        <v>0.41768</v>
      </c>
      <c r="G247" s="77">
        <v>0.49402000000000001</v>
      </c>
      <c r="H247" s="77">
        <v>0.47810000000000002</v>
      </c>
      <c r="I247" s="77">
        <v>0.50402999999999998</v>
      </c>
      <c r="J247" s="77">
        <v>0.44808999999999999</v>
      </c>
      <c r="K247" s="77">
        <v>0.51829999999999998</v>
      </c>
      <c r="L247" s="77">
        <v>0.51029999999999998</v>
      </c>
      <c r="M247" s="77">
        <v>0.52488999999999997</v>
      </c>
      <c r="N247" s="77">
        <v>0.53761000000000003</v>
      </c>
      <c r="O247" s="77">
        <v>0.45193</v>
      </c>
      <c r="P247" s="77">
        <v>0.42978</v>
      </c>
      <c r="Q247" s="77">
        <v>0.41733999999999999</v>
      </c>
      <c r="R247" s="77">
        <v>0.46304000000000001</v>
      </c>
      <c r="T247">
        <v>645</v>
      </c>
      <c r="U247">
        <f t="shared" si="48"/>
        <v>1.00892</v>
      </c>
      <c r="V247">
        <f t="shared" si="49"/>
        <v>0.71250000000000002</v>
      </c>
      <c r="W247">
        <f t="shared" si="50"/>
        <v>1.0995999999999999</v>
      </c>
      <c r="X247">
        <f t="shared" si="51"/>
        <v>0.83535999999999999</v>
      </c>
      <c r="Y247">
        <f t="shared" si="52"/>
        <v>0.98804000000000003</v>
      </c>
      <c r="Z247">
        <f t="shared" si="53"/>
        <v>0.95620000000000005</v>
      </c>
      <c r="AA247">
        <f t="shared" si="54"/>
        <v>1.00806</v>
      </c>
      <c r="AB247">
        <f t="shared" si="55"/>
        <v>0.89617999999999998</v>
      </c>
      <c r="AC247">
        <f t="shared" si="56"/>
        <v>1.0366</v>
      </c>
      <c r="AD247">
        <f t="shared" si="57"/>
        <v>1.0206</v>
      </c>
      <c r="AE247">
        <f t="shared" si="58"/>
        <v>1.0497799999999999</v>
      </c>
      <c r="AF247">
        <f t="shared" si="59"/>
        <v>1.0752200000000001</v>
      </c>
      <c r="AG247">
        <f t="shared" si="60"/>
        <v>0.90386</v>
      </c>
      <c r="AH247">
        <f t="shared" si="61"/>
        <v>0.85955999999999999</v>
      </c>
      <c r="AI247">
        <f t="shared" si="62"/>
        <v>0.83467999999999998</v>
      </c>
      <c r="AJ247">
        <f t="shared" si="63"/>
        <v>0.92608000000000001</v>
      </c>
      <c r="EC247">
        <v>645</v>
      </c>
      <c r="ED247">
        <v>1.00892</v>
      </c>
      <c r="EE247">
        <v>0.71250000000000002</v>
      </c>
      <c r="EF247">
        <v>1.0995999999999999</v>
      </c>
      <c r="EG247">
        <v>0.83535999999999999</v>
      </c>
      <c r="EH247">
        <v>0.98804000000000003</v>
      </c>
      <c r="EI247">
        <v>0.95620000000000005</v>
      </c>
      <c r="EJ247">
        <v>1.00806</v>
      </c>
      <c r="EK247">
        <v>0.89617999999999998</v>
      </c>
      <c r="EL247">
        <v>1.0366</v>
      </c>
      <c r="EM247">
        <v>1.0206</v>
      </c>
      <c r="EN247">
        <v>1.0497799999999999</v>
      </c>
      <c r="EO247">
        <v>1.0752200000000001</v>
      </c>
      <c r="EP247">
        <v>0.90386</v>
      </c>
      <c r="EQ247">
        <v>0.85955999999999999</v>
      </c>
      <c r="ER247">
        <v>0.83467999999999998</v>
      </c>
      <c r="ES247">
        <v>0.92608000000000001</v>
      </c>
    </row>
    <row r="248" spans="1:149" x14ac:dyDescent="0.35">
      <c r="A248" s="77"/>
      <c r="B248" s="77">
        <v>646</v>
      </c>
      <c r="C248" s="77">
        <v>0.50190999999999997</v>
      </c>
      <c r="D248" s="77">
        <v>0.35450999999999999</v>
      </c>
      <c r="E248" s="77">
        <v>0.54695000000000005</v>
      </c>
      <c r="F248" s="77">
        <v>0.41550999999999999</v>
      </c>
      <c r="G248" s="77">
        <v>0.49297999999999997</v>
      </c>
      <c r="H248" s="77">
        <v>0.47699000000000003</v>
      </c>
      <c r="I248" s="77">
        <v>0.50292999999999999</v>
      </c>
      <c r="J248" s="77">
        <v>0.44724000000000003</v>
      </c>
      <c r="K248" s="77">
        <v>0.51707000000000003</v>
      </c>
      <c r="L248" s="77">
        <v>0.50917000000000001</v>
      </c>
      <c r="M248" s="77">
        <v>0.52373000000000003</v>
      </c>
      <c r="N248" s="77">
        <v>0.5363</v>
      </c>
      <c r="O248" s="77">
        <v>0.45129000000000002</v>
      </c>
      <c r="P248" s="77">
        <v>0.42917</v>
      </c>
      <c r="Q248" s="77">
        <v>0.41682000000000002</v>
      </c>
      <c r="R248" s="77">
        <v>0.46243000000000001</v>
      </c>
      <c r="T248">
        <v>646</v>
      </c>
      <c r="U248">
        <f t="shared" si="48"/>
        <v>1.0038199999999999</v>
      </c>
      <c r="V248">
        <f t="shared" si="49"/>
        <v>0.70901999999999998</v>
      </c>
      <c r="W248">
        <f t="shared" si="50"/>
        <v>1.0939000000000001</v>
      </c>
      <c r="X248">
        <f t="shared" si="51"/>
        <v>0.83101999999999998</v>
      </c>
      <c r="Y248">
        <f t="shared" si="52"/>
        <v>0.98595999999999995</v>
      </c>
      <c r="Z248">
        <f t="shared" si="53"/>
        <v>0.95398000000000005</v>
      </c>
      <c r="AA248">
        <f t="shared" si="54"/>
        <v>1.00586</v>
      </c>
      <c r="AB248">
        <f t="shared" si="55"/>
        <v>0.89448000000000005</v>
      </c>
      <c r="AC248">
        <f t="shared" si="56"/>
        <v>1.0341400000000001</v>
      </c>
      <c r="AD248">
        <f t="shared" si="57"/>
        <v>1.01834</v>
      </c>
      <c r="AE248">
        <f t="shared" si="58"/>
        <v>1.0474600000000001</v>
      </c>
      <c r="AF248">
        <f t="shared" si="59"/>
        <v>1.0726</v>
      </c>
      <c r="AG248">
        <f t="shared" si="60"/>
        <v>0.90258000000000005</v>
      </c>
      <c r="AH248">
        <f t="shared" si="61"/>
        <v>0.85833999999999999</v>
      </c>
      <c r="AI248">
        <f t="shared" si="62"/>
        <v>0.83364000000000005</v>
      </c>
      <c r="AJ248">
        <f t="shared" si="63"/>
        <v>0.92486000000000002</v>
      </c>
      <c r="EC248">
        <v>646</v>
      </c>
      <c r="ED248">
        <v>1.0038199999999999</v>
      </c>
      <c r="EE248">
        <v>0.70901999999999998</v>
      </c>
      <c r="EF248">
        <v>1.0939000000000001</v>
      </c>
      <c r="EG248">
        <v>0.83101999999999998</v>
      </c>
      <c r="EH248">
        <v>0.98595999999999995</v>
      </c>
      <c r="EI248">
        <v>0.95398000000000005</v>
      </c>
      <c r="EJ248">
        <v>1.00586</v>
      </c>
      <c r="EK248">
        <v>0.89448000000000005</v>
      </c>
      <c r="EL248">
        <v>1.0341400000000001</v>
      </c>
      <c r="EM248">
        <v>1.01834</v>
      </c>
      <c r="EN248">
        <v>1.0474600000000001</v>
      </c>
      <c r="EO248">
        <v>1.0726</v>
      </c>
      <c r="EP248">
        <v>0.90258000000000005</v>
      </c>
      <c r="EQ248">
        <v>0.85833999999999999</v>
      </c>
      <c r="ER248">
        <v>0.83364000000000005</v>
      </c>
      <c r="ES248">
        <v>0.92486000000000002</v>
      </c>
    </row>
    <row r="249" spans="1:149" x14ac:dyDescent="0.35">
      <c r="A249" s="77"/>
      <c r="B249" s="77">
        <v>647</v>
      </c>
      <c r="C249" s="77">
        <v>0.49930000000000002</v>
      </c>
      <c r="D249" s="77">
        <v>0.35276999999999997</v>
      </c>
      <c r="E249" s="77">
        <v>0.54401999999999995</v>
      </c>
      <c r="F249" s="77">
        <v>0.41331000000000001</v>
      </c>
      <c r="G249" s="77">
        <v>0.49179</v>
      </c>
      <c r="H249" s="77">
        <v>0.47571999999999998</v>
      </c>
      <c r="I249" s="77">
        <v>0.50173999999999996</v>
      </c>
      <c r="J249" s="77">
        <v>0.44631999999999999</v>
      </c>
      <c r="K249" s="77">
        <v>0.51570000000000005</v>
      </c>
      <c r="L249" s="77">
        <v>0.50804000000000005</v>
      </c>
      <c r="M249" s="77">
        <v>0.52242</v>
      </c>
      <c r="N249" s="77">
        <v>0.53496999999999995</v>
      </c>
      <c r="O249" s="77">
        <v>0.45061000000000001</v>
      </c>
      <c r="P249" s="77">
        <v>0.42857000000000001</v>
      </c>
      <c r="Q249" s="77">
        <v>0.41628999999999999</v>
      </c>
      <c r="R249" s="77">
        <v>0.46176</v>
      </c>
      <c r="T249">
        <v>647</v>
      </c>
      <c r="U249">
        <f t="shared" si="48"/>
        <v>0.99860000000000004</v>
      </c>
      <c r="V249">
        <f t="shared" si="49"/>
        <v>0.70553999999999994</v>
      </c>
      <c r="W249">
        <f t="shared" si="50"/>
        <v>1.0880399999999999</v>
      </c>
      <c r="X249">
        <f t="shared" si="51"/>
        <v>0.82662000000000002</v>
      </c>
      <c r="Y249">
        <f t="shared" si="52"/>
        <v>0.98358000000000001</v>
      </c>
      <c r="Z249">
        <f t="shared" si="53"/>
        <v>0.95143999999999995</v>
      </c>
      <c r="AA249">
        <f t="shared" si="54"/>
        <v>1.0034799999999999</v>
      </c>
      <c r="AB249">
        <f t="shared" si="55"/>
        <v>0.89263999999999999</v>
      </c>
      <c r="AC249">
        <f t="shared" si="56"/>
        <v>1.0314000000000001</v>
      </c>
      <c r="AD249">
        <f t="shared" si="57"/>
        <v>1.0160800000000001</v>
      </c>
      <c r="AE249">
        <f t="shared" si="58"/>
        <v>1.04484</v>
      </c>
      <c r="AF249">
        <f t="shared" si="59"/>
        <v>1.0699399999999999</v>
      </c>
      <c r="AG249">
        <f t="shared" si="60"/>
        <v>0.90122000000000002</v>
      </c>
      <c r="AH249">
        <f t="shared" si="61"/>
        <v>0.85714000000000001</v>
      </c>
      <c r="AI249">
        <f t="shared" si="62"/>
        <v>0.83257999999999999</v>
      </c>
      <c r="AJ249">
        <f t="shared" si="63"/>
        <v>0.92352000000000001</v>
      </c>
      <c r="EC249">
        <v>647</v>
      </c>
      <c r="ED249">
        <v>0.99860000000000004</v>
      </c>
      <c r="EE249">
        <v>0.70553999999999994</v>
      </c>
      <c r="EF249">
        <v>1.0880399999999999</v>
      </c>
      <c r="EG249">
        <v>0.82662000000000002</v>
      </c>
      <c r="EH249">
        <v>0.98358000000000001</v>
      </c>
      <c r="EI249">
        <v>0.95143999999999995</v>
      </c>
      <c r="EJ249">
        <v>1.0034799999999999</v>
      </c>
      <c r="EK249">
        <v>0.89263999999999999</v>
      </c>
      <c r="EL249">
        <v>1.0314000000000001</v>
      </c>
      <c r="EM249">
        <v>1.0160800000000001</v>
      </c>
      <c r="EN249">
        <v>1.04484</v>
      </c>
      <c r="EO249">
        <v>1.0699399999999999</v>
      </c>
      <c r="EP249">
        <v>0.90122000000000002</v>
      </c>
      <c r="EQ249">
        <v>0.85714000000000001</v>
      </c>
      <c r="ER249">
        <v>0.83257999999999999</v>
      </c>
      <c r="ES249">
        <v>0.92352000000000001</v>
      </c>
    </row>
    <row r="250" spans="1:149" x14ac:dyDescent="0.35">
      <c r="A250" s="77"/>
      <c r="B250" s="77">
        <v>648</v>
      </c>
      <c r="C250" s="77">
        <v>0.49671999999999999</v>
      </c>
      <c r="D250" s="77">
        <v>0.35100999999999999</v>
      </c>
      <c r="E250" s="77">
        <v>0.54117999999999999</v>
      </c>
      <c r="F250" s="77">
        <v>0.41116000000000003</v>
      </c>
      <c r="G250" s="77">
        <v>0.49074000000000001</v>
      </c>
      <c r="H250" s="77">
        <v>0.47449000000000002</v>
      </c>
      <c r="I250" s="77">
        <v>0.50061</v>
      </c>
      <c r="J250" s="77">
        <v>0.44535999999999998</v>
      </c>
      <c r="K250" s="77">
        <v>0.51448000000000005</v>
      </c>
      <c r="L250" s="77">
        <v>0.50692999999999999</v>
      </c>
      <c r="M250" s="77">
        <v>0.52112999999999998</v>
      </c>
      <c r="N250" s="77">
        <v>0.53358000000000005</v>
      </c>
      <c r="O250" s="77">
        <v>0.44989000000000001</v>
      </c>
      <c r="P250" s="77">
        <v>0.42814999999999998</v>
      </c>
      <c r="Q250" s="77">
        <v>0.41576999999999997</v>
      </c>
      <c r="R250" s="77">
        <v>0.46117000000000002</v>
      </c>
      <c r="T250">
        <v>648</v>
      </c>
      <c r="U250">
        <f t="shared" si="48"/>
        <v>0.99343999999999999</v>
      </c>
      <c r="V250">
        <f t="shared" si="49"/>
        <v>0.70201999999999998</v>
      </c>
      <c r="W250">
        <f t="shared" si="50"/>
        <v>1.08236</v>
      </c>
      <c r="X250">
        <f t="shared" si="51"/>
        <v>0.82232000000000005</v>
      </c>
      <c r="Y250">
        <f t="shared" si="52"/>
        <v>0.98148000000000002</v>
      </c>
      <c r="Z250">
        <f t="shared" si="53"/>
        <v>0.94898000000000005</v>
      </c>
      <c r="AA250">
        <f t="shared" si="54"/>
        <v>1.00122</v>
      </c>
      <c r="AB250">
        <f t="shared" si="55"/>
        <v>0.89071999999999996</v>
      </c>
      <c r="AC250">
        <f t="shared" si="56"/>
        <v>1.0289600000000001</v>
      </c>
      <c r="AD250">
        <f t="shared" si="57"/>
        <v>1.01386</v>
      </c>
      <c r="AE250">
        <f t="shared" si="58"/>
        <v>1.04226</v>
      </c>
      <c r="AF250">
        <f t="shared" si="59"/>
        <v>1.0671600000000001</v>
      </c>
      <c r="AG250">
        <f t="shared" si="60"/>
        <v>0.89978000000000002</v>
      </c>
      <c r="AH250">
        <f t="shared" si="61"/>
        <v>0.85629999999999995</v>
      </c>
      <c r="AI250">
        <f t="shared" si="62"/>
        <v>0.83153999999999995</v>
      </c>
      <c r="AJ250">
        <f t="shared" si="63"/>
        <v>0.92234000000000005</v>
      </c>
      <c r="EC250">
        <v>648</v>
      </c>
      <c r="ED250">
        <v>0.99343999999999999</v>
      </c>
      <c r="EE250">
        <v>0.70201999999999998</v>
      </c>
      <c r="EF250">
        <v>1.08236</v>
      </c>
      <c r="EG250">
        <v>0.82232000000000005</v>
      </c>
      <c r="EH250">
        <v>0.98148000000000002</v>
      </c>
      <c r="EI250">
        <v>0.94898000000000005</v>
      </c>
      <c r="EJ250">
        <v>1.00122</v>
      </c>
      <c r="EK250">
        <v>0.89071999999999996</v>
      </c>
      <c r="EL250">
        <v>1.0289600000000001</v>
      </c>
      <c r="EM250">
        <v>1.01386</v>
      </c>
      <c r="EN250">
        <v>1.04226</v>
      </c>
      <c r="EO250">
        <v>1.0671600000000001</v>
      </c>
      <c r="EP250">
        <v>0.89978000000000002</v>
      </c>
      <c r="EQ250">
        <v>0.85629999999999995</v>
      </c>
      <c r="ER250">
        <v>0.83153999999999995</v>
      </c>
      <c r="ES250">
        <v>0.92234000000000005</v>
      </c>
    </row>
    <row r="251" spans="1:149" x14ac:dyDescent="0.35">
      <c r="A251" s="77"/>
      <c r="B251" s="77">
        <v>649</v>
      </c>
      <c r="C251" s="77">
        <v>0.49415999999999999</v>
      </c>
      <c r="D251" s="77">
        <v>0.34927000000000002</v>
      </c>
      <c r="E251" s="77">
        <v>0.53842000000000001</v>
      </c>
      <c r="F251" s="77">
        <v>0.40898000000000001</v>
      </c>
      <c r="G251" s="77">
        <v>0.48960999999999999</v>
      </c>
      <c r="H251" s="77">
        <v>0.4733</v>
      </c>
      <c r="I251" s="77">
        <v>0.49951000000000001</v>
      </c>
      <c r="J251" s="77">
        <v>0.44452000000000003</v>
      </c>
      <c r="K251" s="77">
        <v>0.51322999999999996</v>
      </c>
      <c r="L251" s="77">
        <v>0.50580999999999998</v>
      </c>
      <c r="M251" s="77">
        <v>0.51990999999999998</v>
      </c>
      <c r="N251" s="77">
        <v>0.53227000000000002</v>
      </c>
      <c r="O251" s="77">
        <v>0.44929999999999998</v>
      </c>
      <c r="P251" s="77">
        <v>0.42759999999999998</v>
      </c>
      <c r="Q251" s="77">
        <v>0.41521999999999998</v>
      </c>
      <c r="R251" s="77">
        <v>0.46056000000000002</v>
      </c>
      <c r="T251">
        <v>649</v>
      </c>
      <c r="U251">
        <f t="shared" si="48"/>
        <v>0.98831999999999998</v>
      </c>
      <c r="V251">
        <f t="shared" si="49"/>
        <v>0.69854000000000005</v>
      </c>
      <c r="W251">
        <f t="shared" si="50"/>
        <v>1.07684</v>
      </c>
      <c r="X251">
        <f t="shared" si="51"/>
        <v>0.81796000000000002</v>
      </c>
      <c r="Y251">
        <f t="shared" si="52"/>
        <v>0.97921999999999998</v>
      </c>
      <c r="Z251">
        <f t="shared" si="53"/>
        <v>0.9466</v>
      </c>
      <c r="AA251">
        <f t="shared" si="54"/>
        <v>0.99902000000000002</v>
      </c>
      <c r="AB251">
        <f t="shared" si="55"/>
        <v>0.88904000000000005</v>
      </c>
      <c r="AC251">
        <f t="shared" si="56"/>
        <v>1.0264599999999999</v>
      </c>
      <c r="AD251">
        <f t="shared" si="57"/>
        <v>1.01162</v>
      </c>
      <c r="AE251">
        <f t="shared" si="58"/>
        <v>1.03982</v>
      </c>
      <c r="AF251">
        <f t="shared" si="59"/>
        <v>1.06454</v>
      </c>
      <c r="AG251">
        <f t="shared" si="60"/>
        <v>0.89859999999999995</v>
      </c>
      <c r="AH251">
        <f t="shared" si="61"/>
        <v>0.85519999999999996</v>
      </c>
      <c r="AI251">
        <f t="shared" si="62"/>
        <v>0.83043999999999996</v>
      </c>
      <c r="AJ251">
        <f t="shared" si="63"/>
        <v>0.92112000000000005</v>
      </c>
      <c r="EC251">
        <v>649</v>
      </c>
      <c r="ED251">
        <v>0.98831999999999998</v>
      </c>
      <c r="EE251">
        <v>0.69854000000000005</v>
      </c>
      <c r="EF251">
        <v>1.07684</v>
      </c>
      <c r="EG251">
        <v>0.81796000000000002</v>
      </c>
      <c r="EH251">
        <v>0.97921999999999998</v>
      </c>
      <c r="EI251">
        <v>0.9466</v>
      </c>
      <c r="EJ251">
        <v>0.99902000000000002</v>
      </c>
      <c r="EK251">
        <v>0.88904000000000005</v>
      </c>
      <c r="EL251">
        <v>1.0264599999999999</v>
      </c>
      <c r="EM251">
        <v>1.01162</v>
      </c>
      <c r="EN251">
        <v>1.03982</v>
      </c>
      <c r="EO251">
        <v>1.06454</v>
      </c>
      <c r="EP251">
        <v>0.89859999999999995</v>
      </c>
      <c r="EQ251">
        <v>0.85519999999999996</v>
      </c>
      <c r="ER251">
        <v>0.83043999999999996</v>
      </c>
      <c r="ES251">
        <v>0.92112000000000005</v>
      </c>
    </row>
    <row r="252" spans="1:149" x14ac:dyDescent="0.35">
      <c r="A252" s="77"/>
      <c r="B252" s="77">
        <v>650</v>
      </c>
      <c r="C252" s="77">
        <v>0.49146000000000001</v>
      </c>
      <c r="D252" s="77">
        <v>0.34741</v>
      </c>
      <c r="E252" s="77">
        <v>0.53549000000000002</v>
      </c>
      <c r="F252" s="77">
        <v>0.40666000000000002</v>
      </c>
      <c r="G252" s="77">
        <v>0.48853000000000002</v>
      </c>
      <c r="H252" s="77">
        <v>0.47198000000000001</v>
      </c>
      <c r="I252" s="77">
        <v>0.49835000000000002</v>
      </c>
      <c r="J252" s="77">
        <v>0.44359999999999999</v>
      </c>
      <c r="K252" s="77">
        <v>0.51190000000000002</v>
      </c>
      <c r="L252" s="77">
        <v>0.50463999999999998</v>
      </c>
      <c r="M252" s="77">
        <v>0.51859999999999995</v>
      </c>
      <c r="N252" s="77">
        <v>0.53088000000000002</v>
      </c>
      <c r="O252" s="77">
        <v>0.44856000000000001</v>
      </c>
      <c r="P252" s="77">
        <v>0.42692999999999998</v>
      </c>
      <c r="Q252" s="77">
        <v>0.41475000000000001</v>
      </c>
      <c r="R252" s="77">
        <v>0.45984999999999998</v>
      </c>
      <c r="T252">
        <v>650</v>
      </c>
      <c r="U252">
        <f t="shared" si="48"/>
        <v>0.98292000000000002</v>
      </c>
      <c r="V252">
        <f t="shared" si="49"/>
        <v>0.69481999999999999</v>
      </c>
      <c r="W252">
        <f t="shared" si="50"/>
        <v>1.07098</v>
      </c>
      <c r="X252">
        <f t="shared" si="51"/>
        <v>0.81332000000000004</v>
      </c>
      <c r="Y252">
        <f t="shared" si="52"/>
        <v>0.97706000000000004</v>
      </c>
      <c r="Z252">
        <f t="shared" si="53"/>
        <v>0.94396000000000002</v>
      </c>
      <c r="AA252">
        <f t="shared" si="54"/>
        <v>0.99670000000000003</v>
      </c>
      <c r="AB252">
        <f t="shared" si="55"/>
        <v>0.88719999999999999</v>
      </c>
      <c r="AC252">
        <f t="shared" si="56"/>
        <v>1.0238</v>
      </c>
      <c r="AD252">
        <f t="shared" si="57"/>
        <v>1.00928</v>
      </c>
      <c r="AE252">
        <f t="shared" si="58"/>
        <v>1.0371999999999999</v>
      </c>
      <c r="AF252">
        <f t="shared" si="59"/>
        <v>1.06176</v>
      </c>
      <c r="AG252">
        <f t="shared" si="60"/>
        <v>0.89712000000000003</v>
      </c>
      <c r="AH252">
        <f t="shared" si="61"/>
        <v>0.85385999999999995</v>
      </c>
      <c r="AI252">
        <f t="shared" si="62"/>
        <v>0.82950000000000002</v>
      </c>
      <c r="AJ252">
        <f t="shared" si="63"/>
        <v>0.91969999999999996</v>
      </c>
      <c r="EC252">
        <v>650</v>
      </c>
      <c r="ED252">
        <v>0.98292000000000002</v>
      </c>
      <c r="EE252">
        <v>0.69481999999999999</v>
      </c>
      <c r="EF252">
        <v>1.07098</v>
      </c>
      <c r="EG252">
        <v>0.81332000000000004</v>
      </c>
      <c r="EH252">
        <v>0.97706000000000004</v>
      </c>
      <c r="EI252">
        <v>0.94396000000000002</v>
      </c>
      <c r="EJ252">
        <v>0.99670000000000003</v>
      </c>
      <c r="EK252">
        <v>0.88719999999999999</v>
      </c>
      <c r="EL252">
        <v>1.0238</v>
      </c>
      <c r="EM252">
        <v>1.00928</v>
      </c>
      <c r="EN252">
        <v>1.0371999999999999</v>
      </c>
      <c r="EO252">
        <v>1.06176</v>
      </c>
      <c r="EP252">
        <v>0.89712000000000003</v>
      </c>
      <c r="EQ252">
        <v>0.85385999999999995</v>
      </c>
      <c r="ER252">
        <v>0.82950000000000002</v>
      </c>
      <c r="ES252">
        <v>0.91969999999999996</v>
      </c>
    </row>
    <row r="253" spans="1:149" x14ac:dyDescent="0.35">
      <c r="A253" s="77"/>
      <c r="B253" s="77">
        <v>651</v>
      </c>
      <c r="C253" s="77">
        <v>0.48905999999999999</v>
      </c>
      <c r="D253" s="77">
        <v>0.34583000000000003</v>
      </c>
      <c r="E253" s="77">
        <v>0.53276000000000001</v>
      </c>
      <c r="F253" s="77">
        <v>0.40460000000000002</v>
      </c>
      <c r="G253" s="77">
        <v>0.48737999999999998</v>
      </c>
      <c r="H253" s="77">
        <v>0.47077999999999998</v>
      </c>
      <c r="I253" s="77">
        <v>0.49726999999999999</v>
      </c>
      <c r="J253" s="77">
        <v>0.44274999999999998</v>
      </c>
      <c r="K253" s="77">
        <v>0.51070000000000004</v>
      </c>
      <c r="L253" s="77">
        <v>0.50353999999999999</v>
      </c>
      <c r="M253" s="77">
        <v>0.51734999999999998</v>
      </c>
      <c r="N253" s="77">
        <v>0.52961999999999998</v>
      </c>
      <c r="O253" s="77">
        <v>0.44778000000000001</v>
      </c>
      <c r="P253" s="77">
        <v>0.42626999999999998</v>
      </c>
      <c r="Q253" s="77">
        <v>0.41405999999999998</v>
      </c>
      <c r="R253" s="77">
        <v>0.45902999999999999</v>
      </c>
      <c r="T253">
        <v>651</v>
      </c>
      <c r="U253">
        <f t="shared" si="48"/>
        <v>0.97811999999999999</v>
      </c>
      <c r="V253">
        <f t="shared" si="49"/>
        <v>0.69166000000000005</v>
      </c>
      <c r="W253">
        <f t="shared" si="50"/>
        <v>1.06552</v>
      </c>
      <c r="X253">
        <f t="shared" si="51"/>
        <v>0.80920000000000003</v>
      </c>
      <c r="Y253">
        <f t="shared" si="52"/>
        <v>0.97475999999999996</v>
      </c>
      <c r="Z253">
        <f t="shared" si="53"/>
        <v>0.94155999999999995</v>
      </c>
      <c r="AA253">
        <f t="shared" si="54"/>
        <v>0.99453999999999998</v>
      </c>
      <c r="AB253">
        <f t="shared" si="55"/>
        <v>0.88549999999999995</v>
      </c>
      <c r="AC253">
        <f t="shared" si="56"/>
        <v>1.0214000000000001</v>
      </c>
      <c r="AD253">
        <f t="shared" si="57"/>
        <v>1.00708</v>
      </c>
      <c r="AE253">
        <f t="shared" si="58"/>
        <v>1.0347</v>
      </c>
      <c r="AF253">
        <f t="shared" si="59"/>
        <v>1.05924</v>
      </c>
      <c r="AG253">
        <f t="shared" si="60"/>
        <v>0.89556000000000002</v>
      </c>
      <c r="AH253">
        <f t="shared" si="61"/>
        <v>0.85253999999999996</v>
      </c>
      <c r="AI253">
        <f t="shared" si="62"/>
        <v>0.82811999999999997</v>
      </c>
      <c r="AJ253">
        <f t="shared" si="63"/>
        <v>0.91805999999999999</v>
      </c>
      <c r="EC253">
        <v>651</v>
      </c>
      <c r="ED253">
        <v>0.97811999999999999</v>
      </c>
      <c r="EE253">
        <v>0.69166000000000005</v>
      </c>
      <c r="EF253">
        <v>1.06552</v>
      </c>
      <c r="EG253">
        <v>0.80920000000000003</v>
      </c>
      <c r="EH253">
        <v>0.97475999999999996</v>
      </c>
      <c r="EI253">
        <v>0.94155999999999995</v>
      </c>
      <c r="EJ253">
        <v>0.99453999999999998</v>
      </c>
      <c r="EK253">
        <v>0.88549999999999995</v>
      </c>
      <c r="EL253">
        <v>1.0214000000000001</v>
      </c>
      <c r="EM253">
        <v>1.00708</v>
      </c>
      <c r="EN253">
        <v>1.0347</v>
      </c>
      <c r="EO253">
        <v>1.05924</v>
      </c>
      <c r="EP253">
        <v>0.89556000000000002</v>
      </c>
      <c r="EQ253">
        <v>0.85253999999999996</v>
      </c>
      <c r="ER253">
        <v>0.82811999999999997</v>
      </c>
      <c r="ES253">
        <v>0.91805999999999999</v>
      </c>
    </row>
    <row r="254" spans="1:149" x14ac:dyDescent="0.35">
      <c r="A254" s="77"/>
      <c r="B254" s="77">
        <v>652</v>
      </c>
      <c r="C254" s="77">
        <v>0.48662</v>
      </c>
      <c r="D254" s="77">
        <v>0.34412999999999999</v>
      </c>
      <c r="E254" s="77">
        <v>0.53015000000000001</v>
      </c>
      <c r="F254" s="77">
        <v>0.40253</v>
      </c>
      <c r="G254" s="77">
        <v>0.48625000000000002</v>
      </c>
      <c r="H254" s="77">
        <v>0.46959000000000001</v>
      </c>
      <c r="I254" s="77">
        <v>0.49625999999999998</v>
      </c>
      <c r="J254" s="77">
        <v>0.44185999999999998</v>
      </c>
      <c r="K254" s="77">
        <v>0.50939999999999996</v>
      </c>
      <c r="L254" s="77">
        <v>0.50246000000000002</v>
      </c>
      <c r="M254" s="77">
        <v>0.51617000000000002</v>
      </c>
      <c r="N254" s="77">
        <v>0.52829000000000004</v>
      </c>
      <c r="O254" s="77">
        <v>0.44697999999999999</v>
      </c>
      <c r="P254" s="77">
        <v>0.42560999999999999</v>
      </c>
      <c r="Q254" s="77">
        <v>0.41343999999999997</v>
      </c>
      <c r="R254" s="77">
        <v>0.45827000000000001</v>
      </c>
      <c r="T254">
        <v>652</v>
      </c>
      <c r="U254">
        <f t="shared" si="48"/>
        <v>0.97323999999999999</v>
      </c>
      <c r="V254">
        <f t="shared" si="49"/>
        <v>0.68825999999999998</v>
      </c>
      <c r="W254">
        <f t="shared" si="50"/>
        <v>1.0603</v>
      </c>
      <c r="X254">
        <f t="shared" si="51"/>
        <v>0.80506</v>
      </c>
      <c r="Y254">
        <f t="shared" si="52"/>
        <v>0.97250000000000003</v>
      </c>
      <c r="Z254">
        <f t="shared" si="53"/>
        <v>0.93918000000000001</v>
      </c>
      <c r="AA254">
        <f t="shared" si="54"/>
        <v>0.99251999999999996</v>
      </c>
      <c r="AB254">
        <f t="shared" si="55"/>
        <v>0.88371999999999995</v>
      </c>
      <c r="AC254">
        <f t="shared" si="56"/>
        <v>1.0187999999999999</v>
      </c>
      <c r="AD254">
        <f t="shared" si="57"/>
        <v>1.00492</v>
      </c>
      <c r="AE254">
        <f t="shared" si="58"/>
        <v>1.03234</v>
      </c>
      <c r="AF254">
        <f t="shared" si="59"/>
        <v>1.0565800000000001</v>
      </c>
      <c r="AG254">
        <f t="shared" si="60"/>
        <v>0.89395999999999998</v>
      </c>
      <c r="AH254">
        <f t="shared" si="61"/>
        <v>0.85121999999999998</v>
      </c>
      <c r="AI254">
        <f t="shared" si="62"/>
        <v>0.82687999999999995</v>
      </c>
      <c r="AJ254">
        <f t="shared" si="63"/>
        <v>0.91654000000000002</v>
      </c>
      <c r="EC254">
        <v>652</v>
      </c>
      <c r="ED254">
        <v>0.97323999999999999</v>
      </c>
      <c r="EE254">
        <v>0.68825999999999998</v>
      </c>
      <c r="EF254">
        <v>1.0603</v>
      </c>
      <c r="EG254">
        <v>0.80506</v>
      </c>
      <c r="EH254">
        <v>0.97250000000000003</v>
      </c>
      <c r="EI254">
        <v>0.93918000000000001</v>
      </c>
      <c r="EJ254">
        <v>0.99251999999999996</v>
      </c>
      <c r="EK254">
        <v>0.88371999999999995</v>
      </c>
      <c r="EL254">
        <v>1.0187999999999999</v>
      </c>
      <c r="EM254">
        <v>1.00492</v>
      </c>
      <c r="EN254">
        <v>1.03234</v>
      </c>
      <c r="EO254">
        <v>1.0565800000000001</v>
      </c>
      <c r="EP254">
        <v>0.89395999999999998</v>
      </c>
      <c r="EQ254">
        <v>0.85121999999999998</v>
      </c>
      <c r="ER254">
        <v>0.82687999999999995</v>
      </c>
      <c r="ES254">
        <v>0.91654000000000002</v>
      </c>
    </row>
    <row r="255" spans="1:149" x14ac:dyDescent="0.35">
      <c r="A255" s="77"/>
      <c r="B255" s="77">
        <v>653</v>
      </c>
      <c r="C255" s="77">
        <v>0.48433999999999999</v>
      </c>
      <c r="D255" s="77">
        <v>0.34253</v>
      </c>
      <c r="E255" s="77">
        <v>0.52768999999999999</v>
      </c>
      <c r="F255" s="77">
        <v>0.40053</v>
      </c>
      <c r="G255" s="77">
        <v>0.48527999999999999</v>
      </c>
      <c r="H255" s="77">
        <v>0.46850999999999998</v>
      </c>
      <c r="I255" s="77">
        <v>0.49525000000000002</v>
      </c>
      <c r="J255" s="77">
        <v>0.44098999999999999</v>
      </c>
      <c r="K255" s="77">
        <v>0.50829000000000002</v>
      </c>
      <c r="L255" s="77">
        <v>0.50144999999999995</v>
      </c>
      <c r="M255" s="77">
        <v>0.51505000000000001</v>
      </c>
      <c r="N255" s="77">
        <v>0.52715000000000001</v>
      </c>
      <c r="O255" s="77">
        <v>0.44619999999999999</v>
      </c>
      <c r="P255" s="77">
        <v>0.42493999999999998</v>
      </c>
      <c r="Q255" s="77">
        <v>0.41281000000000001</v>
      </c>
      <c r="R255" s="77">
        <v>0.45752999999999999</v>
      </c>
      <c r="T255">
        <v>653</v>
      </c>
      <c r="U255">
        <f t="shared" si="48"/>
        <v>0.96867999999999999</v>
      </c>
      <c r="V255">
        <f t="shared" si="49"/>
        <v>0.68506</v>
      </c>
      <c r="W255">
        <f t="shared" si="50"/>
        <v>1.05538</v>
      </c>
      <c r="X255">
        <f t="shared" si="51"/>
        <v>0.80105999999999999</v>
      </c>
      <c r="Y255">
        <f t="shared" si="52"/>
        <v>0.97055999999999998</v>
      </c>
      <c r="Z255">
        <f t="shared" si="53"/>
        <v>0.93701999999999996</v>
      </c>
      <c r="AA255">
        <f t="shared" si="54"/>
        <v>0.99050000000000005</v>
      </c>
      <c r="AB255">
        <f t="shared" si="55"/>
        <v>0.88197999999999999</v>
      </c>
      <c r="AC255">
        <f t="shared" si="56"/>
        <v>1.01658</v>
      </c>
      <c r="AD255">
        <f t="shared" si="57"/>
        <v>1.0028999999999999</v>
      </c>
      <c r="AE255">
        <f t="shared" si="58"/>
        <v>1.0301</v>
      </c>
      <c r="AF255">
        <f t="shared" si="59"/>
        <v>1.0543</v>
      </c>
      <c r="AG255">
        <f t="shared" si="60"/>
        <v>0.89239999999999997</v>
      </c>
      <c r="AH255">
        <f t="shared" si="61"/>
        <v>0.84987999999999997</v>
      </c>
      <c r="AI255">
        <f t="shared" si="62"/>
        <v>0.82562000000000002</v>
      </c>
      <c r="AJ255">
        <f t="shared" si="63"/>
        <v>0.91505999999999998</v>
      </c>
      <c r="EC255">
        <v>653</v>
      </c>
      <c r="ED255">
        <v>0.96867999999999999</v>
      </c>
      <c r="EE255">
        <v>0.68506</v>
      </c>
      <c r="EF255">
        <v>1.05538</v>
      </c>
      <c r="EG255">
        <v>0.80105999999999999</v>
      </c>
      <c r="EH255">
        <v>0.97055999999999998</v>
      </c>
      <c r="EI255">
        <v>0.93701999999999996</v>
      </c>
      <c r="EJ255">
        <v>0.99050000000000005</v>
      </c>
      <c r="EK255">
        <v>0.88197999999999999</v>
      </c>
      <c r="EL255">
        <v>1.01658</v>
      </c>
      <c r="EM255">
        <v>1.0028999999999999</v>
      </c>
      <c r="EN255">
        <v>1.0301</v>
      </c>
      <c r="EO255">
        <v>1.0543</v>
      </c>
      <c r="EP255">
        <v>0.89239999999999997</v>
      </c>
      <c r="EQ255">
        <v>0.84987999999999997</v>
      </c>
      <c r="ER255">
        <v>0.82562000000000002</v>
      </c>
      <c r="ES255">
        <v>0.91505999999999998</v>
      </c>
    </row>
    <row r="256" spans="1:149" x14ac:dyDescent="0.35">
      <c r="A256" s="77"/>
      <c r="B256" s="77">
        <v>654</v>
      </c>
      <c r="C256" s="77">
        <v>0.48213</v>
      </c>
      <c r="D256" s="77">
        <v>0.34094000000000002</v>
      </c>
      <c r="E256" s="77">
        <v>0.52522000000000002</v>
      </c>
      <c r="F256" s="77">
        <v>0.39856999999999998</v>
      </c>
      <c r="G256" s="77">
        <v>0.48424</v>
      </c>
      <c r="H256" s="77">
        <v>0.46734999999999999</v>
      </c>
      <c r="I256" s="77">
        <v>0.49417</v>
      </c>
      <c r="J256" s="77">
        <v>0.44008000000000003</v>
      </c>
      <c r="K256" s="77">
        <v>0.50716000000000006</v>
      </c>
      <c r="L256" s="77">
        <v>0.50043000000000004</v>
      </c>
      <c r="M256" s="77">
        <v>0.51390000000000002</v>
      </c>
      <c r="N256" s="77">
        <v>0.52588999999999997</v>
      </c>
      <c r="O256" s="77">
        <v>0.44529999999999997</v>
      </c>
      <c r="P256" s="77">
        <v>0.42415000000000003</v>
      </c>
      <c r="Q256" s="77">
        <v>0.41210999999999998</v>
      </c>
      <c r="R256" s="77">
        <v>0.45669999999999999</v>
      </c>
      <c r="T256">
        <v>654</v>
      </c>
      <c r="U256">
        <f t="shared" si="48"/>
        <v>0.96426000000000001</v>
      </c>
      <c r="V256">
        <f t="shared" si="49"/>
        <v>0.68188000000000004</v>
      </c>
      <c r="W256">
        <f t="shared" si="50"/>
        <v>1.05044</v>
      </c>
      <c r="X256">
        <f t="shared" si="51"/>
        <v>0.79713999999999996</v>
      </c>
      <c r="Y256">
        <f t="shared" si="52"/>
        <v>0.96848000000000001</v>
      </c>
      <c r="Z256">
        <f t="shared" si="53"/>
        <v>0.93469999999999998</v>
      </c>
      <c r="AA256">
        <f t="shared" si="54"/>
        <v>0.98834</v>
      </c>
      <c r="AB256">
        <f t="shared" si="55"/>
        <v>0.88016000000000005</v>
      </c>
      <c r="AC256">
        <f t="shared" si="56"/>
        <v>1.0143200000000001</v>
      </c>
      <c r="AD256">
        <f t="shared" si="57"/>
        <v>1.0008600000000001</v>
      </c>
      <c r="AE256">
        <f t="shared" si="58"/>
        <v>1.0278</v>
      </c>
      <c r="AF256">
        <f t="shared" si="59"/>
        <v>1.0517799999999999</v>
      </c>
      <c r="AG256">
        <f t="shared" si="60"/>
        <v>0.89059999999999995</v>
      </c>
      <c r="AH256">
        <f t="shared" si="61"/>
        <v>0.84830000000000005</v>
      </c>
      <c r="AI256">
        <f t="shared" si="62"/>
        <v>0.82421999999999995</v>
      </c>
      <c r="AJ256">
        <f t="shared" si="63"/>
        <v>0.91339999999999999</v>
      </c>
      <c r="EC256">
        <v>654</v>
      </c>
      <c r="ED256">
        <v>0.96426000000000001</v>
      </c>
      <c r="EE256">
        <v>0.68188000000000004</v>
      </c>
      <c r="EF256">
        <v>1.05044</v>
      </c>
      <c r="EG256">
        <v>0.79713999999999996</v>
      </c>
      <c r="EH256">
        <v>0.96848000000000001</v>
      </c>
      <c r="EI256">
        <v>0.93469999999999998</v>
      </c>
      <c r="EJ256">
        <v>0.98834</v>
      </c>
      <c r="EK256">
        <v>0.88016000000000005</v>
      </c>
      <c r="EL256">
        <v>1.0143200000000001</v>
      </c>
      <c r="EM256">
        <v>1.0008600000000001</v>
      </c>
      <c r="EN256">
        <v>1.0278</v>
      </c>
      <c r="EO256">
        <v>1.0517799999999999</v>
      </c>
      <c r="EP256">
        <v>0.89059999999999995</v>
      </c>
      <c r="EQ256">
        <v>0.84830000000000005</v>
      </c>
      <c r="ER256">
        <v>0.82421999999999995</v>
      </c>
      <c r="ES256">
        <v>0.91339999999999999</v>
      </c>
    </row>
    <row r="257" spans="1:149" x14ac:dyDescent="0.35">
      <c r="A257" s="77"/>
      <c r="B257" s="77">
        <v>655</v>
      </c>
      <c r="C257" s="77">
        <v>0.48009000000000002</v>
      </c>
      <c r="D257" s="77">
        <v>0.33960000000000001</v>
      </c>
      <c r="E257" s="77">
        <v>0.52309000000000005</v>
      </c>
      <c r="F257" s="77">
        <v>0.39684000000000003</v>
      </c>
      <c r="G257" s="77">
        <v>0.48329</v>
      </c>
      <c r="H257" s="77">
        <v>0.46627999999999997</v>
      </c>
      <c r="I257" s="77">
        <v>0.49332999999999999</v>
      </c>
      <c r="J257" s="77">
        <v>0.43935999999999997</v>
      </c>
      <c r="K257" s="77">
        <v>0.50605999999999995</v>
      </c>
      <c r="L257" s="77">
        <v>0.49944</v>
      </c>
      <c r="M257" s="77">
        <v>0.51282000000000005</v>
      </c>
      <c r="N257" s="77">
        <v>0.52481</v>
      </c>
      <c r="O257" s="77">
        <v>0.44446000000000002</v>
      </c>
      <c r="P257" s="77">
        <v>0.42344999999999999</v>
      </c>
      <c r="Q257" s="77">
        <v>0.41138999999999998</v>
      </c>
      <c r="R257" s="77">
        <v>0.45589000000000002</v>
      </c>
      <c r="T257">
        <v>655</v>
      </c>
      <c r="U257">
        <f t="shared" si="48"/>
        <v>0.96018000000000003</v>
      </c>
      <c r="V257">
        <f t="shared" si="49"/>
        <v>0.67920000000000003</v>
      </c>
      <c r="W257">
        <f t="shared" si="50"/>
        <v>1.0461800000000001</v>
      </c>
      <c r="X257">
        <f t="shared" si="51"/>
        <v>0.79368000000000005</v>
      </c>
      <c r="Y257">
        <f t="shared" si="52"/>
        <v>0.96657999999999999</v>
      </c>
      <c r="Z257">
        <f t="shared" si="53"/>
        <v>0.93255999999999994</v>
      </c>
      <c r="AA257">
        <f t="shared" si="54"/>
        <v>0.98665999999999998</v>
      </c>
      <c r="AB257">
        <f t="shared" si="55"/>
        <v>0.87871999999999995</v>
      </c>
      <c r="AC257">
        <f t="shared" si="56"/>
        <v>1.0121199999999999</v>
      </c>
      <c r="AD257">
        <f t="shared" si="57"/>
        <v>0.99887999999999999</v>
      </c>
      <c r="AE257">
        <f t="shared" si="58"/>
        <v>1.0256400000000001</v>
      </c>
      <c r="AF257">
        <f t="shared" si="59"/>
        <v>1.04962</v>
      </c>
      <c r="AG257">
        <f t="shared" si="60"/>
        <v>0.88892000000000004</v>
      </c>
      <c r="AH257">
        <f t="shared" si="61"/>
        <v>0.84689999999999999</v>
      </c>
      <c r="AI257">
        <f t="shared" si="62"/>
        <v>0.82277999999999996</v>
      </c>
      <c r="AJ257">
        <f t="shared" si="63"/>
        <v>0.91178000000000003</v>
      </c>
      <c r="EC257">
        <v>655</v>
      </c>
      <c r="ED257">
        <v>0.96018000000000003</v>
      </c>
      <c r="EE257">
        <v>0.67920000000000003</v>
      </c>
      <c r="EF257">
        <v>1.0461800000000001</v>
      </c>
      <c r="EG257">
        <v>0.79368000000000005</v>
      </c>
      <c r="EH257">
        <v>0.96657999999999999</v>
      </c>
      <c r="EI257">
        <v>0.93255999999999994</v>
      </c>
      <c r="EJ257">
        <v>0.98665999999999998</v>
      </c>
      <c r="EK257">
        <v>0.87871999999999995</v>
      </c>
      <c r="EL257">
        <v>1.0121199999999999</v>
      </c>
      <c r="EM257">
        <v>0.99887999999999999</v>
      </c>
      <c r="EN257">
        <v>1.0256400000000001</v>
      </c>
      <c r="EO257">
        <v>1.04962</v>
      </c>
      <c r="EP257">
        <v>0.88892000000000004</v>
      </c>
      <c r="EQ257">
        <v>0.84689999999999999</v>
      </c>
      <c r="ER257">
        <v>0.82277999999999996</v>
      </c>
      <c r="ES257">
        <v>0.91178000000000003</v>
      </c>
    </row>
    <row r="258" spans="1:149" x14ac:dyDescent="0.35">
      <c r="A258" s="77"/>
      <c r="B258" s="77">
        <v>656</v>
      </c>
      <c r="C258" s="77">
        <v>0.47828999999999999</v>
      </c>
      <c r="D258" s="77">
        <v>0.33840999999999999</v>
      </c>
      <c r="E258" s="77">
        <v>0.52115999999999996</v>
      </c>
      <c r="F258" s="77">
        <v>0.39534000000000002</v>
      </c>
      <c r="G258" s="77">
        <v>0.48247000000000001</v>
      </c>
      <c r="H258" s="77">
        <v>0.46538000000000002</v>
      </c>
      <c r="I258" s="77">
        <v>0.49248999999999998</v>
      </c>
      <c r="J258" s="77">
        <v>0.43870999999999999</v>
      </c>
      <c r="K258" s="77">
        <v>0.50516000000000005</v>
      </c>
      <c r="L258" s="77">
        <v>0.49858000000000002</v>
      </c>
      <c r="M258" s="77">
        <v>0.51192000000000004</v>
      </c>
      <c r="N258" s="77">
        <v>0.52383000000000002</v>
      </c>
      <c r="O258" s="77">
        <v>0.44362000000000001</v>
      </c>
      <c r="P258" s="77">
        <v>0.42270999999999997</v>
      </c>
      <c r="Q258" s="77">
        <v>0.41064000000000001</v>
      </c>
      <c r="R258" s="77">
        <v>0.45508999999999999</v>
      </c>
      <c r="T258">
        <v>656</v>
      </c>
      <c r="U258">
        <f t="shared" si="48"/>
        <v>0.95657999999999999</v>
      </c>
      <c r="V258">
        <f t="shared" si="49"/>
        <v>0.67681999999999998</v>
      </c>
      <c r="W258">
        <f t="shared" si="50"/>
        <v>1.0423199999999999</v>
      </c>
      <c r="X258">
        <f t="shared" si="51"/>
        <v>0.79068000000000005</v>
      </c>
      <c r="Y258">
        <f t="shared" si="52"/>
        <v>0.96494000000000002</v>
      </c>
      <c r="Z258">
        <f t="shared" si="53"/>
        <v>0.93076000000000003</v>
      </c>
      <c r="AA258">
        <f t="shared" si="54"/>
        <v>0.98497999999999997</v>
      </c>
      <c r="AB258">
        <f t="shared" si="55"/>
        <v>0.87741999999999998</v>
      </c>
      <c r="AC258">
        <f t="shared" si="56"/>
        <v>1.0103200000000001</v>
      </c>
      <c r="AD258">
        <f t="shared" si="57"/>
        <v>0.99716000000000005</v>
      </c>
      <c r="AE258">
        <f t="shared" si="58"/>
        <v>1.0238400000000001</v>
      </c>
      <c r="AF258">
        <f t="shared" si="59"/>
        <v>1.04766</v>
      </c>
      <c r="AG258">
        <f t="shared" si="60"/>
        <v>0.88724000000000003</v>
      </c>
      <c r="AH258">
        <f t="shared" si="61"/>
        <v>0.84541999999999995</v>
      </c>
      <c r="AI258">
        <f t="shared" si="62"/>
        <v>0.82128000000000001</v>
      </c>
      <c r="AJ258">
        <f t="shared" si="63"/>
        <v>0.91017999999999999</v>
      </c>
      <c r="EC258">
        <v>656</v>
      </c>
      <c r="ED258">
        <v>0.95657999999999999</v>
      </c>
      <c r="EE258">
        <v>0.67681999999999998</v>
      </c>
      <c r="EF258">
        <v>1.0423199999999999</v>
      </c>
      <c r="EG258">
        <v>0.79068000000000005</v>
      </c>
      <c r="EH258">
        <v>0.96494000000000002</v>
      </c>
      <c r="EI258">
        <v>0.93076000000000003</v>
      </c>
      <c r="EJ258">
        <v>0.98497999999999997</v>
      </c>
      <c r="EK258">
        <v>0.87741999999999998</v>
      </c>
      <c r="EL258">
        <v>1.0103200000000001</v>
      </c>
      <c r="EM258">
        <v>0.99716000000000005</v>
      </c>
      <c r="EN258">
        <v>1.0238400000000001</v>
      </c>
      <c r="EO258">
        <v>1.04766</v>
      </c>
      <c r="EP258">
        <v>0.88724000000000003</v>
      </c>
      <c r="EQ258">
        <v>0.84541999999999995</v>
      </c>
      <c r="ER258">
        <v>0.82128000000000001</v>
      </c>
      <c r="ES258">
        <v>0.91017999999999999</v>
      </c>
    </row>
    <row r="259" spans="1:149" x14ac:dyDescent="0.35">
      <c r="A259" s="77"/>
      <c r="B259" s="77">
        <v>657</v>
      </c>
      <c r="C259" s="77">
        <v>0.47665000000000002</v>
      </c>
      <c r="D259" s="77">
        <v>0.33722000000000002</v>
      </c>
      <c r="E259" s="77">
        <v>0.51951999999999998</v>
      </c>
      <c r="F259" s="77">
        <v>0.39395000000000002</v>
      </c>
      <c r="G259" s="77">
        <v>0.48176999999999998</v>
      </c>
      <c r="H259" s="77">
        <v>0.46465000000000001</v>
      </c>
      <c r="I259" s="77">
        <v>0.49181000000000002</v>
      </c>
      <c r="J259" s="77">
        <v>0.43802000000000002</v>
      </c>
      <c r="K259" s="77">
        <v>0.50436000000000003</v>
      </c>
      <c r="L259" s="77">
        <v>0.49786000000000002</v>
      </c>
      <c r="M259" s="77">
        <v>0.51117000000000001</v>
      </c>
      <c r="N259" s="77">
        <v>0.52298999999999995</v>
      </c>
      <c r="O259" s="77">
        <v>0.44273000000000001</v>
      </c>
      <c r="P259" s="77">
        <v>0.42198000000000002</v>
      </c>
      <c r="Q259" s="77">
        <v>0.40987000000000001</v>
      </c>
      <c r="R259" s="77">
        <v>0.45424999999999999</v>
      </c>
      <c r="T259">
        <v>657</v>
      </c>
      <c r="U259">
        <f t="shared" ref="U259:U322" si="64">C259*2</f>
        <v>0.95330000000000004</v>
      </c>
      <c r="V259">
        <f t="shared" ref="V259:V322" si="65">D259*2</f>
        <v>0.67444000000000004</v>
      </c>
      <c r="W259">
        <f t="shared" ref="W259:W322" si="66">E259*2</f>
        <v>1.03904</v>
      </c>
      <c r="X259">
        <f t="shared" ref="X259:X322" si="67">F259*2</f>
        <v>0.78790000000000004</v>
      </c>
      <c r="Y259">
        <f t="shared" ref="Y259:Y322" si="68">G259*2</f>
        <v>0.96353999999999995</v>
      </c>
      <c r="Z259">
        <f t="shared" ref="Z259:Z322" si="69">H259*2</f>
        <v>0.92930000000000001</v>
      </c>
      <c r="AA259">
        <f t="shared" ref="AA259:AA322" si="70">I259*2</f>
        <v>0.98362000000000005</v>
      </c>
      <c r="AB259">
        <f t="shared" ref="AB259:AB322" si="71">J259*2</f>
        <v>0.87604000000000004</v>
      </c>
      <c r="AC259">
        <f t="shared" ref="AC259:AC322" si="72">K259*2</f>
        <v>1.0087200000000001</v>
      </c>
      <c r="AD259">
        <f t="shared" ref="AD259:AD322" si="73">L259*2</f>
        <v>0.99572000000000005</v>
      </c>
      <c r="AE259">
        <f t="shared" ref="AE259:AE322" si="74">M259*2</f>
        <v>1.02234</v>
      </c>
      <c r="AF259">
        <f t="shared" ref="AF259:AF322" si="75">N259*2</f>
        <v>1.0459799999999999</v>
      </c>
      <c r="AG259">
        <f t="shared" ref="AG259:AG322" si="76">O259*2</f>
        <v>0.88546000000000002</v>
      </c>
      <c r="AH259">
        <f t="shared" ref="AH259:AH322" si="77">P259*2</f>
        <v>0.84396000000000004</v>
      </c>
      <c r="AI259">
        <f t="shared" ref="AI259:AI322" si="78">Q259*2</f>
        <v>0.81974000000000002</v>
      </c>
      <c r="AJ259">
        <f t="shared" ref="AJ259:AJ322" si="79">R259*2</f>
        <v>0.90849999999999997</v>
      </c>
      <c r="EC259">
        <v>657</v>
      </c>
      <c r="ED259">
        <v>0.95330000000000004</v>
      </c>
      <c r="EE259">
        <v>0.67444000000000004</v>
      </c>
      <c r="EF259">
        <v>1.03904</v>
      </c>
      <c r="EG259">
        <v>0.78790000000000004</v>
      </c>
      <c r="EH259">
        <v>0.96353999999999995</v>
      </c>
      <c r="EI259">
        <v>0.92930000000000001</v>
      </c>
      <c r="EJ259">
        <v>0.98362000000000005</v>
      </c>
      <c r="EK259">
        <v>0.87604000000000004</v>
      </c>
      <c r="EL259">
        <v>1.0087200000000001</v>
      </c>
      <c r="EM259">
        <v>0.99572000000000005</v>
      </c>
      <c r="EN259">
        <v>1.02234</v>
      </c>
      <c r="EO259">
        <v>1.0459799999999999</v>
      </c>
      <c r="EP259">
        <v>0.88546000000000002</v>
      </c>
      <c r="EQ259">
        <v>0.84396000000000004</v>
      </c>
      <c r="ER259">
        <v>0.81974000000000002</v>
      </c>
      <c r="ES259">
        <v>0.90849999999999997</v>
      </c>
    </row>
    <row r="260" spans="1:149" x14ac:dyDescent="0.35">
      <c r="A260" s="77"/>
      <c r="B260" s="77">
        <v>658</v>
      </c>
      <c r="C260" s="77">
        <v>0.47532999999999997</v>
      </c>
      <c r="D260" s="77">
        <v>0.33626</v>
      </c>
      <c r="E260" s="77">
        <v>0.51810999999999996</v>
      </c>
      <c r="F260" s="77">
        <v>0.39276</v>
      </c>
      <c r="G260" s="77">
        <v>0.48116999999999999</v>
      </c>
      <c r="H260" s="77">
        <v>0.46401999999999999</v>
      </c>
      <c r="I260" s="77">
        <v>0.49120000000000003</v>
      </c>
      <c r="J260" s="77">
        <v>0.43756</v>
      </c>
      <c r="K260" s="77">
        <v>0.50370999999999999</v>
      </c>
      <c r="L260" s="77">
        <v>0.49730999999999997</v>
      </c>
      <c r="M260" s="77">
        <v>0.51060000000000005</v>
      </c>
      <c r="N260" s="77">
        <v>0.52231000000000005</v>
      </c>
      <c r="O260" s="77">
        <v>0.44189000000000001</v>
      </c>
      <c r="P260" s="77">
        <v>0.42120000000000002</v>
      </c>
      <c r="Q260" s="77">
        <v>0.40912999999999999</v>
      </c>
      <c r="R260" s="77">
        <v>0.45338000000000001</v>
      </c>
      <c r="T260">
        <v>658</v>
      </c>
      <c r="U260">
        <f t="shared" si="64"/>
        <v>0.95065999999999995</v>
      </c>
      <c r="V260">
        <f t="shared" si="65"/>
        <v>0.67252000000000001</v>
      </c>
      <c r="W260">
        <f t="shared" si="66"/>
        <v>1.0362199999999999</v>
      </c>
      <c r="X260">
        <f t="shared" si="67"/>
        <v>0.78552</v>
      </c>
      <c r="Y260">
        <f t="shared" si="68"/>
        <v>0.96233999999999997</v>
      </c>
      <c r="Z260">
        <f t="shared" si="69"/>
        <v>0.92803999999999998</v>
      </c>
      <c r="AA260">
        <f t="shared" si="70"/>
        <v>0.98240000000000005</v>
      </c>
      <c r="AB260">
        <f t="shared" si="71"/>
        <v>0.87512000000000001</v>
      </c>
      <c r="AC260">
        <f t="shared" si="72"/>
        <v>1.00742</v>
      </c>
      <c r="AD260">
        <f t="shared" si="73"/>
        <v>0.99461999999999995</v>
      </c>
      <c r="AE260">
        <f t="shared" si="74"/>
        <v>1.0212000000000001</v>
      </c>
      <c r="AF260">
        <f t="shared" si="75"/>
        <v>1.0446200000000001</v>
      </c>
      <c r="AG260">
        <f t="shared" si="76"/>
        <v>0.88378000000000001</v>
      </c>
      <c r="AH260">
        <f t="shared" si="77"/>
        <v>0.84240000000000004</v>
      </c>
      <c r="AI260">
        <f t="shared" si="78"/>
        <v>0.81825999999999999</v>
      </c>
      <c r="AJ260">
        <f t="shared" si="79"/>
        <v>0.90676000000000001</v>
      </c>
      <c r="EC260">
        <v>658</v>
      </c>
      <c r="ED260">
        <v>0.95065999999999995</v>
      </c>
      <c r="EE260">
        <v>0.67252000000000001</v>
      </c>
      <c r="EF260">
        <v>1.0362199999999999</v>
      </c>
      <c r="EG260">
        <v>0.78552</v>
      </c>
      <c r="EH260">
        <v>0.96233999999999997</v>
      </c>
      <c r="EI260">
        <v>0.92803999999999998</v>
      </c>
      <c r="EJ260">
        <v>0.98240000000000005</v>
      </c>
      <c r="EK260">
        <v>0.87512000000000001</v>
      </c>
      <c r="EL260">
        <v>1.00742</v>
      </c>
      <c r="EM260">
        <v>0.99461999999999995</v>
      </c>
      <c r="EN260">
        <v>1.0212000000000001</v>
      </c>
      <c r="EO260">
        <v>1.0446200000000001</v>
      </c>
      <c r="EP260">
        <v>0.88378000000000001</v>
      </c>
      <c r="EQ260">
        <v>0.84240000000000004</v>
      </c>
      <c r="ER260">
        <v>0.81825999999999999</v>
      </c>
      <c r="ES260">
        <v>0.90676000000000001</v>
      </c>
    </row>
    <row r="261" spans="1:149" x14ac:dyDescent="0.35">
      <c r="A261" s="77"/>
      <c r="B261" s="77">
        <v>659</v>
      </c>
      <c r="C261" s="77">
        <v>0.4743</v>
      </c>
      <c r="D261" s="77">
        <v>0.33556999999999998</v>
      </c>
      <c r="E261" s="77">
        <v>0.51715</v>
      </c>
      <c r="F261" s="77">
        <v>0.39198</v>
      </c>
      <c r="G261" s="77">
        <v>0.48079</v>
      </c>
      <c r="H261" s="77">
        <v>0.46356000000000003</v>
      </c>
      <c r="I261" s="77">
        <v>0.49087999999999998</v>
      </c>
      <c r="J261" s="77">
        <v>0.43720999999999999</v>
      </c>
      <c r="K261" s="77">
        <v>0.50333000000000006</v>
      </c>
      <c r="L261" s="77">
        <v>0.49692999999999998</v>
      </c>
      <c r="M261" s="77">
        <v>0.51017999999999997</v>
      </c>
      <c r="N261" s="77">
        <v>0.52181999999999995</v>
      </c>
      <c r="O261" s="77">
        <v>0.44103999999999999</v>
      </c>
      <c r="P261" s="77">
        <v>0.42046</v>
      </c>
      <c r="Q261" s="77">
        <v>0.40848000000000001</v>
      </c>
      <c r="R261" s="77">
        <v>0.45258999999999999</v>
      </c>
      <c r="T261">
        <v>659</v>
      </c>
      <c r="U261">
        <f t="shared" si="64"/>
        <v>0.9486</v>
      </c>
      <c r="V261">
        <f t="shared" si="65"/>
        <v>0.67113999999999996</v>
      </c>
      <c r="W261">
        <f t="shared" si="66"/>
        <v>1.0343</v>
      </c>
      <c r="X261">
        <f t="shared" si="67"/>
        <v>0.78395999999999999</v>
      </c>
      <c r="Y261">
        <f t="shared" si="68"/>
        <v>0.96157999999999999</v>
      </c>
      <c r="Z261">
        <f t="shared" si="69"/>
        <v>0.92712000000000006</v>
      </c>
      <c r="AA261">
        <f t="shared" si="70"/>
        <v>0.98175999999999997</v>
      </c>
      <c r="AB261">
        <f t="shared" si="71"/>
        <v>0.87441999999999998</v>
      </c>
      <c r="AC261">
        <f t="shared" si="72"/>
        <v>1.0066600000000001</v>
      </c>
      <c r="AD261">
        <f t="shared" si="73"/>
        <v>0.99385999999999997</v>
      </c>
      <c r="AE261">
        <f t="shared" si="74"/>
        <v>1.0203599999999999</v>
      </c>
      <c r="AF261">
        <f t="shared" si="75"/>
        <v>1.0436399999999999</v>
      </c>
      <c r="AG261">
        <f t="shared" si="76"/>
        <v>0.88207999999999998</v>
      </c>
      <c r="AH261">
        <f t="shared" si="77"/>
        <v>0.84092</v>
      </c>
      <c r="AI261">
        <f t="shared" si="78"/>
        <v>0.81696000000000002</v>
      </c>
      <c r="AJ261">
        <f t="shared" si="79"/>
        <v>0.90517999999999998</v>
      </c>
      <c r="EC261">
        <v>659</v>
      </c>
      <c r="ED261">
        <v>0.9486</v>
      </c>
      <c r="EE261">
        <v>0.67113999999999996</v>
      </c>
      <c r="EF261">
        <v>1.0343</v>
      </c>
      <c r="EG261">
        <v>0.78395999999999999</v>
      </c>
      <c r="EH261">
        <v>0.96157999999999999</v>
      </c>
      <c r="EI261">
        <v>0.92712000000000006</v>
      </c>
      <c r="EJ261">
        <v>0.98175999999999997</v>
      </c>
      <c r="EK261">
        <v>0.87441999999999998</v>
      </c>
      <c r="EL261">
        <v>1.0066600000000001</v>
      </c>
      <c r="EM261">
        <v>0.99385999999999997</v>
      </c>
      <c r="EN261">
        <v>1.0203599999999999</v>
      </c>
      <c r="EO261">
        <v>1.0436399999999999</v>
      </c>
      <c r="EP261">
        <v>0.88207999999999998</v>
      </c>
      <c r="EQ261">
        <v>0.84092</v>
      </c>
      <c r="ER261">
        <v>0.81696000000000002</v>
      </c>
      <c r="ES261">
        <v>0.90517999999999998</v>
      </c>
    </row>
    <row r="262" spans="1:149" x14ac:dyDescent="0.35">
      <c r="A262" s="77"/>
      <c r="B262" s="77">
        <v>660</v>
      </c>
      <c r="C262" s="77">
        <v>0.47366000000000003</v>
      </c>
      <c r="D262" s="77">
        <v>0.33507999999999999</v>
      </c>
      <c r="E262" s="77">
        <v>0.51661999999999997</v>
      </c>
      <c r="F262" s="77">
        <v>0.39145000000000002</v>
      </c>
      <c r="G262" s="77">
        <v>0.48058000000000001</v>
      </c>
      <c r="H262" s="77">
        <v>0.46326000000000001</v>
      </c>
      <c r="I262" s="77">
        <v>0.49064999999999998</v>
      </c>
      <c r="J262" s="77">
        <v>0.437</v>
      </c>
      <c r="K262" s="77">
        <v>0.50310999999999995</v>
      </c>
      <c r="L262" s="77">
        <v>0.49671999999999999</v>
      </c>
      <c r="M262" s="77">
        <v>0.50997999999999999</v>
      </c>
      <c r="N262" s="77">
        <v>0.52158000000000004</v>
      </c>
      <c r="O262" s="77">
        <v>0.44025999999999998</v>
      </c>
      <c r="P262" s="77">
        <v>0.41971000000000003</v>
      </c>
      <c r="Q262" s="77">
        <v>0.40783999999999998</v>
      </c>
      <c r="R262" s="77">
        <v>0.45180999999999999</v>
      </c>
      <c r="T262">
        <v>660</v>
      </c>
      <c r="U262">
        <f t="shared" si="64"/>
        <v>0.94732000000000005</v>
      </c>
      <c r="V262">
        <f t="shared" si="65"/>
        <v>0.67015999999999998</v>
      </c>
      <c r="W262">
        <f t="shared" si="66"/>
        <v>1.0332399999999999</v>
      </c>
      <c r="X262">
        <f t="shared" si="67"/>
        <v>0.78290000000000004</v>
      </c>
      <c r="Y262">
        <f t="shared" si="68"/>
        <v>0.96116000000000001</v>
      </c>
      <c r="Z262">
        <f t="shared" si="69"/>
        <v>0.92652000000000001</v>
      </c>
      <c r="AA262">
        <f t="shared" si="70"/>
        <v>0.98129999999999995</v>
      </c>
      <c r="AB262">
        <f t="shared" si="71"/>
        <v>0.874</v>
      </c>
      <c r="AC262">
        <f t="shared" si="72"/>
        <v>1.0062199999999999</v>
      </c>
      <c r="AD262">
        <f t="shared" si="73"/>
        <v>0.99343999999999999</v>
      </c>
      <c r="AE262">
        <f t="shared" si="74"/>
        <v>1.01996</v>
      </c>
      <c r="AF262">
        <f t="shared" si="75"/>
        <v>1.0431600000000001</v>
      </c>
      <c r="AG262">
        <f t="shared" si="76"/>
        <v>0.88051999999999997</v>
      </c>
      <c r="AH262">
        <f t="shared" si="77"/>
        <v>0.83942000000000005</v>
      </c>
      <c r="AI262">
        <f t="shared" si="78"/>
        <v>0.81567999999999996</v>
      </c>
      <c r="AJ262">
        <f t="shared" si="79"/>
        <v>0.90361999999999998</v>
      </c>
      <c r="EC262">
        <v>660</v>
      </c>
      <c r="ED262">
        <v>0.94732000000000005</v>
      </c>
      <c r="EE262">
        <v>0.67015999999999998</v>
      </c>
      <c r="EF262">
        <v>1.0332399999999999</v>
      </c>
      <c r="EG262">
        <v>0.78290000000000004</v>
      </c>
      <c r="EH262">
        <v>0.96116000000000001</v>
      </c>
      <c r="EI262">
        <v>0.92652000000000001</v>
      </c>
      <c r="EJ262">
        <v>0.98129999999999995</v>
      </c>
      <c r="EK262">
        <v>0.874</v>
      </c>
      <c r="EL262">
        <v>1.0062199999999999</v>
      </c>
      <c r="EM262">
        <v>0.99343999999999999</v>
      </c>
      <c r="EN262">
        <v>1.01996</v>
      </c>
      <c r="EO262">
        <v>1.0431600000000001</v>
      </c>
      <c r="EP262">
        <v>0.88051999999999997</v>
      </c>
      <c r="EQ262">
        <v>0.83942000000000005</v>
      </c>
      <c r="ER262">
        <v>0.81567999999999996</v>
      </c>
      <c r="ES262">
        <v>0.90361999999999998</v>
      </c>
    </row>
    <row r="263" spans="1:149" x14ac:dyDescent="0.35">
      <c r="A263" s="77"/>
      <c r="B263" s="77">
        <v>661</v>
      </c>
      <c r="C263" s="77">
        <v>0.47350999999999999</v>
      </c>
      <c r="D263" s="77">
        <v>0.33495999999999998</v>
      </c>
      <c r="E263" s="77">
        <v>0.51649</v>
      </c>
      <c r="F263" s="77">
        <v>0.39123999999999998</v>
      </c>
      <c r="G263" s="77">
        <v>0.48061999999999999</v>
      </c>
      <c r="H263" s="77">
        <v>0.46321000000000001</v>
      </c>
      <c r="I263" s="77">
        <v>0.49075000000000002</v>
      </c>
      <c r="J263" s="77">
        <v>0.43697999999999998</v>
      </c>
      <c r="K263" s="77">
        <v>0.50322999999999996</v>
      </c>
      <c r="L263" s="77">
        <v>0.49682999999999999</v>
      </c>
      <c r="M263" s="77">
        <v>0.50995000000000001</v>
      </c>
      <c r="N263" s="77">
        <v>0.52158000000000004</v>
      </c>
      <c r="O263" s="77">
        <v>0.43956000000000001</v>
      </c>
      <c r="P263" s="77">
        <v>0.41908000000000001</v>
      </c>
      <c r="Q263" s="77">
        <v>0.40721000000000002</v>
      </c>
      <c r="R263" s="77">
        <v>0.4511</v>
      </c>
      <c r="T263">
        <v>661</v>
      </c>
      <c r="U263">
        <f t="shared" si="64"/>
        <v>0.94701999999999997</v>
      </c>
      <c r="V263">
        <f t="shared" si="65"/>
        <v>0.66991999999999996</v>
      </c>
      <c r="W263">
        <f t="shared" si="66"/>
        <v>1.03298</v>
      </c>
      <c r="X263">
        <f t="shared" si="67"/>
        <v>0.78247999999999995</v>
      </c>
      <c r="Y263">
        <f t="shared" si="68"/>
        <v>0.96123999999999998</v>
      </c>
      <c r="Z263">
        <f t="shared" si="69"/>
        <v>0.92642000000000002</v>
      </c>
      <c r="AA263">
        <f t="shared" si="70"/>
        <v>0.98150000000000004</v>
      </c>
      <c r="AB263">
        <f t="shared" si="71"/>
        <v>0.87395999999999996</v>
      </c>
      <c r="AC263">
        <f t="shared" si="72"/>
        <v>1.0064599999999999</v>
      </c>
      <c r="AD263">
        <f t="shared" si="73"/>
        <v>0.99365999999999999</v>
      </c>
      <c r="AE263">
        <f t="shared" si="74"/>
        <v>1.0199</v>
      </c>
      <c r="AF263">
        <f t="shared" si="75"/>
        <v>1.0431600000000001</v>
      </c>
      <c r="AG263">
        <f t="shared" si="76"/>
        <v>0.87912000000000001</v>
      </c>
      <c r="AH263">
        <f t="shared" si="77"/>
        <v>0.83816000000000002</v>
      </c>
      <c r="AI263">
        <f t="shared" si="78"/>
        <v>0.81442000000000003</v>
      </c>
      <c r="AJ263">
        <f t="shared" si="79"/>
        <v>0.9022</v>
      </c>
      <c r="EC263">
        <v>661</v>
      </c>
      <c r="ED263">
        <v>0.94701999999999997</v>
      </c>
      <c r="EE263">
        <v>0.66991999999999996</v>
      </c>
      <c r="EF263">
        <v>1.03298</v>
      </c>
      <c r="EG263">
        <v>0.78247999999999995</v>
      </c>
      <c r="EH263">
        <v>0.96123999999999998</v>
      </c>
      <c r="EI263">
        <v>0.92642000000000002</v>
      </c>
      <c r="EJ263">
        <v>0.98150000000000004</v>
      </c>
      <c r="EK263">
        <v>0.87395999999999996</v>
      </c>
      <c r="EL263">
        <v>1.0064599999999999</v>
      </c>
      <c r="EM263">
        <v>0.99365999999999999</v>
      </c>
      <c r="EN263">
        <v>1.0199</v>
      </c>
      <c r="EO263">
        <v>1.0431600000000001</v>
      </c>
      <c r="EP263">
        <v>0.87912000000000001</v>
      </c>
      <c r="EQ263">
        <v>0.83816000000000002</v>
      </c>
      <c r="ER263">
        <v>0.81442000000000003</v>
      </c>
      <c r="ES263">
        <v>0.9022</v>
      </c>
    </row>
    <row r="264" spans="1:149" x14ac:dyDescent="0.35">
      <c r="A264" s="77"/>
      <c r="B264" s="77">
        <v>662</v>
      </c>
      <c r="C264" s="77">
        <v>0.47371000000000002</v>
      </c>
      <c r="D264" s="77">
        <v>0.33506999999999998</v>
      </c>
      <c r="E264" s="77">
        <v>0.51690999999999998</v>
      </c>
      <c r="F264" s="77">
        <v>0.39145999999999997</v>
      </c>
      <c r="G264" s="77">
        <v>0.48087000000000002</v>
      </c>
      <c r="H264" s="77">
        <v>0.46346999999999999</v>
      </c>
      <c r="I264" s="77">
        <v>0.49112</v>
      </c>
      <c r="J264" s="77">
        <v>0.43713000000000002</v>
      </c>
      <c r="K264" s="77">
        <v>0.50353999999999999</v>
      </c>
      <c r="L264" s="77">
        <v>0.49703999999999998</v>
      </c>
      <c r="M264" s="77">
        <v>0.51032999999999995</v>
      </c>
      <c r="N264" s="77">
        <v>0.52190000000000003</v>
      </c>
      <c r="O264" s="77">
        <v>0.43897999999999998</v>
      </c>
      <c r="P264" s="77">
        <v>0.41847000000000001</v>
      </c>
      <c r="Q264" s="77">
        <v>0.40666000000000002</v>
      </c>
      <c r="R264" s="77">
        <v>0.45051999999999998</v>
      </c>
      <c r="T264">
        <v>662</v>
      </c>
      <c r="U264">
        <f t="shared" si="64"/>
        <v>0.94742000000000004</v>
      </c>
      <c r="V264">
        <f t="shared" si="65"/>
        <v>0.67013999999999996</v>
      </c>
      <c r="W264">
        <f t="shared" si="66"/>
        <v>1.03382</v>
      </c>
      <c r="X264">
        <f t="shared" si="67"/>
        <v>0.78291999999999995</v>
      </c>
      <c r="Y264">
        <f t="shared" si="68"/>
        <v>0.96174000000000004</v>
      </c>
      <c r="Z264">
        <f t="shared" si="69"/>
        <v>0.92693999999999999</v>
      </c>
      <c r="AA264">
        <f t="shared" si="70"/>
        <v>0.98224</v>
      </c>
      <c r="AB264">
        <f t="shared" si="71"/>
        <v>0.87426000000000004</v>
      </c>
      <c r="AC264">
        <f t="shared" si="72"/>
        <v>1.00708</v>
      </c>
      <c r="AD264">
        <f t="shared" si="73"/>
        <v>0.99407999999999996</v>
      </c>
      <c r="AE264">
        <f t="shared" si="74"/>
        <v>1.0206599999999999</v>
      </c>
      <c r="AF264">
        <f t="shared" si="75"/>
        <v>1.0438000000000001</v>
      </c>
      <c r="AG264">
        <f t="shared" si="76"/>
        <v>0.87795999999999996</v>
      </c>
      <c r="AH264">
        <f t="shared" si="77"/>
        <v>0.83694000000000002</v>
      </c>
      <c r="AI264">
        <f t="shared" si="78"/>
        <v>0.81332000000000004</v>
      </c>
      <c r="AJ264">
        <f t="shared" si="79"/>
        <v>0.90103999999999995</v>
      </c>
      <c r="EC264">
        <v>662</v>
      </c>
      <c r="ED264">
        <v>0.94742000000000004</v>
      </c>
      <c r="EE264">
        <v>0.67013999999999996</v>
      </c>
      <c r="EF264">
        <v>1.03382</v>
      </c>
      <c r="EG264">
        <v>0.78291999999999995</v>
      </c>
      <c r="EH264">
        <v>0.96174000000000004</v>
      </c>
      <c r="EI264">
        <v>0.92693999999999999</v>
      </c>
      <c r="EJ264">
        <v>0.98224</v>
      </c>
      <c r="EK264">
        <v>0.87426000000000004</v>
      </c>
      <c r="EL264">
        <v>1.00708</v>
      </c>
      <c r="EM264">
        <v>0.99407999999999996</v>
      </c>
      <c r="EN264">
        <v>1.0206599999999999</v>
      </c>
      <c r="EO264">
        <v>1.0438000000000001</v>
      </c>
      <c r="EP264">
        <v>0.87795999999999996</v>
      </c>
      <c r="EQ264">
        <v>0.83694000000000002</v>
      </c>
      <c r="ER264">
        <v>0.81332000000000004</v>
      </c>
      <c r="ES264">
        <v>0.90103999999999995</v>
      </c>
    </row>
    <row r="265" spans="1:149" x14ac:dyDescent="0.35">
      <c r="A265" s="77"/>
      <c r="B265" s="77">
        <v>663</v>
      </c>
      <c r="C265" s="77">
        <v>0.47447</v>
      </c>
      <c r="D265" s="77">
        <v>0.33554</v>
      </c>
      <c r="E265" s="77">
        <v>0.51785000000000003</v>
      </c>
      <c r="F265" s="77">
        <v>0.39212000000000002</v>
      </c>
      <c r="G265" s="77">
        <v>0.48137000000000002</v>
      </c>
      <c r="H265" s="77">
        <v>0.46395999999999998</v>
      </c>
      <c r="I265" s="77">
        <v>0.49174000000000001</v>
      </c>
      <c r="J265" s="77">
        <v>0.43758000000000002</v>
      </c>
      <c r="K265" s="77">
        <v>0.50419999999999998</v>
      </c>
      <c r="L265" s="77">
        <v>0.49763000000000002</v>
      </c>
      <c r="M265" s="77">
        <v>0.51099000000000006</v>
      </c>
      <c r="N265" s="77">
        <v>0.52254</v>
      </c>
      <c r="O265" s="77">
        <v>0.43846000000000002</v>
      </c>
      <c r="P265" s="77">
        <v>0.41794999999999999</v>
      </c>
      <c r="Q265" s="77">
        <v>0.40614</v>
      </c>
      <c r="R265" s="77">
        <v>0.45006000000000002</v>
      </c>
      <c r="T265">
        <v>663</v>
      </c>
      <c r="U265">
        <f t="shared" si="64"/>
        <v>0.94894000000000001</v>
      </c>
      <c r="V265">
        <f t="shared" si="65"/>
        <v>0.67108000000000001</v>
      </c>
      <c r="W265">
        <f t="shared" si="66"/>
        <v>1.0357000000000001</v>
      </c>
      <c r="X265">
        <f t="shared" si="67"/>
        <v>0.78424000000000005</v>
      </c>
      <c r="Y265">
        <f t="shared" si="68"/>
        <v>0.96274000000000004</v>
      </c>
      <c r="Z265">
        <f t="shared" si="69"/>
        <v>0.92791999999999997</v>
      </c>
      <c r="AA265">
        <f t="shared" si="70"/>
        <v>0.98348000000000002</v>
      </c>
      <c r="AB265">
        <f t="shared" si="71"/>
        <v>0.87516000000000005</v>
      </c>
      <c r="AC265">
        <f t="shared" si="72"/>
        <v>1.0084</v>
      </c>
      <c r="AD265">
        <f t="shared" si="73"/>
        <v>0.99526000000000003</v>
      </c>
      <c r="AE265">
        <f t="shared" si="74"/>
        <v>1.0219800000000001</v>
      </c>
      <c r="AF265">
        <f t="shared" si="75"/>
        <v>1.04508</v>
      </c>
      <c r="AG265">
        <f t="shared" si="76"/>
        <v>0.87692000000000003</v>
      </c>
      <c r="AH265">
        <f t="shared" si="77"/>
        <v>0.83589999999999998</v>
      </c>
      <c r="AI265">
        <f t="shared" si="78"/>
        <v>0.81228</v>
      </c>
      <c r="AJ265">
        <f t="shared" si="79"/>
        <v>0.90012000000000003</v>
      </c>
      <c r="EC265">
        <v>663</v>
      </c>
      <c r="ED265">
        <v>0.94894000000000001</v>
      </c>
      <c r="EE265">
        <v>0.67108000000000001</v>
      </c>
      <c r="EF265">
        <v>1.0357000000000001</v>
      </c>
      <c r="EG265">
        <v>0.78424000000000005</v>
      </c>
      <c r="EH265">
        <v>0.96274000000000004</v>
      </c>
      <c r="EI265">
        <v>0.92791999999999997</v>
      </c>
      <c r="EJ265">
        <v>0.98348000000000002</v>
      </c>
      <c r="EK265">
        <v>0.87516000000000005</v>
      </c>
      <c r="EL265">
        <v>1.0084</v>
      </c>
      <c r="EM265">
        <v>0.99526000000000003</v>
      </c>
      <c r="EN265">
        <v>1.0219800000000001</v>
      </c>
      <c r="EO265">
        <v>1.04508</v>
      </c>
      <c r="EP265">
        <v>0.87692000000000003</v>
      </c>
      <c r="EQ265">
        <v>0.83589999999999998</v>
      </c>
      <c r="ER265">
        <v>0.81228</v>
      </c>
      <c r="ES265">
        <v>0.90012000000000003</v>
      </c>
    </row>
    <row r="266" spans="1:149" x14ac:dyDescent="0.35">
      <c r="A266" s="77"/>
      <c r="B266" s="77">
        <v>664</v>
      </c>
      <c r="C266" s="77">
        <v>0.47556999999999999</v>
      </c>
      <c r="D266" s="77">
        <v>0.33626</v>
      </c>
      <c r="E266" s="77">
        <v>0.51934999999999998</v>
      </c>
      <c r="F266" s="77">
        <v>0.39311000000000001</v>
      </c>
      <c r="G266" s="77">
        <v>0.48215999999999998</v>
      </c>
      <c r="H266" s="77">
        <v>0.46472000000000002</v>
      </c>
      <c r="I266" s="77">
        <v>0.49257000000000001</v>
      </c>
      <c r="J266" s="77">
        <v>0.43824999999999997</v>
      </c>
      <c r="K266" s="77">
        <v>0.50519000000000003</v>
      </c>
      <c r="L266" s="77">
        <v>0.49852000000000002</v>
      </c>
      <c r="M266" s="77">
        <v>0.51188999999999996</v>
      </c>
      <c r="N266" s="77">
        <v>0.52346999999999999</v>
      </c>
      <c r="O266" s="77">
        <v>0.438</v>
      </c>
      <c r="P266" s="77">
        <v>0.41753000000000001</v>
      </c>
      <c r="Q266" s="77">
        <v>0.40576000000000001</v>
      </c>
      <c r="R266" s="77">
        <v>0.44962000000000002</v>
      </c>
      <c r="T266">
        <v>664</v>
      </c>
      <c r="U266">
        <f t="shared" si="64"/>
        <v>0.95113999999999999</v>
      </c>
      <c r="V266">
        <f t="shared" si="65"/>
        <v>0.67252000000000001</v>
      </c>
      <c r="W266">
        <f t="shared" si="66"/>
        <v>1.0387</v>
      </c>
      <c r="X266">
        <f t="shared" si="67"/>
        <v>0.78622000000000003</v>
      </c>
      <c r="Y266">
        <f t="shared" si="68"/>
        <v>0.96431999999999995</v>
      </c>
      <c r="Z266">
        <f t="shared" si="69"/>
        <v>0.92944000000000004</v>
      </c>
      <c r="AA266">
        <f t="shared" si="70"/>
        <v>0.98514000000000002</v>
      </c>
      <c r="AB266">
        <f t="shared" si="71"/>
        <v>0.87649999999999995</v>
      </c>
      <c r="AC266">
        <f t="shared" si="72"/>
        <v>1.0103800000000001</v>
      </c>
      <c r="AD266">
        <f t="shared" si="73"/>
        <v>0.99704000000000004</v>
      </c>
      <c r="AE266">
        <f t="shared" si="74"/>
        <v>1.0237799999999999</v>
      </c>
      <c r="AF266">
        <f t="shared" si="75"/>
        <v>1.04694</v>
      </c>
      <c r="AG266">
        <f t="shared" si="76"/>
        <v>0.876</v>
      </c>
      <c r="AH266">
        <f t="shared" si="77"/>
        <v>0.83506000000000002</v>
      </c>
      <c r="AI266">
        <f t="shared" si="78"/>
        <v>0.81152000000000002</v>
      </c>
      <c r="AJ266">
        <f t="shared" si="79"/>
        <v>0.89924000000000004</v>
      </c>
      <c r="EC266">
        <v>664</v>
      </c>
      <c r="ED266">
        <v>0.95113999999999999</v>
      </c>
      <c r="EE266">
        <v>0.67252000000000001</v>
      </c>
      <c r="EF266">
        <v>1.0387</v>
      </c>
      <c r="EG266">
        <v>0.78622000000000003</v>
      </c>
      <c r="EH266">
        <v>0.96431999999999995</v>
      </c>
      <c r="EI266">
        <v>0.92944000000000004</v>
      </c>
      <c r="EJ266">
        <v>0.98514000000000002</v>
      </c>
      <c r="EK266">
        <v>0.87649999999999995</v>
      </c>
      <c r="EL266">
        <v>1.0103800000000001</v>
      </c>
      <c r="EM266">
        <v>0.99704000000000004</v>
      </c>
      <c r="EN266">
        <v>1.0237799999999999</v>
      </c>
      <c r="EO266">
        <v>1.04694</v>
      </c>
      <c r="EP266">
        <v>0.876</v>
      </c>
      <c r="EQ266">
        <v>0.83506000000000002</v>
      </c>
      <c r="ER266">
        <v>0.81152000000000002</v>
      </c>
      <c r="ES266">
        <v>0.89924000000000004</v>
      </c>
    </row>
    <row r="267" spans="1:149" x14ac:dyDescent="0.35">
      <c r="A267" s="77"/>
      <c r="B267" s="77">
        <v>665</v>
      </c>
      <c r="C267" s="77">
        <v>0.47716999999999998</v>
      </c>
      <c r="D267" s="77">
        <v>0.33737</v>
      </c>
      <c r="E267" s="77">
        <v>0.52129999999999999</v>
      </c>
      <c r="F267" s="77">
        <v>0.39459</v>
      </c>
      <c r="G267" s="77">
        <v>0.48321999999999998</v>
      </c>
      <c r="H267" s="77">
        <v>0.46588000000000002</v>
      </c>
      <c r="I267" s="77">
        <v>0.49380000000000002</v>
      </c>
      <c r="J267" s="77">
        <v>0.43914999999999998</v>
      </c>
      <c r="K267" s="77">
        <v>0.50641999999999998</v>
      </c>
      <c r="L267" s="77">
        <v>0.49965999999999999</v>
      </c>
      <c r="M267" s="77">
        <v>0.51319999999999999</v>
      </c>
      <c r="N267" s="77">
        <v>0.52492000000000005</v>
      </c>
      <c r="O267" s="77">
        <v>0.43769999999999998</v>
      </c>
      <c r="P267" s="77">
        <v>0.41726999999999997</v>
      </c>
      <c r="Q267" s="77">
        <v>0.40550000000000003</v>
      </c>
      <c r="R267" s="77">
        <v>0.44934000000000002</v>
      </c>
      <c r="T267">
        <v>665</v>
      </c>
      <c r="U267">
        <f t="shared" si="64"/>
        <v>0.95433999999999997</v>
      </c>
      <c r="V267">
        <f t="shared" si="65"/>
        <v>0.67474000000000001</v>
      </c>
      <c r="W267">
        <f t="shared" si="66"/>
        <v>1.0426</v>
      </c>
      <c r="X267">
        <f t="shared" si="67"/>
        <v>0.78917999999999999</v>
      </c>
      <c r="Y267">
        <f t="shared" si="68"/>
        <v>0.96643999999999997</v>
      </c>
      <c r="Z267">
        <f t="shared" si="69"/>
        <v>0.93176000000000003</v>
      </c>
      <c r="AA267">
        <f t="shared" si="70"/>
        <v>0.98760000000000003</v>
      </c>
      <c r="AB267">
        <f t="shared" si="71"/>
        <v>0.87829999999999997</v>
      </c>
      <c r="AC267">
        <f t="shared" si="72"/>
        <v>1.01284</v>
      </c>
      <c r="AD267">
        <f t="shared" si="73"/>
        <v>0.99931999999999999</v>
      </c>
      <c r="AE267">
        <f t="shared" si="74"/>
        <v>1.0264</v>
      </c>
      <c r="AF267">
        <f t="shared" si="75"/>
        <v>1.0498400000000001</v>
      </c>
      <c r="AG267">
        <f t="shared" si="76"/>
        <v>0.87539999999999996</v>
      </c>
      <c r="AH267">
        <f t="shared" si="77"/>
        <v>0.83453999999999995</v>
      </c>
      <c r="AI267">
        <f t="shared" si="78"/>
        <v>0.81100000000000005</v>
      </c>
      <c r="AJ267">
        <f t="shared" si="79"/>
        <v>0.89868000000000003</v>
      </c>
      <c r="EC267">
        <v>665</v>
      </c>
      <c r="ED267">
        <v>0.95433999999999997</v>
      </c>
      <c r="EE267">
        <v>0.67474000000000001</v>
      </c>
      <c r="EF267">
        <v>1.0426</v>
      </c>
      <c r="EG267">
        <v>0.78917999999999999</v>
      </c>
      <c r="EH267">
        <v>0.96643999999999997</v>
      </c>
      <c r="EI267">
        <v>0.93176000000000003</v>
      </c>
      <c r="EJ267">
        <v>0.98760000000000003</v>
      </c>
      <c r="EK267">
        <v>0.87829999999999997</v>
      </c>
      <c r="EL267">
        <v>1.01284</v>
      </c>
      <c r="EM267">
        <v>0.99931999999999999</v>
      </c>
      <c r="EN267">
        <v>1.0264</v>
      </c>
      <c r="EO267">
        <v>1.0498400000000001</v>
      </c>
      <c r="EP267">
        <v>0.87539999999999996</v>
      </c>
      <c r="EQ267">
        <v>0.83453999999999995</v>
      </c>
      <c r="ER267">
        <v>0.81100000000000005</v>
      </c>
      <c r="ES267">
        <v>0.89868000000000003</v>
      </c>
    </row>
    <row r="268" spans="1:149" x14ac:dyDescent="0.35">
      <c r="A268" s="77"/>
      <c r="B268" s="77">
        <v>666</v>
      </c>
      <c r="C268" s="77">
        <v>0.47926000000000002</v>
      </c>
      <c r="D268" s="77">
        <v>0.33878000000000003</v>
      </c>
      <c r="E268" s="77">
        <v>0.52371000000000001</v>
      </c>
      <c r="F268" s="77">
        <v>0.39635999999999999</v>
      </c>
      <c r="G268" s="77">
        <v>0.48443999999999998</v>
      </c>
      <c r="H268" s="77">
        <v>0.46721000000000001</v>
      </c>
      <c r="I268" s="77">
        <v>0.49520999999999998</v>
      </c>
      <c r="J268" s="77">
        <v>0.44022</v>
      </c>
      <c r="K268" s="77">
        <v>0.50792999999999999</v>
      </c>
      <c r="L268" s="77">
        <v>0.50100999999999996</v>
      </c>
      <c r="M268" s="77">
        <v>0.51468000000000003</v>
      </c>
      <c r="N268" s="77">
        <v>0.52637</v>
      </c>
      <c r="O268" s="77">
        <v>0.4375</v>
      </c>
      <c r="P268" s="77">
        <v>0.41704999999999998</v>
      </c>
      <c r="Q268" s="77">
        <v>0.40523999999999999</v>
      </c>
      <c r="R268" s="77">
        <v>0.44917000000000001</v>
      </c>
      <c r="T268">
        <v>666</v>
      </c>
      <c r="U268">
        <f t="shared" si="64"/>
        <v>0.95852000000000004</v>
      </c>
      <c r="V268">
        <f t="shared" si="65"/>
        <v>0.67756000000000005</v>
      </c>
      <c r="W268">
        <f t="shared" si="66"/>
        <v>1.04742</v>
      </c>
      <c r="X268">
        <f t="shared" si="67"/>
        <v>0.79271999999999998</v>
      </c>
      <c r="Y268">
        <f t="shared" si="68"/>
        <v>0.96887999999999996</v>
      </c>
      <c r="Z268">
        <f t="shared" si="69"/>
        <v>0.93442000000000003</v>
      </c>
      <c r="AA268">
        <f t="shared" si="70"/>
        <v>0.99041999999999997</v>
      </c>
      <c r="AB268">
        <f t="shared" si="71"/>
        <v>0.88044</v>
      </c>
      <c r="AC268">
        <f t="shared" si="72"/>
        <v>1.01586</v>
      </c>
      <c r="AD268">
        <f t="shared" si="73"/>
        <v>1.0020199999999999</v>
      </c>
      <c r="AE268">
        <f t="shared" si="74"/>
        <v>1.0293600000000001</v>
      </c>
      <c r="AF268">
        <f t="shared" si="75"/>
        <v>1.05274</v>
      </c>
      <c r="AG268">
        <f t="shared" si="76"/>
        <v>0.875</v>
      </c>
      <c r="AH268">
        <f t="shared" si="77"/>
        <v>0.83409999999999995</v>
      </c>
      <c r="AI268">
        <f t="shared" si="78"/>
        <v>0.81047999999999998</v>
      </c>
      <c r="AJ268">
        <f t="shared" si="79"/>
        <v>0.89834000000000003</v>
      </c>
      <c r="EC268">
        <v>666</v>
      </c>
      <c r="ED268">
        <v>0.95852000000000004</v>
      </c>
      <c r="EE268">
        <v>0.67756000000000005</v>
      </c>
      <c r="EF268">
        <v>1.04742</v>
      </c>
      <c r="EG268">
        <v>0.79271999999999998</v>
      </c>
      <c r="EH268">
        <v>0.96887999999999996</v>
      </c>
      <c r="EI268">
        <v>0.93442000000000003</v>
      </c>
      <c r="EJ268">
        <v>0.99041999999999997</v>
      </c>
      <c r="EK268">
        <v>0.88044</v>
      </c>
      <c r="EL268">
        <v>1.01586</v>
      </c>
      <c r="EM268">
        <v>1.0020199999999999</v>
      </c>
      <c r="EN268">
        <v>1.0293600000000001</v>
      </c>
      <c r="EO268">
        <v>1.05274</v>
      </c>
      <c r="EP268">
        <v>0.875</v>
      </c>
      <c r="EQ268">
        <v>0.83409999999999995</v>
      </c>
      <c r="ER268">
        <v>0.81047999999999998</v>
      </c>
      <c r="ES268">
        <v>0.89834000000000003</v>
      </c>
    </row>
    <row r="269" spans="1:149" x14ac:dyDescent="0.35">
      <c r="A269" s="77"/>
      <c r="B269" s="77">
        <v>667</v>
      </c>
      <c r="C269" s="77">
        <v>0.48169000000000001</v>
      </c>
      <c r="D269" s="77">
        <v>0.34042</v>
      </c>
      <c r="E269" s="77">
        <v>0.52654000000000001</v>
      </c>
      <c r="F269" s="77">
        <v>0.39850999999999998</v>
      </c>
      <c r="G269" s="77">
        <v>0.48594999999999999</v>
      </c>
      <c r="H269" s="77">
        <v>0.46869</v>
      </c>
      <c r="I269" s="77">
        <v>0.49682999999999999</v>
      </c>
      <c r="J269" s="77">
        <v>0.44141000000000002</v>
      </c>
      <c r="K269" s="77">
        <v>0.50971999999999995</v>
      </c>
      <c r="L269" s="77">
        <v>0.50266</v>
      </c>
      <c r="M269" s="77">
        <v>0.51642999999999994</v>
      </c>
      <c r="N269" s="77">
        <v>0.52814000000000005</v>
      </c>
      <c r="O269" s="77">
        <v>0.43739</v>
      </c>
      <c r="P269" s="77">
        <v>0.41692000000000001</v>
      </c>
      <c r="Q269" s="77">
        <v>0.40511999999999998</v>
      </c>
      <c r="R269" s="77">
        <v>0.44907000000000002</v>
      </c>
      <c r="T269">
        <v>667</v>
      </c>
      <c r="U269">
        <f t="shared" si="64"/>
        <v>0.96338000000000001</v>
      </c>
      <c r="V269">
        <f t="shared" si="65"/>
        <v>0.68084</v>
      </c>
      <c r="W269">
        <f t="shared" si="66"/>
        <v>1.05308</v>
      </c>
      <c r="X269">
        <f t="shared" si="67"/>
        <v>0.79701999999999995</v>
      </c>
      <c r="Y269">
        <f t="shared" si="68"/>
        <v>0.97189999999999999</v>
      </c>
      <c r="Z269">
        <f t="shared" si="69"/>
        <v>0.93737999999999999</v>
      </c>
      <c r="AA269">
        <f t="shared" si="70"/>
        <v>0.99365999999999999</v>
      </c>
      <c r="AB269">
        <f t="shared" si="71"/>
        <v>0.88282000000000005</v>
      </c>
      <c r="AC269">
        <f t="shared" si="72"/>
        <v>1.0194399999999999</v>
      </c>
      <c r="AD269">
        <f t="shared" si="73"/>
        <v>1.00532</v>
      </c>
      <c r="AE269">
        <f t="shared" si="74"/>
        <v>1.0328599999999999</v>
      </c>
      <c r="AF269">
        <f t="shared" si="75"/>
        <v>1.0562800000000001</v>
      </c>
      <c r="AG269">
        <f t="shared" si="76"/>
        <v>0.87478</v>
      </c>
      <c r="AH269">
        <f t="shared" si="77"/>
        <v>0.83384000000000003</v>
      </c>
      <c r="AI269">
        <f t="shared" si="78"/>
        <v>0.81023999999999996</v>
      </c>
      <c r="AJ269">
        <f t="shared" si="79"/>
        <v>0.89814000000000005</v>
      </c>
      <c r="EC269">
        <v>667</v>
      </c>
      <c r="ED269">
        <v>0.96338000000000001</v>
      </c>
      <c r="EE269">
        <v>0.68084</v>
      </c>
      <c r="EF269">
        <v>1.05308</v>
      </c>
      <c r="EG269">
        <v>0.79701999999999995</v>
      </c>
      <c r="EH269">
        <v>0.97189999999999999</v>
      </c>
      <c r="EI269">
        <v>0.93737999999999999</v>
      </c>
      <c r="EJ269">
        <v>0.99365999999999999</v>
      </c>
      <c r="EK269">
        <v>0.88282000000000005</v>
      </c>
      <c r="EL269">
        <v>1.0194399999999999</v>
      </c>
      <c r="EM269">
        <v>1.00532</v>
      </c>
      <c r="EN269">
        <v>1.0328599999999999</v>
      </c>
      <c r="EO269">
        <v>1.0562800000000001</v>
      </c>
      <c r="EP269">
        <v>0.87478</v>
      </c>
      <c r="EQ269">
        <v>0.83384000000000003</v>
      </c>
      <c r="ER269">
        <v>0.81023999999999996</v>
      </c>
      <c r="ES269">
        <v>0.89814000000000005</v>
      </c>
    </row>
    <row r="270" spans="1:149" x14ac:dyDescent="0.35">
      <c r="A270" s="77"/>
      <c r="B270" s="77">
        <v>668</v>
      </c>
      <c r="C270" s="77">
        <v>0.48407</v>
      </c>
      <c r="D270" s="77">
        <v>0.34206999999999999</v>
      </c>
      <c r="E270" s="77">
        <v>0.52939000000000003</v>
      </c>
      <c r="F270" s="77">
        <v>0.40061999999999998</v>
      </c>
      <c r="G270" s="77">
        <v>0.48752000000000001</v>
      </c>
      <c r="H270" s="77">
        <v>0.47028999999999999</v>
      </c>
      <c r="I270" s="77">
        <v>0.49853999999999998</v>
      </c>
      <c r="J270" s="77">
        <v>0.44267000000000001</v>
      </c>
      <c r="K270" s="77">
        <v>0.51151000000000002</v>
      </c>
      <c r="L270" s="77">
        <v>0.50436000000000003</v>
      </c>
      <c r="M270" s="77">
        <v>0.51822000000000001</v>
      </c>
      <c r="N270" s="77">
        <v>0.52998000000000001</v>
      </c>
      <c r="O270" s="77">
        <v>0.43736000000000003</v>
      </c>
      <c r="P270" s="77">
        <v>0.41696</v>
      </c>
      <c r="Q270" s="77">
        <v>0.40500999999999998</v>
      </c>
      <c r="R270" s="77">
        <v>0.44901999999999997</v>
      </c>
      <c r="T270">
        <v>668</v>
      </c>
      <c r="U270">
        <f t="shared" si="64"/>
        <v>0.96814</v>
      </c>
      <c r="V270">
        <f t="shared" si="65"/>
        <v>0.68413999999999997</v>
      </c>
      <c r="W270">
        <f t="shared" si="66"/>
        <v>1.0587800000000001</v>
      </c>
      <c r="X270">
        <f t="shared" si="67"/>
        <v>0.80123999999999995</v>
      </c>
      <c r="Y270">
        <f t="shared" si="68"/>
        <v>0.97504000000000002</v>
      </c>
      <c r="Z270">
        <f t="shared" si="69"/>
        <v>0.94057999999999997</v>
      </c>
      <c r="AA270">
        <f t="shared" si="70"/>
        <v>0.99707999999999997</v>
      </c>
      <c r="AB270">
        <f t="shared" si="71"/>
        <v>0.88534000000000002</v>
      </c>
      <c r="AC270">
        <f t="shared" si="72"/>
        <v>1.02302</v>
      </c>
      <c r="AD270">
        <f t="shared" si="73"/>
        <v>1.0087200000000001</v>
      </c>
      <c r="AE270">
        <f t="shared" si="74"/>
        <v>1.03644</v>
      </c>
      <c r="AF270">
        <f t="shared" si="75"/>
        <v>1.05996</v>
      </c>
      <c r="AG270">
        <f t="shared" si="76"/>
        <v>0.87472000000000005</v>
      </c>
      <c r="AH270">
        <f t="shared" si="77"/>
        <v>0.83391999999999999</v>
      </c>
      <c r="AI270">
        <f t="shared" si="78"/>
        <v>0.81001999999999996</v>
      </c>
      <c r="AJ270">
        <f t="shared" si="79"/>
        <v>0.89803999999999995</v>
      </c>
      <c r="EC270">
        <v>668</v>
      </c>
      <c r="ED270">
        <v>0.96814</v>
      </c>
      <c r="EE270">
        <v>0.68413999999999997</v>
      </c>
      <c r="EF270">
        <v>1.0587800000000001</v>
      </c>
      <c r="EG270">
        <v>0.80123999999999995</v>
      </c>
      <c r="EH270">
        <v>0.97504000000000002</v>
      </c>
      <c r="EI270">
        <v>0.94057999999999997</v>
      </c>
      <c r="EJ270">
        <v>0.99707999999999997</v>
      </c>
      <c r="EK270">
        <v>0.88534000000000002</v>
      </c>
      <c r="EL270">
        <v>1.02302</v>
      </c>
      <c r="EM270">
        <v>1.0087200000000001</v>
      </c>
      <c r="EN270">
        <v>1.03644</v>
      </c>
      <c r="EO270">
        <v>1.05996</v>
      </c>
      <c r="EP270">
        <v>0.87472000000000005</v>
      </c>
      <c r="EQ270">
        <v>0.83391999999999999</v>
      </c>
      <c r="ER270">
        <v>0.81001999999999996</v>
      </c>
      <c r="ES270">
        <v>0.89803999999999995</v>
      </c>
    </row>
    <row r="271" spans="1:149" x14ac:dyDescent="0.35">
      <c r="A271" s="77"/>
      <c r="B271" s="77">
        <v>669</v>
      </c>
      <c r="C271" s="77">
        <v>0.48671999999999999</v>
      </c>
      <c r="D271" s="77">
        <v>0.34395999999999999</v>
      </c>
      <c r="E271" s="77">
        <v>0.53247</v>
      </c>
      <c r="F271" s="77">
        <v>0.40301999999999999</v>
      </c>
      <c r="G271" s="77">
        <v>0.48916999999999999</v>
      </c>
      <c r="H271" s="77">
        <v>0.47194999999999998</v>
      </c>
      <c r="I271" s="77">
        <v>0.50022999999999995</v>
      </c>
      <c r="J271" s="77">
        <v>0.44406000000000001</v>
      </c>
      <c r="K271" s="77">
        <v>0.51337999999999995</v>
      </c>
      <c r="L271" s="77">
        <v>0.50612999999999997</v>
      </c>
      <c r="M271" s="77">
        <v>0.52010999999999996</v>
      </c>
      <c r="N271" s="77">
        <v>0.53200999999999998</v>
      </c>
      <c r="O271" s="77">
        <v>0.43744</v>
      </c>
      <c r="P271" s="77">
        <v>0.41689999999999999</v>
      </c>
      <c r="Q271" s="77">
        <v>0.40498000000000001</v>
      </c>
      <c r="R271" s="77">
        <v>0.44907000000000002</v>
      </c>
      <c r="T271">
        <v>669</v>
      </c>
      <c r="U271">
        <f t="shared" si="64"/>
        <v>0.97343999999999997</v>
      </c>
      <c r="V271">
        <f t="shared" si="65"/>
        <v>0.68791999999999998</v>
      </c>
      <c r="W271">
        <f t="shared" si="66"/>
        <v>1.06494</v>
      </c>
      <c r="X271">
        <f t="shared" si="67"/>
        <v>0.80603999999999998</v>
      </c>
      <c r="Y271">
        <f t="shared" si="68"/>
        <v>0.97833999999999999</v>
      </c>
      <c r="Z271">
        <f t="shared" si="69"/>
        <v>0.94389999999999996</v>
      </c>
      <c r="AA271">
        <f t="shared" si="70"/>
        <v>1.0004599999999999</v>
      </c>
      <c r="AB271">
        <f t="shared" si="71"/>
        <v>0.88812000000000002</v>
      </c>
      <c r="AC271">
        <f t="shared" si="72"/>
        <v>1.0267599999999999</v>
      </c>
      <c r="AD271">
        <f t="shared" si="73"/>
        <v>1.0122599999999999</v>
      </c>
      <c r="AE271">
        <f t="shared" si="74"/>
        <v>1.0402199999999999</v>
      </c>
      <c r="AF271">
        <f t="shared" si="75"/>
        <v>1.06402</v>
      </c>
      <c r="AG271">
        <f t="shared" si="76"/>
        <v>0.87487999999999999</v>
      </c>
      <c r="AH271">
        <f t="shared" si="77"/>
        <v>0.83379999999999999</v>
      </c>
      <c r="AI271">
        <f t="shared" si="78"/>
        <v>0.80996000000000001</v>
      </c>
      <c r="AJ271">
        <f t="shared" si="79"/>
        <v>0.89814000000000005</v>
      </c>
      <c r="EC271">
        <v>669</v>
      </c>
      <c r="ED271">
        <v>0.97343999999999997</v>
      </c>
      <c r="EE271">
        <v>0.68791999999999998</v>
      </c>
      <c r="EF271">
        <v>1.06494</v>
      </c>
      <c r="EG271">
        <v>0.80603999999999998</v>
      </c>
      <c r="EH271">
        <v>0.97833999999999999</v>
      </c>
      <c r="EI271">
        <v>0.94389999999999996</v>
      </c>
      <c r="EJ271">
        <v>1.0004599999999999</v>
      </c>
      <c r="EK271">
        <v>0.88812000000000002</v>
      </c>
      <c r="EL271">
        <v>1.0267599999999999</v>
      </c>
      <c r="EM271">
        <v>1.0122599999999999</v>
      </c>
      <c r="EN271">
        <v>1.0402199999999999</v>
      </c>
      <c r="EO271">
        <v>1.06402</v>
      </c>
      <c r="EP271">
        <v>0.87487999999999999</v>
      </c>
      <c r="EQ271">
        <v>0.83379999999999999</v>
      </c>
      <c r="ER271">
        <v>0.80996000000000001</v>
      </c>
      <c r="ES271">
        <v>0.89814000000000005</v>
      </c>
    </row>
    <row r="272" spans="1:149" x14ac:dyDescent="0.35">
      <c r="A272" s="77"/>
      <c r="B272" s="77">
        <v>670</v>
      </c>
      <c r="C272" s="77">
        <v>0.48958000000000002</v>
      </c>
      <c r="D272" s="77">
        <v>0.34581000000000001</v>
      </c>
      <c r="E272" s="77">
        <v>0.53576999999999997</v>
      </c>
      <c r="F272" s="77">
        <v>0.40543000000000001</v>
      </c>
      <c r="G272" s="77">
        <v>0.49091000000000001</v>
      </c>
      <c r="H272" s="77">
        <v>0.47377000000000002</v>
      </c>
      <c r="I272" s="77">
        <v>0.50204000000000004</v>
      </c>
      <c r="J272" s="77">
        <v>0.44547999999999999</v>
      </c>
      <c r="K272" s="77">
        <v>0.51529000000000003</v>
      </c>
      <c r="L272" s="77">
        <v>0.50790000000000002</v>
      </c>
      <c r="M272" s="77">
        <v>0.52202999999999999</v>
      </c>
      <c r="N272" s="77">
        <v>0.53407000000000004</v>
      </c>
      <c r="O272" s="77">
        <v>0.43754999999999999</v>
      </c>
      <c r="P272" s="77">
        <v>0.41694999999999999</v>
      </c>
      <c r="Q272" s="77">
        <v>0.40508</v>
      </c>
      <c r="R272" s="77">
        <v>0.44913999999999998</v>
      </c>
      <c r="T272">
        <v>670</v>
      </c>
      <c r="U272">
        <f t="shared" si="64"/>
        <v>0.97916000000000003</v>
      </c>
      <c r="V272">
        <f t="shared" si="65"/>
        <v>0.69162000000000001</v>
      </c>
      <c r="W272">
        <f t="shared" si="66"/>
        <v>1.0715399999999999</v>
      </c>
      <c r="X272">
        <f t="shared" si="67"/>
        <v>0.81086000000000003</v>
      </c>
      <c r="Y272">
        <f t="shared" si="68"/>
        <v>0.98182000000000003</v>
      </c>
      <c r="Z272">
        <f t="shared" si="69"/>
        <v>0.94754000000000005</v>
      </c>
      <c r="AA272">
        <f t="shared" si="70"/>
        <v>1.0040800000000001</v>
      </c>
      <c r="AB272">
        <f t="shared" si="71"/>
        <v>0.89095999999999997</v>
      </c>
      <c r="AC272">
        <f t="shared" si="72"/>
        <v>1.0305800000000001</v>
      </c>
      <c r="AD272">
        <f t="shared" si="73"/>
        <v>1.0158</v>
      </c>
      <c r="AE272">
        <f t="shared" si="74"/>
        <v>1.04406</v>
      </c>
      <c r="AF272">
        <f t="shared" si="75"/>
        <v>1.0681400000000001</v>
      </c>
      <c r="AG272">
        <f t="shared" si="76"/>
        <v>0.87509999999999999</v>
      </c>
      <c r="AH272">
        <f t="shared" si="77"/>
        <v>0.83389999999999997</v>
      </c>
      <c r="AI272">
        <f t="shared" si="78"/>
        <v>0.81015999999999999</v>
      </c>
      <c r="AJ272">
        <f t="shared" si="79"/>
        <v>0.89827999999999997</v>
      </c>
      <c r="EC272">
        <v>670</v>
      </c>
      <c r="ED272">
        <v>0.97916000000000003</v>
      </c>
      <c r="EE272">
        <v>0.69162000000000001</v>
      </c>
      <c r="EF272">
        <v>1.0715399999999999</v>
      </c>
      <c r="EG272">
        <v>0.81086000000000003</v>
      </c>
      <c r="EH272">
        <v>0.98182000000000003</v>
      </c>
      <c r="EI272">
        <v>0.94754000000000005</v>
      </c>
      <c r="EJ272">
        <v>1.0040800000000001</v>
      </c>
      <c r="EK272">
        <v>0.89095999999999997</v>
      </c>
      <c r="EL272">
        <v>1.0305800000000001</v>
      </c>
      <c r="EM272">
        <v>1.0158</v>
      </c>
      <c r="EN272">
        <v>1.04406</v>
      </c>
      <c r="EO272">
        <v>1.0681400000000001</v>
      </c>
      <c r="EP272">
        <v>0.87509999999999999</v>
      </c>
      <c r="EQ272">
        <v>0.83389999999999997</v>
      </c>
      <c r="ER272">
        <v>0.81015999999999999</v>
      </c>
      <c r="ES272">
        <v>0.89827999999999997</v>
      </c>
    </row>
    <row r="273" spans="1:149" x14ac:dyDescent="0.35">
      <c r="A273" s="77"/>
      <c r="B273" s="77">
        <v>671</v>
      </c>
      <c r="C273" s="77">
        <v>0.49242999999999998</v>
      </c>
      <c r="D273" s="77">
        <v>0.34777999999999998</v>
      </c>
      <c r="E273" s="77">
        <v>0.53905000000000003</v>
      </c>
      <c r="F273" s="77">
        <v>0.40793000000000001</v>
      </c>
      <c r="G273" s="77">
        <v>0.49258000000000002</v>
      </c>
      <c r="H273" s="77">
        <v>0.47552</v>
      </c>
      <c r="I273" s="77">
        <v>0.50390999999999997</v>
      </c>
      <c r="J273" s="77">
        <v>0.44688</v>
      </c>
      <c r="K273" s="77">
        <v>0.51729999999999998</v>
      </c>
      <c r="L273" s="77">
        <v>0.50973999999999997</v>
      </c>
      <c r="M273" s="77">
        <v>0.52402000000000004</v>
      </c>
      <c r="N273" s="77">
        <v>0.53613</v>
      </c>
      <c r="O273" s="77">
        <v>0.43764999999999998</v>
      </c>
      <c r="P273" s="77">
        <v>0.41700999999999999</v>
      </c>
      <c r="Q273" s="77">
        <v>0.40511999999999998</v>
      </c>
      <c r="R273" s="77">
        <v>0.44923000000000002</v>
      </c>
      <c r="T273">
        <v>671</v>
      </c>
      <c r="U273">
        <f t="shared" si="64"/>
        <v>0.98485999999999996</v>
      </c>
      <c r="V273">
        <f t="shared" si="65"/>
        <v>0.69555999999999996</v>
      </c>
      <c r="W273">
        <f t="shared" si="66"/>
        <v>1.0781000000000001</v>
      </c>
      <c r="X273">
        <f t="shared" si="67"/>
        <v>0.81586000000000003</v>
      </c>
      <c r="Y273">
        <f t="shared" si="68"/>
        <v>0.98516000000000004</v>
      </c>
      <c r="Z273">
        <f t="shared" si="69"/>
        <v>0.95104</v>
      </c>
      <c r="AA273">
        <f t="shared" si="70"/>
        <v>1.0078199999999999</v>
      </c>
      <c r="AB273">
        <f t="shared" si="71"/>
        <v>0.89376</v>
      </c>
      <c r="AC273">
        <f t="shared" si="72"/>
        <v>1.0346</v>
      </c>
      <c r="AD273">
        <f t="shared" si="73"/>
        <v>1.0194799999999999</v>
      </c>
      <c r="AE273">
        <f t="shared" si="74"/>
        <v>1.0480400000000001</v>
      </c>
      <c r="AF273">
        <f t="shared" si="75"/>
        <v>1.07226</v>
      </c>
      <c r="AG273">
        <f t="shared" si="76"/>
        <v>0.87529999999999997</v>
      </c>
      <c r="AH273">
        <f t="shared" si="77"/>
        <v>0.83401999999999998</v>
      </c>
      <c r="AI273">
        <f t="shared" si="78"/>
        <v>0.81023999999999996</v>
      </c>
      <c r="AJ273">
        <f t="shared" si="79"/>
        <v>0.89846000000000004</v>
      </c>
      <c r="EC273">
        <v>671</v>
      </c>
      <c r="ED273">
        <v>0.98485999999999996</v>
      </c>
      <c r="EE273">
        <v>0.69555999999999996</v>
      </c>
      <c r="EF273">
        <v>1.0781000000000001</v>
      </c>
      <c r="EG273">
        <v>0.81586000000000003</v>
      </c>
      <c r="EH273">
        <v>0.98516000000000004</v>
      </c>
      <c r="EI273">
        <v>0.95104</v>
      </c>
      <c r="EJ273">
        <v>1.0078199999999999</v>
      </c>
      <c r="EK273">
        <v>0.89376</v>
      </c>
      <c r="EL273">
        <v>1.0346</v>
      </c>
      <c r="EM273">
        <v>1.0194799999999999</v>
      </c>
      <c r="EN273">
        <v>1.0480400000000001</v>
      </c>
      <c r="EO273">
        <v>1.07226</v>
      </c>
      <c r="EP273">
        <v>0.87529999999999997</v>
      </c>
      <c r="EQ273">
        <v>0.83401999999999998</v>
      </c>
      <c r="ER273">
        <v>0.81023999999999996</v>
      </c>
      <c r="ES273">
        <v>0.89846000000000004</v>
      </c>
    </row>
    <row r="274" spans="1:149" x14ac:dyDescent="0.35">
      <c r="A274" s="77"/>
      <c r="B274" s="77">
        <v>672</v>
      </c>
      <c r="C274" s="77">
        <v>0.49519000000000002</v>
      </c>
      <c r="D274" s="77">
        <v>0.34972999999999999</v>
      </c>
      <c r="E274" s="77">
        <v>0.54227999999999998</v>
      </c>
      <c r="F274" s="77">
        <v>0.41033999999999998</v>
      </c>
      <c r="G274" s="77">
        <v>0.49429000000000001</v>
      </c>
      <c r="H274" s="77">
        <v>0.47733999999999999</v>
      </c>
      <c r="I274" s="77">
        <v>0.50571999999999995</v>
      </c>
      <c r="J274" s="77">
        <v>0.44829999999999998</v>
      </c>
      <c r="K274" s="77">
        <v>0.51926000000000005</v>
      </c>
      <c r="L274" s="77">
        <v>0.51163000000000003</v>
      </c>
      <c r="M274" s="77">
        <v>0.52593999999999996</v>
      </c>
      <c r="N274" s="77">
        <v>0.53803999999999996</v>
      </c>
      <c r="O274" s="77">
        <v>0.43774000000000002</v>
      </c>
      <c r="P274" s="77">
        <v>0.41702</v>
      </c>
      <c r="Q274" s="77">
        <v>0.40509000000000001</v>
      </c>
      <c r="R274" s="77">
        <v>0.44940000000000002</v>
      </c>
      <c r="T274">
        <v>672</v>
      </c>
      <c r="U274">
        <f t="shared" si="64"/>
        <v>0.99038000000000004</v>
      </c>
      <c r="V274">
        <f t="shared" si="65"/>
        <v>0.69945999999999997</v>
      </c>
      <c r="W274">
        <f t="shared" si="66"/>
        <v>1.08456</v>
      </c>
      <c r="X274">
        <f t="shared" si="67"/>
        <v>0.82067999999999997</v>
      </c>
      <c r="Y274">
        <f t="shared" si="68"/>
        <v>0.98858000000000001</v>
      </c>
      <c r="Z274">
        <f t="shared" si="69"/>
        <v>0.95467999999999997</v>
      </c>
      <c r="AA274">
        <f t="shared" si="70"/>
        <v>1.0114399999999999</v>
      </c>
      <c r="AB274">
        <f t="shared" si="71"/>
        <v>0.89659999999999995</v>
      </c>
      <c r="AC274">
        <f t="shared" si="72"/>
        <v>1.0385200000000001</v>
      </c>
      <c r="AD274">
        <f t="shared" si="73"/>
        <v>1.0232600000000001</v>
      </c>
      <c r="AE274">
        <f t="shared" si="74"/>
        <v>1.0518799999999999</v>
      </c>
      <c r="AF274">
        <f t="shared" si="75"/>
        <v>1.0760799999999999</v>
      </c>
      <c r="AG274">
        <f t="shared" si="76"/>
        <v>0.87548000000000004</v>
      </c>
      <c r="AH274">
        <f t="shared" si="77"/>
        <v>0.83404</v>
      </c>
      <c r="AI274">
        <f t="shared" si="78"/>
        <v>0.81018000000000001</v>
      </c>
      <c r="AJ274">
        <f t="shared" si="79"/>
        <v>0.89880000000000004</v>
      </c>
      <c r="EC274">
        <v>672</v>
      </c>
      <c r="ED274">
        <v>0.99038000000000004</v>
      </c>
      <c r="EE274">
        <v>0.69945999999999997</v>
      </c>
      <c r="EF274">
        <v>1.08456</v>
      </c>
      <c r="EG274">
        <v>0.82067999999999997</v>
      </c>
      <c r="EH274">
        <v>0.98858000000000001</v>
      </c>
      <c r="EI274">
        <v>0.95467999999999997</v>
      </c>
      <c r="EJ274">
        <v>1.0114399999999999</v>
      </c>
      <c r="EK274">
        <v>0.89659999999999995</v>
      </c>
      <c r="EL274">
        <v>1.0385200000000001</v>
      </c>
      <c r="EM274">
        <v>1.0232600000000001</v>
      </c>
      <c r="EN274">
        <v>1.0518799999999999</v>
      </c>
      <c r="EO274">
        <v>1.0760799999999999</v>
      </c>
      <c r="EP274">
        <v>0.87548000000000004</v>
      </c>
      <c r="EQ274">
        <v>0.83404</v>
      </c>
      <c r="ER274">
        <v>0.81018000000000001</v>
      </c>
      <c r="ES274">
        <v>0.89880000000000004</v>
      </c>
    </row>
    <row r="275" spans="1:149" x14ac:dyDescent="0.35">
      <c r="A275" s="77"/>
      <c r="B275" s="77">
        <v>673</v>
      </c>
      <c r="C275" s="77">
        <v>0.49791000000000002</v>
      </c>
      <c r="D275" s="77">
        <v>0.35160999999999998</v>
      </c>
      <c r="E275" s="77">
        <v>0.54535</v>
      </c>
      <c r="F275" s="77">
        <v>0.41269</v>
      </c>
      <c r="G275" s="77">
        <v>0.49582999999999999</v>
      </c>
      <c r="H275" s="77">
        <v>0.47897000000000001</v>
      </c>
      <c r="I275" s="77">
        <v>0.50744999999999996</v>
      </c>
      <c r="J275" s="77">
        <v>0.4496</v>
      </c>
      <c r="K275" s="77">
        <v>0.52112000000000003</v>
      </c>
      <c r="L275" s="77">
        <v>0.51334999999999997</v>
      </c>
      <c r="M275" s="77">
        <v>0.52776999999999996</v>
      </c>
      <c r="N275" s="77">
        <v>0.54000999999999999</v>
      </c>
      <c r="O275" s="77">
        <v>0.43790000000000001</v>
      </c>
      <c r="P275" s="77">
        <v>0.41710000000000003</v>
      </c>
      <c r="Q275" s="77">
        <v>0.40514</v>
      </c>
      <c r="R275" s="77">
        <v>0.44945000000000002</v>
      </c>
      <c r="T275">
        <v>673</v>
      </c>
      <c r="U275">
        <f t="shared" si="64"/>
        <v>0.99582000000000004</v>
      </c>
      <c r="V275">
        <f t="shared" si="65"/>
        <v>0.70321999999999996</v>
      </c>
      <c r="W275">
        <f t="shared" si="66"/>
        <v>1.0907</v>
      </c>
      <c r="X275">
        <f t="shared" si="67"/>
        <v>0.82538</v>
      </c>
      <c r="Y275">
        <f t="shared" si="68"/>
        <v>0.99165999999999999</v>
      </c>
      <c r="Z275">
        <f t="shared" si="69"/>
        <v>0.95794000000000001</v>
      </c>
      <c r="AA275">
        <f t="shared" si="70"/>
        <v>1.0148999999999999</v>
      </c>
      <c r="AB275">
        <f t="shared" si="71"/>
        <v>0.8992</v>
      </c>
      <c r="AC275">
        <f t="shared" si="72"/>
        <v>1.0422400000000001</v>
      </c>
      <c r="AD275">
        <f t="shared" si="73"/>
        <v>1.0266999999999999</v>
      </c>
      <c r="AE275">
        <f t="shared" si="74"/>
        <v>1.0555399999999999</v>
      </c>
      <c r="AF275">
        <f t="shared" si="75"/>
        <v>1.08002</v>
      </c>
      <c r="AG275">
        <f t="shared" si="76"/>
        <v>0.87580000000000002</v>
      </c>
      <c r="AH275">
        <f t="shared" si="77"/>
        <v>0.83420000000000005</v>
      </c>
      <c r="AI275">
        <f t="shared" si="78"/>
        <v>0.81028</v>
      </c>
      <c r="AJ275">
        <f t="shared" si="79"/>
        <v>0.89890000000000003</v>
      </c>
      <c r="EC275">
        <v>673</v>
      </c>
      <c r="ED275">
        <v>0.99582000000000004</v>
      </c>
      <c r="EE275">
        <v>0.70321999999999996</v>
      </c>
      <c r="EF275">
        <v>1.0907</v>
      </c>
      <c r="EG275">
        <v>0.82538</v>
      </c>
      <c r="EH275">
        <v>0.99165999999999999</v>
      </c>
      <c r="EI275">
        <v>0.95794000000000001</v>
      </c>
      <c r="EJ275">
        <v>1.0148999999999999</v>
      </c>
      <c r="EK275">
        <v>0.8992</v>
      </c>
      <c r="EL275">
        <v>1.0422400000000001</v>
      </c>
      <c r="EM275">
        <v>1.0266999999999999</v>
      </c>
      <c r="EN275">
        <v>1.0555399999999999</v>
      </c>
      <c r="EO275">
        <v>1.08002</v>
      </c>
      <c r="EP275">
        <v>0.87580000000000002</v>
      </c>
      <c r="EQ275">
        <v>0.83420000000000005</v>
      </c>
      <c r="ER275">
        <v>0.81028</v>
      </c>
      <c r="ES275">
        <v>0.89890000000000003</v>
      </c>
    </row>
    <row r="276" spans="1:149" x14ac:dyDescent="0.35">
      <c r="A276" s="77"/>
      <c r="B276" s="77">
        <v>674</v>
      </c>
      <c r="C276" s="77">
        <v>0.50058000000000002</v>
      </c>
      <c r="D276" s="77">
        <v>0.35344999999999999</v>
      </c>
      <c r="E276" s="77">
        <v>0.54842999999999997</v>
      </c>
      <c r="F276" s="77">
        <v>0.41504000000000002</v>
      </c>
      <c r="G276" s="77">
        <v>0.49736000000000002</v>
      </c>
      <c r="H276" s="77">
        <v>0.48060999999999998</v>
      </c>
      <c r="I276" s="77">
        <v>0.50909000000000004</v>
      </c>
      <c r="J276" s="77">
        <v>0.45088</v>
      </c>
      <c r="K276" s="77">
        <v>0.52286999999999995</v>
      </c>
      <c r="L276" s="77">
        <v>0.51497999999999999</v>
      </c>
      <c r="M276" s="77">
        <v>0.52947999999999995</v>
      </c>
      <c r="N276" s="77">
        <v>0.54185000000000005</v>
      </c>
      <c r="O276" s="77">
        <v>0.43797000000000003</v>
      </c>
      <c r="P276" s="77">
        <v>0.41707</v>
      </c>
      <c r="Q276" s="77">
        <v>0.40521000000000001</v>
      </c>
      <c r="R276" s="77">
        <v>0.44951000000000002</v>
      </c>
      <c r="T276">
        <v>674</v>
      </c>
      <c r="U276">
        <f t="shared" si="64"/>
        <v>1.00116</v>
      </c>
      <c r="V276">
        <f t="shared" si="65"/>
        <v>0.70689999999999997</v>
      </c>
      <c r="W276">
        <f t="shared" si="66"/>
        <v>1.0968599999999999</v>
      </c>
      <c r="X276">
        <f t="shared" si="67"/>
        <v>0.83008000000000004</v>
      </c>
      <c r="Y276">
        <f t="shared" si="68"/>
        <v>0.99472000000000005</v>
      </c>
      <c r="Z276">
        <f t="shared" si="69"/>
        <v>0.96121999999999996</v>
      </c>
      <c r="AA276">
        <f t="shared" si="70"/>
        <v>1.0181800000000001</v>
      </c>
      <c r="AB276">
        <f t="shared" si="71"/>
        <v>0.90176000000000001</v>
      </c>
      <c r="AC276">
        <f t="shared" si="72"/>
        <v>1.0457399999999999</v>
      </c>
      <c r="AD276">
        <f t="shared" si="73"/>
        <v>1.02996</v>
      </c>
      <c r="AE276">
        <f t="shared" si="74"/>
        <v>1.0589599999999999</v>
      </c>
      <c r="AF276">
        <f t="shared" si="75"/>
        <v>1.0837000000000001</v>
      </c>
      <c r="AG276">
        <f t="shared" si="76"/>
        <v>0.87594000000000005</v>
      </c>
      <c r="AH276">
        <f t="shared" si="77"/>
        <v>0.83413999999999999</v>
      </c>
      <c r="AI276">
        <f t="shared" si="78"/>
        <v>0.81042000000000003</v>
      </c>
      <c r="AJ276">
        <f t="shared" si="79"/>
        <v>0.89902000000000004</v>
      </c>
      <c r="EC276">
        <v>674</v>
      </c>
      <c r="ED276">
        <v>1.00116</v>
      </c>
      <c r="EE276">
        <v>0.70689999999999997</v>
      </c>
      <c r="EF276">
        <v>1.0968599999999999</v>
      </c>
      <c r="EG276">
        <v>0.83008000000000004</v>
      </c>
      <c r="EH276">
        <v>0.99472000000000005</v>
      </c>
      <c r="EI276">
        <v>0.96121999999999996</v>
      </c>
      <c r="EJ276">
        <v>1.0181800000000001</v>
      </c>
      <c r="EK276">
        <v>0.90176000000000001</v>
      </c>
      <c r="EL276">
        <v>1.0457399999999999</v>
      </c>
      <c r="EM276">
        <v>1.02996</v>
      </c>
      <c r="EN276">
        <v>1.0589599999999999</v>
      </c>
      <c r="EO276">
        <v>1.0837000000000001</v>
      </c>
      <c r="EP276">
        <v>0.87594000000000005</v>
      </c>
      <c r="EQ276">
        <v>0.83413999999999999</v>
      </c>
      <c r="ER276">
        <v>0.81042000000000003</v>
      </c>
      <c r="ES276">
        <v>0.89902000000000004</v>
      </c>
    </row>
    <row r="277" spans="1:149" x14ac:dyDescent="0.35">
      <c r="A277" s="77"/>
      <c r="B277" s="77">
        <v>675</v>
      </c>
      <c r="C277" s="77">
        <v>0.50334000000000001</v>
      </c>
      <c r="D277" s="77">
        <v>0.35532000000000002</v>
      </c>
      <c r="E277" s="77">
        <v>0.55147000000000002</v>
      </c>
      <c r="F277" s="77">
        <v>0.41738999999999998</v>
      </c>
      <c r="G277" s="77">
        <v>0.49884000000000001</v>
      </c>
      <c r="H277" s="77">
        <v>0.48224</v>
      </c>
      <c r="I277" s="77">
        <v>0.51068000000000002</v>
      </c>
      <c r="J277" s="77">
        <v>0.45208999999999999</v>
      </c>
      <c r="K277" s="77">
        <v>0.52459999999999996</v>
      </c>
      <c r="L277" s="77">
        <v>0.51654</v>
      </c>
      <c r="M277" s="77">
        <v>0.53115999999999997</v>
      </c>
      <c r="N277" s="77">
        <v>0.54371999999999998</v>
      </c>
      <c r="O277" s="77">
        <v>0.43806</v>
      </c>
      <c r="P277" s="77">
        <v>0.41708000000000001</v>
      </c>
      <c r="Q277" s="77">
        <v>0.40522999999999998</v>
      </c>
      <c r="R277" s="77">
        <v>0.44957000000000003</v>
      </c>
      <c r="T277">
        <v>675</v>
      </c>
      <c r="U277">
        <f t="shared" si="64"/>
        <v>1.00668</v>
      </c>
      <c r="V277">
        <f t="shared" si="65"/>
        <v>0.71064000000000005</v>
      </c>
      <c r="W277">
        <f t="shared" si="66"/>
        <v>1.10294</v>
      </c>
      <c r="X277">
        <f t="shared" si="67"/>
        <v>0.83477999999999997</v>
      </c>
      <c r="Y277">
        <f t="shared" si="68"/>
        <v>0.99768000000000001</v>
      </c>
      <c r="Z277">
        <f t="shared" si="69"/>
        <v>0.96448</v>
      </c>
      <c r="AA277">
        <f t="shared" si="70"/>
        <v>1.02136</v>
      </c>
      <c r="AB277">
        <f t="shared" si="71"/>
        <v>0.90417999999999998</v>
      </c>
      <c r="AC277">
        <f t="shared" si="72"/>
        <v>1.0491999999999999</v>
      </c>
      <c r="AD277">
        <f t="shared" si="73"/>
        <v>1.03308</v>
      </c>
      <c r="AE277">
        <f t="shared" si="74"/>
        <v>1.0623199999999999</v>
      </c>
      <c r="AF277">
        <f t="shared" si="75"/>
        <v>1.08744</v>
      </c>
      <c r="AG277">
        <f t="shared" si="76"/>
        <v>0.87612000000000001</v>
      </c>
      <c r="AH277">
        <f t="shared" si="77"/>
        <v>0.83416000000000001</v>
      </c>
      <c r="AI277">
        <f t="shared" si="78"/>
        <v>0.81045999999999996</v>
      </c>
      <c r="AJ277">
        <f t="shared" si="79"/>
        <v>0.89914000000000005</v>
      </c>
      <c r="EC277">
        <v>675</v>
      </c>
      <c r="ED277">
        <v>1.00668</v>
      </c>
      <c r="EE277">
        <v>0.71064000000000005</v>
      </c>
      <c r="EF277">
        <v>1.10294</v>
      </c>
      <c r="EG277">
        <v>0.83477999999999997</v>
      </c>
      <c r="EH277">
        <v>0.99768000000000001</v>
      </c>
      <c r="EI277">
        <v>0.96448</v>
      </c>
      <c r="EJ277">
        <v>1.02136</v>
      </c>
      <c r="EK277">
        <v>0.90417999999999998</v>
      </c>
      <c r="EL277">
        <v>1.0491999999999999</v>
      </c>
      <c r="EM277">
        <v>1.03308</v>
      </c>
      <c r="EN277">
        <v>1.0623199999999999</v>
      </c>
      <c r="EO277">
        <v>1.08744</v>
      </c>
      <c r="EP277">
        <v>0.87612000000000001</v>
      </c>
      <c r="EQ277">
        <v>0.83416000000000001</v>
      </c>
      <c r="ER277">
        <v>0.81045999999999996</v>
      </c>
      <c r="ES277">
        <v>0.89914000000000005</v>
      </c>
    </row>
    <row r="278" spans="1:149" x14ac:dyDescent="0.35">
      <c r="A278" s="77"/>
      <c r="B278" s="77">
        <v>676</v>
      </c>
      <c r="C278" s="77">
        <v>0.50629000000000002</v>
      </c>
      <c r="D278" s="77">
        <v>0.35735</v>
      </c>
      <c r="E278" s="77">
        <v>0.55481000000000003</v>
      </c>
      <c r="F278" s="77">
        <v>0.41994999999999999</v>
      </c>
      <c r="G278" s="77">
        <v>0.50043000000000004</v>
      </c>
      <c r="H278" s="77">
        <v>0.48386000000000001</v>
      </c>
      <c r="I278" s="77">
        <v>0.51249999999999996</v>
      </c>
      <c r="J278" s="77">
        <v>0.45345000000000002</v>
      </c>
      <c r="K278" s="77">
        <v>0.52654000000000001</v>
      </c>
      <c r="L278" s="77">
        <v>0.51829999999999998</v>
      </c>
      <c r="M278" s="77">
        <v>0.53293999999999997</v>
      </c>
      <c r="N278" s="77">
        <v>0.54556000000000004</v>
      </c>
      <c r="O278" s="77">
        <v>0.43819000000000002</v>
      </c>
      <c r="P278" s="77">
        <v>0.41710999999999998</v>
      </c>
      <c r="Q278" s="77">
        <v>0.40534999999999999</v>
      </c>
      <c r="R278" s="77">
        <v>0.44968000000000002</v>
      </c>
      <c r="T278">
        <v>676</v>
      </c>
      <c r="U278">
        <f t="shared" si="64"/>
        <v>1.01258</v>
      </c>
      <c r="V278">
        <f t="shared" si="65"/>
        <v>0.7147</v>
      </c>
      <c r="W278">
        <f t="shared" si="66"/>
        <v>1.1096200000000001</v>
      </c>
      <c r="X278">
        <f t="shared" si="67"/>
        <v>0.83989999999999998</v>
      </c>
      <c r="Y278">
        <f t="shared" si="68"/>
        <v>1.0008600000000001</v>
      </c>
      <c r="Z278">
        <f t="shared" si="69"/>
        <v>0.96772000000000002</v>
      </c>
      <c r="AA278">
        <f t="shared" si="70"/>
        <v>1.0249999999999999</v>
      </c>
      <c r="AB278">
        <f t="shared" si="71"/>
        <v>0.90690000000000004</v>
      </c>
      <c r="AC278">
        <f t="shared" si="72"/>
        <v>1.05308</v>
      </c>
      <c r="AD278">
        <f t="shared" si="73"/>
        <v>1.0366</v>
      </c>
      <c r="AE278">
        <f t="shared" si="74"/>
        <v>1.0658799999999999</v>
      </c>
      <c r="AF278">
        <f t="shared" si="75"/>
        <v>1.0911200000000001</v>
      </c>
      <c r="AG278">
        <f t="shared" si="76"/>
        <v>0.87638000000000005</v>
      </c>
      <c r="AH278">
        <f t="shared" si="77"/>
        <v>0.83421999999999996</v>
      </c>
      <c r="AI278">
        <f t="shared" si="78"/>
        <v>0.81069999999999998</v>
      </c>
      <c r="AJ278">
        <f t="shared" si="79"/>
        <v>0.89936000000000005</v>
      </c>
      <c r="EC278">
        <v>676</v>
      </c>
      <c r="ED278">
        <v>1.01258</v>
      </c>
      <c r="EE278">
        <v>0.7147</v>
      </c>
      <c r="EF278">
        <v>1.1096200000000001</v>
      </c>
      <c r="EG278">
        <v>0.83989999999999998</v>
      </c>
      <c r="EH278">
        <v>1.0008600000000001</v>
      </c>
      <c r="EI278">
        <v>0.96772000000000002</v>
      </c>
      <c r="EJ278">
        <v>1.0249999999999999</v>
      </c>
      <c r="EK278">
        <v>0.90690000000000004</v>
      </c>
      <c r="EL278">
        <v>1.05308</v>
      </c>
      <c r="EM278">
        <v>1.0366</v>
      </c>
      <c r="EN278">
        <v>1.0658799999999999</v>
      </c>
      <c r="EO278">
        <v>1.0911200000000001</v>
      </c>
      <c r="EP278">
        <v>0.87638000000000005</v>
      </c>
      <c r="EQ278">
        <v>0.83421999999999996</v>
      </c>
      <c r="ER278">
        <v>0.81069999999999998</v>
      </c>
      <c r="ES278">
        <v>0.89936000000000005</v>
      </c>
    </row>
    <row r="279" spans="1:149" x14ac:dyDescent="0.35">
      <c r="A279" s="77"/>
      <c r="B279" s="77">
        <v>677</v>
      </c>
      <c r="C279" s="77">
        <v>0.50926000000000005</v>
      </c>
      <c r="D279" s="77">
        <v>0.35941000000000001</v>
      </c>
      <c r="E279" s="77">
        <v>0.55823999999999996</v>
      </c>
      <c r="F279" s="77">
        <v>0.42253000000000002</v>
      </c>
      <c r="G279" s="77">
        <v>0.50207999999999997</v>
      </c>
      <c r="H279" s="77">
        <v>0.48558000000000001</v>
      </c>
      <c r="I279" s="77">
        <v>0.51427999999999996</v>
      </c>
      <c r="J279" s="77">
        <v>0.45490000000000003</v>
      </c>
      <c r="K279" s="77">
        <v>0.52841000000000005</v>
      </c>
      <c r="L279" s="77">
        <v>0.52007999999999999</v>
      </c>
      <c r="M279" s="77">
        <v>0.53481999999999996</v>
      </c>
      <c r="N279" s="77">
        <v>0.54749000000000003</v>
      </c>
      <c r="O279" s="77">
        <v>0.43835000000000002</v>
      </c>
      <c r="P279" s="77">
        <v>0.41725000000000001</v>
      </c>
      <c r="Q279" s="77">
        <v>0.40539999999999998</v>
      </c>
      <c r="R279" s="77">
        <v>0.44984000000000002</v>
      </c>
      <c r="T279">
        <v>677</v>
      </c>
      <c r="U279">
        <f t="shared" si="64"/>
        <v>1.0185200000000001</v>
      </c>
      <c r="V279">
        <f t="shared" si="65"/>
        <v>0.71882000000000001</v>
      </c>
      <c r="W279">
        <f t="shared" si="66"/>
        <v>1.1164799999999999</v>
      </c>
      <c r="X279">
        <f t="shared" si="67"/>
        <v>0.84506000000000003</v>
      </c>
      <c r="Y279">
        <f t="shared" si="68"/>
        <v>1.0041599999999999</v>
      </c>
      <c r="Z279">
        <f t="shared" si="69"/>
        <v>0.97116000000000002</v>
      </c>
      <c r="AA279">
        <f t="shared" si="70"/>
        <v>1.0285599999999999</v>
      </c>
      <c r="AB279">
        <f t="shared" si="71"/>
        <v>0.90980000000000005</v>
      </c>
      <c r="AC279">
        <f t="shared" si="72"/>
        <v>1.0568200000000001</v>
      </c>
      <c r="AD279">
        <f t="shared" si="73"/>
        <v>1.04016</v>
      </c>
      <c r="AE279">
        <f t="shared" si="74"/>
        <v>1.0696399999999999</v>
      </c>
      <c r="AF279">
        <f t="shared" si="75"/>
        <v>1.0949800000000001</v>
      </c>
      <c r="AG279">
        <f t="shared" si="76"/>
        <v>0.87670000000000003</v>
      </c>
      <c r="AH279">
        <f t="shared" si="77"/>
        <v>0.83450000000000002</v>
      </c>
      <c r="AI279">
        <f t="shared" si="78"/>
        <v>0.81079999999999997</v>
      </c>
      <c r="AJ279">
        <f t="shared" si="79"/>
        <v>0.89968000000000004</v>
      </c>
      <c r="EC279">
        <v>677</v>
      </c>
      <c r="ED279">
        <v>1.0185200000000001</v>
      </c>
      <c r="EE279">
        <v>0.71882000000000001</v>
      </c>
      <c r="EF279">
        <v>1.1164799999999999</v>
      </c>
      <c r="EG279">
        <v>0.84506000000000003</v>
      </c>
      <c r="EH279">
        <v>1.0041599999999999</v>
      </c>
      <c r="EI279">
        <v>0.97116000000000002</v>
      </c>
      <c r="EJ279">
        <v>1.0285599999999999</v>
      </c>
      <c r="EK279">
        <v>0.90980000000000005</v>
      </c>
      <c r="EL279">
        <v>1.0568200000000001</v>
      </c>
      <c r="EM279">
        <v>1.04016</v>
      </c>
      <c r="EN279">
        <v>1.0696399999999999</v>
      </c>
      <c r="EO279">
        <v>1.0949800000000001</v>
      </c>
      <c r="EP279">
        <v>0.87670000000000003</v>
      </c>
      <c r="EQ279">
        <v>0.83450000000000002</v>
      </c>
      <c r="ER279">
        <v>0.81079999999999997</v>
      </c>
      <c r="ES279">
        <v>0.89968000000000004</v>
      </c>
    </row>
    <row r="280" spans="1:149" x14ac:dyDescent="0.35">
      <c r="A280" s="77"/>
      <c r="B280" s="77">
        <v>678</v>
      </c>
      <c r="C280" s="77">
        <v>0.51232999999999995</v>
      </c>
      <c r="D280" s="77">
        <v>0.36148000000000002</v>
      </c>
      <c r="E280" s="77">
        <v>0.56166000000000005</v>
      </c>
      <c r="F280" s="77">
        <v>0.42519000000000001</v>
      </c>
      <c r="G280" s="77">
        <v>0.50368000000000002</v>
      </c>
      <c r="H280" s="77">
        <v>0.48730000000000001</v>
      </c>
      <c r="I280" s="77">
        <v>0.51600999999999997</v>
      </c>
      <c r="J280" s="77">
        <v>0.45622000000000001</v>
      </c>
      <c r="K280" s="77">
        <v>0.53027000000000002</v>
      </c>
      <c r="L280" s="77">
        <v>0.52176</v>
      </c>
      <c r="M280" s="77">
        <v>0.53664999999999996</v>
      </c>
      <c r="N280" s="77">
        <v>0.54947999999999997</v>
      </c>
      <c r="O280" s="77">
        <v>0.43851000000000001</v>
      </c>
      <c r="P280" s="77">
        <v>0.41726999999999997</v>
      </c>
      <c r="Q280" s="77">
        <v>0.40544000000000002</v>
      </c>
      <c r="R280" s="77">
        <v>0.44989000000000001</v>
      </c>
      <c r="T280">
        <v>678</v>
      </c>
      <c r="U280">
        <f t="shared" si="64"/>
        <v>1.0246599999999999</v>
      </c>
      <c r="V280">
        <f t="shared" si="65"/>
        <v>0.72296000000000005</v>
      </c>
      <c r="W280">
        <f t="shared" si="66"/>
        <v>1.1233200000000001</v>
      </c>
      <c r="X280">
        <f t="shared" si="67"/>
        <v>0.85038000000000002</v>
      </c>
      <c r="Y280">
        <f t="shared" si="68"/>
        <v>1.00736</v>
      </c>
      <c r="Z280">
        <f t="shared" si="69"/>
        <v>0.97460000000000002</v>
      </c>
      <c r="AA280">
        <f t="shared" si="70"/>
        <v>1.0320199999999999</v>
      </c>
      <c r="AB280">
        <f t="shared" si="71"/>
        <v>0.91244000000000003</v>
      </c>
      <c r="AC280">
        <f t="shared" si="72"/>
        <v>1.06054</v>
      </c>
      <c r="AD280">
        <f t="shared" si="73"/>
        <v>1.04352</v>
      </c>
      <c r="AE280">
        <f t="shared" si="74"/>
        <v>1.0732999999999999</v>
      </c>
      <c r="AF280">
        <f t="shared" si="75"/>
        <v>1.0989599999999999</v>
      </c>
      <c r="AG280">
        <f t="shared" si="76"/>
        <v>0.87702000000000002</v>
      </c>
      <c r="AH280">
        <f t="shared" si="77"/>
        <v>0.83453999999999995</v>
      </c>
      <c r="AI280">
        <f t="shared" si="78"/>
        <v>0.81088000000000005</v>
      </c>
      <c r="AJ280">
        <f t="shared" si="79"/>
        <v>0.89978000000000002</v>
      </c>
      <c r="EC280">
        <v>678</v>
      </c>
      <c r="ED280">
        <v>1.0246599999999999</v>
      </c>
      <c r="EE280">
        <v>0.72296000000000005</v>
      </c>
      <c r="EF280">
        <v>1.1233200000000001</v>
      </c>
      <c r="EG280">
        <v>0.85038000000000002</v>
      </c>
      <c r="EH280">
        <v>1.00736</v>
      </c>
      <c r="EI280">
        <v>0.97460000000000002</v>
      </c>
      <c r="EJ280">
        <v>1.0320199999999999</v>
      </c>
      <c r="EK280">
        <v>0.91244000000000003</v>
      </c>
      <c r="EL280">
        <v>1.06054</v>
      </c>
      <c r="EM280">
        <v>1.04352</v>
      </c>
      <c r="EN280">
        <v>1.0732999999999999</v>
      </c>
      <c r="EO280">
        <v>1.0989599999999999</v>
      </c>
      <c r="EP280">
        <v>0.87702000000000002</v>
      </c>
      <c r="EQ280">
        <v>0.83453999999999995</v>
      </c>
      <c r="ER280">
        <v>0.81088000000000005</v>
      </c>
      <c r="ES280">
        <v>0.89978000000000002</v>
      </c>
    </row>
    <row r="281" spans="1:149" x14ac:dyDescent="0.35">
      <c r="A281" s="77"/>
      <c r="B281" s="77">
        <v>679</v>
      </c>
      <c r="C281" s="77">
        <v>0.51507999999999998</v>
      </c>
      <c r="D281" s="77">
        <v>0.36337000000000003</v>
      </c>
      <c r="E281" s="77">
        <v>0.56467999999999996</v>
      </c>
      <c r="F281" s="77">
        <v>0.42754999999999999</v>
      </c>
      <c r="G281" s="77">
        <v>0.50514000000000003</v>
      </c>
      <c r="H281" s="77">
        <v>0.48887999999999998</v>
      </c>
      <c r="I281" s="77">
        <v>0.51758999999999999</v>
      </c>
      <c r="J281" s="77">
        <v>0.45751999999999998</v>
      </c>
      <c r="K281" s="77">
        <v>0.53190999999999999</v>
      </c>
      <c r="L281" s="77">
        <v>0.52332000000000001</v>
      </c>
      <c r="M281" s="77">
        <v>0.53820999999999997</v>
      </c>
      <c r="N281" s="77">
        <v>0.55120999999999998</v>
      </c>
      <c r="O281" s="77">
        <v>0.43861</v>
      </c>
      <c r="P281" s="77">
        <v>0.41731000000000001</v>
      </c>
      <c r="Q281" s="77">
        <v>0.40550000000000003</v>
      </c>
      <c r="R281" s="77">
        <v>0.44997999999999999</v>
      </c>
      <c r="T281">
        <v>679</v>
      </c>
      <c r="U281">
        <f t="shared" si="64"/>
        <v>1.03016</v>
      </c>
      <c r="V281">
        <f t="shared" si="65"/>
        <v>0.72674000000000005</v>
      </c>
      <c r="W281">
        <f t="shared" si="66"/>
        <v>1.1293599999999999</v>
      </c>
      <c r="X281">
        <f t="shared" si="67"/>
        <v>0.85509999999999997</v>
      </c>
      <c r="Y281">
        <f t="shared" si="68"/>
        <v>1.0102800000000001</v>
      </c>
      <c r="Z281">
        <f t="shared" si="69"/>
        <v>0.97775999999999996</v>
      </c>
      <c r="AA281">
        <f t="shared" si="70"/>
        <v>1.03518</v>
      </c>
      <c r="AB281">
        <f t="shared" si="71"/>
        <v>0.91503999999999996</v>
      </c>
      <c r="AC281">
        <f t="shared" si="72"/>
        <v>1.06382</v>
      </c>
      <c r="AD281">
        <f t="shared" si="73"/>
        <v>1.04664</v>
      </c>
      <c r="AE281">
        <f t="shared" si="74"/>
        <v>1.0764199999999999</v>
      </c>
      <c r="AF281">
        <f t="shared" si="75"/>
        <v>1.10242</v>
      </c>
      <c r="AG281">
        <f t="shared" si="76"/>
        <v>0.87722</v>
      </c>
      <c r="AH281">
        <f t="shared" si="77"/>
        <v>0.83462000000000003</v>
      </c>
      <c r="AI281">
        <f t="shared" si="78"/>
        <v>0.81100000000000005</v>
      </c>
      <c r="AJ281">
        <f t="shared" si="79"/>
        <v>0.89995999999999998</v>
      </c>
      <c r="EC281">
        <v>679</v>
      </c>
      <c r="ED281">
        <v>1.03016</v>
      </c>
      <c r="EE281">
        <v>0.72674000000000005</v>
      </c>
      <c r="EF281">
        <v>1.1293599999999999</v>
      </c>
      <c r="EG281">
        <v>0.85509999999999997</v>
      </c>
      <c r="EH281">
        <v>1.0102800000000001</v>
      </c>
      <c r="EI281">
        <v>0.97775999999999996</v>
      </c>
      <c r="EJ281">
        <v>1.03518</v>
      </c>
      <c r="EK281">
        <v>0.91503999999999996</v>
      </c>
      <c r="EL281">
        <v>1.06382</v>
      </c>
      <c r="EM281">
        <v>1.04664</v>
      </c>
      <c r="EN281">
        <v>1.0764199999999999</v>
      </c>
      <c r="EO281">
        <v>1.10242</v>
      </c>
      <c r="EP281">
        <v>0.87722</v>
      </c>
      <c r="EQ281">
        <v>0.83462000000000003</v>
      </c>
      <c r="ER281">
        <v>0.81100000000000005</v>
      </c>
      <c r="ES281">
        <v>0.89995999999999998</v>
      </c>
    </row>
    <row r="282" spans="1:149" x14ac:dyDescent="0.35">
      <c r="A282" s="77"/>
      <c r="B282" s="77">
        <v>680</v>
      </c>
      <c r="C282" s="77">
        <v>0.51746000000000003</v>
      </c>
      <c r="D282" s="77">
        <v>0.36496000000000001</v>
      </c>
      <c r="E282" s="77">
        <v>0.56725000000000003</v>
      </c>
      <c r="F282" s="77">
        <v>0.42958000000000002</v>
      </c>
      <c r="G282" s="77">
        <v>0.50629999999999997</v>
      </c>
      <c r="H282" s="77">
        <v>0.49008000000000002</v>
      </c>
      <c r="I282" s="77">
        <v>0.51885999999999999</v>
      </c>
      <c r="J282" s="77">
        <v>0.45852999999999999</v>
      </c>
      <c r="K282" s="77">
        <v>0.53322999999999998</v>
      </c>
      <c r="L282" s="77">
        <v>0.52454000000000001</v>
      </c>
      <c r="M282" s="77">
        <v>0.53937000000000002</v>
      </c>
      <c r="N282" s="77">
        <v>0.55261000000000005</v>
      </c>
      <c r="O282" s="77">
        <v>0.43859999999999999</v>
      </c>
      <c r="P282" s="77">
        <v>0.41718</v>
      </c>
      <c r="Q282" s="77">
        <v>0.40538000000000002</v>
      </c>
      <c r="R282" s="77">
        <v>0.44985999999999998</v>
      </c>
      <c r="T282">
        <v>680</v>
      </c>
      <c r="U282">
        <f t="shared" si="64"/>
        <v>1.0349200000000001</v>
      </c>
      <c r="V282">
        <f t="shared" si="65"/>
        <v>0.72992000000000001</v>
      </c>
      <c r="W282">
        <f t="shared" si="66"/>
        <v>1.1345000000000001</v>
      </c>
      <c r="X282">
        <f t="shared" si="67"/>
        <v>0.85916000000000003</v>
      </c>
      <c r="Y282">
        <f t="shared" si="68"/>
        <v>1.0125999999999999</v>
      </c>
      <c r="Z282">
        <f t="shared" si="69"/>
        <v>0.98016000000000003</v>
      </c>
      <c r="AA282">
        <f t="shared" si="70"/>
        <v>1.03772</v>
      </c>
      <c r="AB282">
        <f t="shared" si="71"/>
        <v>0.91705999999999999</v>
      </c>
      <c r="AC282">
        <f t="shared" si="72"/>
        <v>1.06646</v>
      </c>
      <c r="AD282">
        <f t="shared" si="73"/>
        <v>1.04908</v>
      </c>
      <c r="AE282">
        <f t="shared" si="74"/>
        <v>1.07874</v>
      </c>
      <c r="AF282">
        <f t="shared" si="75"/>
        <v>1.1052200000000001</v>
      </c>
      <c r="AG282">
        <f t="shared" si="76"/>
        <v>0.87719999999999998</v>
      </c>
      <c r="AH282">
        <f t="shared" si="77"/>
        <v>0.83435999999999999</v>
      </c>
      <c r="AI282">
        <f t="shared" si="78"/>
        <v>0.81076000000000004</v>
      </c>
      <c r="AJ282">
        <f t="shared" si="79"/>
        <v>0.89971999999999996</v>
      </c>
      <c r="EC282">
        <v>680</v>
      </c>
      <c r="ED282">
        <v>1.0349200000000001</v>
      </c>
      <c r="EE282">
        <v>0.72992000000000001</v>
      </c>
      <c r="EF282">
        <v>1.1345000000000001</v>
      </c>
      <c r="EG282">
        <v>0.85916000000000003</v>
      </c>
      <c r="EH282">
        <v>1.0125999999999999</v>
      </c>
      <c r="EI282">
        <v>0.98016000000000003</v>
      </c>
      <c r="EJ282">
        <v>1.03772</v>
      </c>
      <c r="EK282">
        <v>0.91705999999999999</v>
      </c>
      <c r="EL282">
        <v>1.06646</v>
      </c>
      <c r="EM282">
        <v>1.04908</v>
      </c>
      <c r="EN282">
        <v>1.07874</v>
      </c>
      <c r="EO282">
        <v>1.1052200000000001</v>
      </c>
      <c r="EP282">
        <v>0.87719999999999998</v>
      </c>
      <c r="EQ282">
        <v>0.83435999999999999</v>
      </c>
      <c r="ER282">
        <v>0.81076000000000004</v>
      </c>
      <c r="ES282">
        <v>0.89971999999999996</v>
      </c>
    </row>
    <row r="283" spans="1:149" x14ac:dyDescent="0.35">
      <c r="A283" s="77"/>
      <c r="B283" s="77">
        <v>681</v>
      </c>
      <c r="C283" s="77">
        <v>0.51912999999999998</v>
      </c>
      <c r="D283" s="77">
        <v>0.36617</v>
      </c>
      <c r="E283" s="77">
        <v>0.56906000000000001</v>
      </c>
      <c r="F283" s="77">
        <v>0.43110999999999999</v>
      </c>
      <c r="G283" s="77">
        <v>0.5071</v>
      </c>
      <c r="H283" s="77">
        <v>0.49098000000000003</v>
      </c>
      <c r="I283" s="77">
        <v>0.51970000000000005</v>
      </c>
      <c r="J283" s="77">
        <v>0.45917999999999998</v>
      </c>
      <c r="K283" s="77">
        <v>0.53415000000000001</v>
      </c>
      <c r="L283" s="77">
        <v>0.52531000000000005</v>
      </c>
      <c r="M283" s="77">
        <v>0.54015000000000002</v>
      </c>
      <c r="N283" s="77">
        <v>0.55349999999999999</v>
      </c>
      <c r="O283" s="77">
        <v>0.43836999999999998</v>
      </c>
      <c r="P283" s="77">
        <v>0.41698000000000002</v>
      </c>
      <c r="Q283" s="77">
        <v>0.40517999999999998</v>
      </c>
      <c r="R283" s="77">
        <v>0.44957000000000003</v>
      </c>
      <c r="T283">
        <v>681</v>
      </c>
      <c r="U283">
        <f t="shared" si="64"/>
        <v>1.03826</v>
      </c>
      <c r="V283">
        <f t="shared" si="65"/>
        <v>0.73233999999999999</v>
      </c>
      <c r="W283">
        <f t="shared" si="66"/>
        <v>1.13812</v>
      </c>
      <c r="X283">
        <f t="shared" si="67"/>
        <v>0.86221999999999999</v>
      </c>
      <c r="Y283">
        <f t="shared" si="68"/>
        <v>1.0142</v>
      </c>
      <c r="Z283">
        <f t="shared" si="69"/>
        <v>0.98196000000000006</v>
      </c>
      <c r="AA283">
        <f t="shared" si="70"/>
        <v>1.0394000000000001</v>
      </c>
      <c r="AB283">
        <f t="shared" si="71"/>
        <v>0.91835999999999995</v>
      </c>
      <c r="AC283">
        <f t="shared" si="72"/>
        <v>1.0683</v>
      </c>
      <c r="AD283">
        <f t="shared" si="73"/>
        <v>1.0506200000000001</v>
      </c>
      <c r="AE283">
        <f t="shared" si="74"/>
        <v>1.0803</v>
      </c>
      <c r="AF283">
        <f t="shared" si="75"/>
        <v>1.107</v>
      </c>
      <c r="AG283">
        <f t="shared" si="76"/>
        <v>0.87673999999999996</v>
      </c>
      <c r="AH283">
        <f t="shared" si="77"/>
        <v>0.83396000000000003</v>
      </c>
      <c r="AI283">
        <f t="shared" si="78"/>
        <v>0.81035999999999997</v>
      </c>
      <c r="AJ283">
        <f t="shared" si="79"/>
        <v>0.89914000000000005</v>
      </c>
      <c r="EC283">
        <v>681</v>
      </c>
      <c r="ED283">
        <v>1.03826</v>
      </c>
      <c r="EE283">
        <v>0.73233999999999999</v>
      </c>
      <c r="EF283">
        <v>1.13812</v>
      </c>
      <c r="EG283">
        <v>0.86221999999999999</v>
      </c>
      <c r="EH283">
        <v>1.0142</v>
      </c>
      <c r="EI283">
        <v>0.98196000000000006</v>
      </c>
      <c r="EJ283">
        <v>1.0394000000000001</v>
      </c>
      <c r="EK283">
        <v>0.91835999999999995</v>
      </c>
      <c r="EL283">
        <v>1.0683</v>
      </c>
      <c r="EM283">
        <v>1.0506200000000001</v>
      </c>
      <c r="EN283">
        <v>1.0803</v>
      </c>
      <c r="EO283">
        <v>1.107</v>
      </c>
      <c r="EP283">
        <v>0.87673999999999996</v>
      </c>
      <c r="EQ283">
        <v>0.83396000000000003</v>
      </c>
      <c r="ER283">
        <v>0.81035999999999997</v>
      </c>
      <c r="ES283">
        <v>0.89914000000000005</v>
      </c>
    </row>
    <row r="284" spans="1:149" x14ac:dyDescent="0.35">
      <c r="A284" s="77"/>
      <c r="B284" s="77">
        <v>682</v>
      </c>
      <c r="C284" s="77">
        <v>0.51993999999999996</v>
      </c>
      <c r="D284" s="77">
        <v>0.36670999999999998</v>
      </c>
      <c r="E284" s="77">
        <v>0.56991999999999998</v>
      </c>
      <c r="F284" s="77">
        <v>0.43185000000000001</v>
      </c>
      <c r="G284" s="77">
        <v>0.50727999999999995</v>
      </c>
      <c r="H284" s="77">
        <v>0.49125999999999997</v>
      </c>
      <c r="I284" s="77">
        <v>0.52002000000000004</v>
      </c>
      <c r="J284" s="77">
        <v>0.45940999999999999</v>
      </c>
      <c r="K284" s="77">
        <v>0.53435999999999995</v>
      </c>
      <c r="L284" s="77">
        <v>0.52553000000000005</v>
      </c>
      <c r="M284" s="77">
        <v>0.54040999999999995</v>
      </c>
      <c r="N284" s="77">
        <v>0.55369999999999997</v>
      </c>
      <c r="O284" s="77">
        <v>0.43791000000000002</v>
      </c>
      <c r="P284" s="77">
        <v>0.41654999999999998</v>
      </c>
      <c r="Q284" s="77">
        <v>0.40479999999999999</v>
      </c>
      <c r="R284" s="77">
        <v>0.44912999999999997</v>
      </c>
      <c r="T284">
        <v>682</v>
      </c>
      <c r="U284">
        <f t="shared" si="64"/>
        <v>1.0398799999999999</v>
      </c>
      <c r="V284">
        <f t="shared" si="65"/>
        <v>0.73341999999999996</v>
      </c>
      <c r="W284">
        <f t="shared" si="66"/>
        <v>1.13984</v>
      </c>
      <c r="X284">
        <f t="shared" si="67"/>
        <v>0.86370000000000002</v>
      </c>
      <c r="Y284">
        <f t="shared" si="68"/>
        <v>1.0145599999999999</v>
      </c>
      <c r="Z284">
        <f t="shared" si="69"/>
        <v>0.98251999999999995</v>
      </c>
      <c r="AA284">
        <f t="shared" si="70"/>
        <v>1.0400400000000001</v>
      </c>
      <c r="AB284">
        <f t="shared" si="71"/>
        <v>0.91881999999999997</v>
      </c>
      <c r="AC284">
        <f t="shared" si="72"/>
        <v>1.0687199999999999</v>
      </c>
      <c r="AD284">
        <f t="shared" si="73"/>
        <v>1.0510600000000001</v>
      </c>
      <c r="AE284">
        <f t="shared" si="74"/>
        <v>1.0808199999999999</v>
      </c>
      <c r="AF284">
        <f t="shared" si="75"/>
        <v>1.1073999999999999</v>
      </c>
      <c r="AG284">
        <f t="shared" si="76"/>
        <v>0.87582000000000004</v>
      </c>
      <c r="AH284">
        <f t="shared" si="77"/>
        <v>0.83309999999999995</v>
      </c>
      <c r="AI284">
        <f t="shared" si="78"/>
        <v>0.80959999999999999</v>
      </c>
      <c r="AJ284">
        <f t="shared" si="79"/>
        <v>0.89825999999999995</v>
      </c>
      <c r="EC284">
        <v>682</v>
      </c>
      <c r="ED284">
        <v>1.0398799999999999</v>
      </c>
      <c r="EE284">
        <v>0.73341999999999996</v>
      </c>
      <c r="EF284">
        <v>1.13984</v>
      </c>
      <c r="EG284">
        <v>0.86370000000000002</v>
      </c>
      <c r="EH284">
        <v>1.0145599999999999</v>
      </c>
      <c r="EI284">
        <v>0.98251999999999995</v>
      </c>
      <c r="EJ284">
        <v>1.0400400000000001</v>
      </c>
      <c r="EK284">
        <v>0.91881999999999997</v>
      </c>
      <c r="EL284">
        <v>1.0687199999999999</v>
      </c>
      <c r="EM284">
        <v>1.0510600000000001</v>
      </c>
      <c r="EN284">
        <v>1.0808199999999999</v>
      </c>
      <c r="EO284">
        <v>1.1073999999999999</v>
      </c>
      <c r="EP284">
        <v>0.87582000000000004</v>
      </c>
      <c r="EQ284">
        <v>0.83309999999999995</v>
      </c>
      <c r="ER284">
        <v>0.80959999999999999</v>
      </c>
      <c r="ES284">
        <v>0.89825999999999995</v>
      </c>
    </row>
    <row r="285" spans="1:149" x14ac:dyDescent="0.35">
      <c r="A285" s="77"/>
      <c r="B285" s="77">
        <v>683</v>
      </c>
      <c r="C285" s="77">
        <v>0.51978999999999997</v>
      </c>
      <c r="D285" s="77">
        <v>0.36658000000000002</v>
      </c>
      <c r="E285" s="77">
        <v>0.5696</v>
      </c>
      <c r="F285" s="77">
        <v>0.43175999999999998</v>
      </c>
      <c r="G285" s="77">
        <v>0.50692999999999999</v>
      </c>
      <c r="H285" s="77">
        <v>0.49084</v>
      </c>
      <c r="I285" s="77">
        <v>0.51964999999999995</v>
      </c>
      <c r="J285" s="77">
        <v>0.45917000000000002</v>
      </c>
      <c r="K285" s="77">
        <v>0.53391</v>
      </c>
      <c r="L285" s="77">
        <v>0.52508999999999995</v>
      </c>
      <c r="M285" s="77">
        <v>0.53990000000000005</v>
      </c>
      <c r="N285" s="77">
        <v>0.55318999999999996</v>
      </c>
      <c r="O285" s="77">
        <v>0.43724000000000002</v>
      </c>
      <c r="P285" s="77">
        <v>0.41586000000000001</v>
      </c>
      <c r="Q285" s="77">
        <v>0.40423999999999999</v>
      </c>
      <c r="R285" s="77">
        <v>0.44843</v>
      </c>
      <c r="T285">
        <v>683</v>
      </c>
      <c r="U285">
        <f t="shared" si="64"/>
        <v>1.0395799999999999</v>
      </c>
      <c r="V285">
        <f t="shared" si="65"/>
        <v>0.73316000000000003</v>
      </c>
      <c r="W285">
        <f t="shared" si="66"/>
        <v>1.1392</v>
      </c>
      <c r="X285">
        <f t="shared" si="67"/>
        <v>0.86351999999999995</v>
      </c>
      <c r="Y285">
        <f t="shared" si="68"/>
        <v>1.01386</v>
      </c>
      <c r="Z285">
        <f t="shared" si="69"/>
        <v>0.98168</v>
      </c>
      <c r="AA285">
        <f t="shared" si="70"/>
        <v>1.0392999999999999</v>
      </c>
      <c r="AB285">
        <f t="shared" si="71"/>
        <v>0.91834000000000005</v>
      </c>
      <c r="AC285">
        <f t="shared" si="72"/>
        <v>1.06782</v>
      </c>
      <c r="AD285">
        <f t="shared" si="73"/>
        <v>1.0501799999999999</v>
      </c>
      <c r="AE285">
        <f t="shared" si="74"/>
        <v>1.0798000000000001</v>
      </c>
      <c r="AF285">
        <f t="shared" si="75"/>
        <v>1.1063799999999999</v>
      </c>
      <c r="AG285">
        <f t="shared" si="76"/>
        <v>0.87448000000000004</v>
      </c>
      <c r="AH285">
        <f t="shared" si="77"/>
        <v>0.83172000000000001</v>
      </c>
      <c r="AI285">
        <f t="shared" si="78"/>
        <v>0.80847999999999998</v>
      </c>
      <c r="AJ285">
        <f t="shared" si="79"/>
        <v>0.89685999999999999</v>
      </c>
      <c r="EC285">
        <v>683</v>
      </c>
      <c r="ED285">
        <v>1.0395799999999999</v>
      </c>
      <c r="EE285">
        <v>0.73316000000000003</v>
      </c>
      <c r="EF285">
        <v>1.1392</v>
      </c>
      <c r="EG285">
        <v>0.86351999999999995</v>
      </c>
      <c r="EH285">
        <v>1.01386</v>
      </c>
      <c r="EI285">
        <v>0.98168</v>
      </c>
      <c r="EJ285">
        <v>1.0392999999999999</v>
      </c>
      <c r="EK285">
        <v>0.91834000000000005</v>
      </c>
      <c r="EL285">
        <v>1.06782</v>
      </c>
      <c r="EM285">
        <v>1.0501799999999999</v>
      </c>
      <c r="EN285">
        <v>1.0798000000000001</v>
      </c>
      <c r="EO285">
        <v>1.1063799999999999</v>
      </c>
      <c r="EP285">
        <v>0.87448000000000004</v>
      </c>
      <c r="EQ285">
        <v>0.83172000000000001</v>
      </c>
      <c r="ER285">
        <v>0.80847999999999998</v>
      </c>
      <c r="ES285">
        <v>0.89685999999999999</v>
      </c>
    </row>
    <row r="286" spans="1:149" x14ac:dyDescent="0.35">
      <c r="A286" s="77"/>
      <c r="B286" s="77">
        <v>684</v>
      </c>
      <c r="C286" s="77">
        <v>0.51856999999999998</v>
      </c>
      <c r="D286" s="77">
        <v>0.36577999999999999</v>
      </c>
      <c r="E286" s="77">
        <v>0.56810000000000005</v>
      </c>
      <c r="F286" s="77">
        <v>0.43079000000000001</v>
      </c>
      <c r="G286" s="77">
        <v>0.50588999999999995</v>
      </c>
      <c r="H286" s="77">
        <v>0.48984</v>
      </c>
      <c r="I286" s="77">
        <v>0.51868000000000003</v>
      </c>
      <c r="J286" s="77">
        <v>0.45839000000000002</v>
      </c>
      <c r="K286" s="77">
        <v>0.53276000000000001</v>
      </c>
      <c r="L286" s="77">
        <v>0.52407999999999999</v>
      </c>
      <c r="M286" s="77">
        <v>0.53871000000000002</v>
      </c>
      <c r="N286" s="77">
        <v>0.55206</v>
      </c>
      <c r="O286" s="77">
        <v>0.43608000000000002</v>
      </c>
      <c r="P286" s="77">
        <v>0.41492000000000001</v>
      </c>
      <c r="Q286" s="77">
        <v>0.40333999999999998</v>
      </c>
      <c r="R286" s="77">
        <v>0.44734000000000002</v>
      </c>
      <c r="T286">
        <v>684</v>
      </c>
      <c r="U286">
        <f t="shared" si="64"/>
        <v>1.03714</v>
      </c>
      <c r="V286">
        <f t="shared" si="65"/>
        <v>0.73155999999999999</v>
      </c>
      <c r="W286">
        <f t="shared" si="66"/>
        <v>1.1362000000000001</v>
      </c>
      <c r="X286">
        <f t="shared" si="67"/>
        <v>0.86158000000000001</v>
      </c>
      <c r="Y286">
        <f t="shared" si="68"/>
        <v>1.0117799999999999</v>
      </c>
      <c r="Z286">
        <f t="shared" si="69"/>
        <v>0.97968</v>
      </c>
      <c r="AA286">
        <f t="shared" si="70"/>
        <v>1.0373600000000001</v>
      </c>
      <c r="AB286">
        <f t="shared" si="71"/>
        <v>0.91678000000000004</v>
      </c>
      <c r="AC286">
        <f t="shared" si="72"/>
        <v>1.06552</v>
      </c>
      <c r="AD286">
        <f t="shared" si="73"/>
        <v>1.04816</v>
      </c>
      <c r="AE286">
        <f t="shared" si="74"/>
        <v>1.07742</v>
      </c>
      <c r="AF286">
        <f t="shared" si="75"/>
        <v>1.10412</v>
      </c>
      <c r="AG286">
        <f t="shared" si="76"/>
        <v>0.87216000000000005</v>
      </c>
      <c r="AH286">
        <f t="shared" si="77"/>
        <v>0.82984000000000002</v>
      </c>
      <c r="AI286">
        <f t="shared" si="78"/>
        <v>0.80667999999999995</v>
      </c>
      <c r="AJ286">
        <f t="shared" si="79"/>
        <v>0.89468000000000003</v>
      </c>
      <c r="EC286">
        <v>684</v>
      </c>
      <c r="ED286">
        <v>1.03714</v>
      </c>
      <c r="EE286">
        <v>0.73155999999999999</v>
      </c>
      <c r="EF286">
        <v>1.1362000000000001</v>
      </c>
      <c r="EG286">
        <v>0.86158000000000001</v>
      </c>
      <c r="EH286">
        <v>1.0117799999999999</v>
      </c>
      <c r="EI286">
        <v>0.97968</v>
      </c>
      <c r="EJ286">
        <v>1.0373600000000001</v>
      </c>
      <c r="EK286">
        <v>0.91678000000000004</v>
      </c>
      <c r="EL286">
        <v>1.06552</v>
      </c>
      <c r="EM286">
        <v>1.04816</v>
      </c>
      <c r="EN286">
        <v>1.07742</v>
      </c>
      <c r="EO286">
        <v>1.10412</v>
      </c>
      <c r="EP286">
        <v>0.87216000000000005</v>
      </c>
      <c r="EQ286">
        <v>0.82984000000000002</v>
      </c>
      <c r="ER286">
        <v>0.80667999999999995</v>
      </c>
      <c r="ES286">
        <v>0.89468000000000003</v>
      </c>
    </row>
    <row r="287" spans="1:149" x14ac:dyDescent="0.35">
      <c r="A287" s="77"/>
      <c r="B287" s="77">
        <v>685</v>
      </c>
      <c r="C287" s="77">
        <v>0.51646000000000003</v>
      </c>
      <c r="D287" s="77">
        <v>0.36424000000000001</v>
      </c>
      <c r="E287" s="77">
        <v>0.56540999999999997</v>
      </c>
      <c r="F287" s="77">
        <v>0.42891000000000001</v>
      </c>
      <c r="G287" s="77">
        <v>0.50431999999999999</v>
      </c>
      <c r="H287" s="77">
        <v>0.48819000000000001</v>
      </c>
      <c r="I287" s="77">
        <v>0.51712000000000002</v>
      </c>
      <c r="J287" s="77">
        <v>0.45712000000000003</v>
      </c>
      <c r="K287" s="77">
        <v>0.53095999999999999</v>
      </c>
      <c r="L287" s="77">
        <v>0.52239999999999998</v>
      </c>
      <c r="M287" s="77">
        <v>0.53678999999999999</v>
      </c>
      <c r="N287" s="77">
        <v>0.55005000000000004</v>
      </c>
      <c r="O287" s="77">
        <v>0.43491999999999997</v>
      </c>
      <c r="P287" s="77">
        <v>0.41378999999999999</v>
      </c>
      <c r="Q287" s="77">
        <v>0.40242</v>
      </c>
      <c r="R287" s="77">
        <v>0.44612000000000002</v>
      </c>
      <c r="T287">
        <v>685</v>
      </c>
      <c r="U287">
        <f t="shared" si="64"/>
        <v>1.0329200000000001</v>
      </c>
      <c r="V287">
        <f t="shared" si="65"/>
        <v>0.72848000000000002</v>
      </c>
      <c r="W287">
        <f t="shared" si="66"/>
        <v>1.1308199999999999</v>
      </c>
      <c r="X287">
        <f t="shared" si="67"/>
        <v>0.85782000000000003</v>
      </c>
      <c r="Y287">
        <f t="shared" si="68"/>
        <v>1.00864</v>
      </c>
      <c r="Z287">
        <f t="shared" si="69"/>
        <v>0.97638000000000003</v>
      </c>
      <c r="AA287">
        <f t="shared" si="70"/>
        <v>1.03424</v>
      </c>
      <c r="AB287">
        <f t="shared" si="71"/>
        <v>0.91424000000000005</v>
      </c>
      <c r="AC287">
        <f t="shared" si="72"/>
        <v>1.06192</v>
      </c>
      <c r="AD287">
        <f t="shared" si="73"/>
        <v>1.0448</v>
      </c>
      <c r="AE287">
        <f t="shared" si="74"/>
        <v>1.07358</v>
      </c>
      <c r="AF287">
        <f t="shared" si="75"/>
        <v>1.1001000000000001</v>
      </c>
      <c r="AG287">
        <f t="shared" si="76"/>
        <v>0.86983999999999995</v>
      </c>
      <c r="AH287">
        <f t="shared" si="77"/>
        <v>0.82757999999999998</v>
      </c>
      <c r="AI287">
        <f t="shared" si="78"/>
        <v>0.80484</v>
      </c>
      <c r="AJ287">
        <f t="shared" si="79"/>
        <v>0.89224000000000003</v>
      </c>
      <c r="EC287">
        <v>685</v>
      </c>
      <c r="ED287">
        <v>1.0329200000000001</v>
      </c>
      <c r="EE287">
        <v>0.72848000000000002</v>
      </c>
      <c r="EF287">
        <v>1.1308199999999999</v>
      </c>
      <c r="EG287">
        <v>0.85782000000000003</v>
      </c>
      <c r="EH287">
        <v>1.00864</v>
      </c>
      <c r="EI287">
        <v>0.97638000000000003</v>
      </c>
      <c r="EJ287">
        <v>1.03424</v>
      </c>
      <c r="EK287">
        <v>0.91424000000000005</v>
      </c>
      <c r="EL287">
        <v>1.06192</v>
      </c>
      <c r="EM287">
        <v>1.0448</v>
      </c>
      <c r="EN287">
        <v>1.07358</v>
      </c>
      <c r="EO287">
        <v>1.1001000000000001</v>
      </c>
      <c r="EP287">
        <v>0.86983999999999995</v>
      </c>
      <c r="EQ287">
        <v>0.82757999999999998</v>
      </c>
      <c r="ER287">
        <v>0.80484</v>
      </c>
      <c r="ES287">
        <v>0.89224000000000003</v>
      </c>
    </row>
    <row r="288" spans="1:149" x14ac:dyDescent="0.35">
      <c r="A288" s="77"/>
      <c r="B288" s="77">
        <v>686</v>
      </c>
      <c r="C288" s="77">
        <v>0.51346999999999998</v>
      </c>
      <c r="D288" s="77">
        <v>0.36220999999999998</v>
      </c>
      <c r="E288" s="77">
        <v>0.56189999999999996</v>
      </c>
      <c r="F288" s="77">
        <v>0.42632999999999999</v>
      </c>
      <c r="G288" s="77">
        <v>0.50231999999999999</v>
      </c>
      <c r="H288" s="77">
        <v>0.48608000000000001</v>
      </c>
      <c r="I288" s="77">
        <v>0.51505000000000001</v>
      </c>
      <c r="J288" s="77">
        <v>0.45546999999999999</v>
      </c>
      <c r="K288" s="77">
        <v>0.52861000000000002</v>
      </c>
      <c r="L288" s="77">
        <v>0.52029000000000003</v>
      </c>
      <c r="M288" s="77">
        <v>0.53441000000000005</v>
      </c>
      <c r="N288" s="77">
        <v>0.54766999999999999</v>
      </c>
      <c r="O288" s="77">
        <v>0.43346000000000001</v>
      </c>
      <c r="P288" s="77">
        <v>0.41254999999999997</v>
      </c>
      <c r="Q288" s="77">
        <v>0.40117000000000003</v>
      </c>
      <c r="R288" s="77">
        <v>0.44469999999999998</v>
      </c>
      <c r="T288">
        <v>686</v>
      </c>
      <c r="U288">
        <f t="shared" si="64"/>
        <v>1.02694</v>
      </c>
      <c r="V288">
        <f t="shared" si="65"/>
        <v>0.72441999999999995</v>
      </c>
      <c r="W288">
        <f t="shared" si="66"/>
        <v>1.1237999999999999</v>
      </c>
      <c r="X288">
        <f t="shared" si="67"/>
        <v>0.85265999999999997</v>
      </c>
      <c r="Y288">
        <f t="shared" si="68"/>
        <v>1.00464</v>
      </c>
      <c r="Z288">
        <f t="shared" si="69"/>
        <v>0.97216000000000002</v>
      </c>
      <c r="AA288">
        <f t="shared" si="70"/>
        <v>1.0301</v>
      </c>
      <c r="AB288">
        <f t="shared" si="71"/>
        <v>0.91093999999999997</v>
      </c>
      <c r="AC288">
        <f t="shared" si="72"/>
        <v>1.05722</v>
      </c>
      <c r="AD288">
        <f t="shared" si="73"/>
        <v>1.0405800000000001</v>
      </c>
      <c r="AE288">
        <f t="shared" si="74"/>
        <v>1.0688200000000001</v>
      </c>
      <c r="AF288">
        <f t="shared" si="75"/>
        <v>1.09534</v>
      </c>
      <c r="AG288">
        <f t="shared" si="76"/>
        <v>0.86692000000000002</v>
      </c>
      <c r="AH288">
        <f t="shared" si="77"/>
        <v>0.82509999999999994</v>
      </c>
      <c r="AI288">
        <f t="shared" si="78"/>
        <v>0.80234000000000005</v>
      </c>
      <c r="AJ288">
        <f t="shared" si="79"/>
        <v>0.88939999999999997</v>
      </c>
      <c r="EC288">
        <v>686</v>
      </c>
      <c r="ED288">
        <v>1.02694</v>
      </c>
      <c r="EE288">
        <v>0.72441999999999995</v>
      </c>
      <c r="EF288">
        <v>1.1237999999999999</v>
      </c>
      <c r="EG288">
        <v>0.85265999999999997</v>
      </c>
      <c r="EH288">
        <v>1.00464</v>
      </c>
      <c r="EI288">
        <v>0.97216000000000002</v>
      </c>
      <c r="EJ288">
        <v>1.0301</v>
      </c>
      <c r="EK288">
        <v>0.91093999999999997</v>
      </c>
      <c r="EL288">
        <v>1.05722</v>
      </c>
      <c r="EM288">
        <v>1.0405800000000001</v>
      </c>
      <c r="EN288">
        <v>1.0688200000000001</v>
      </c>
      <c r="EO288">
        <v>1.09534</v>
      </c>
      <c r="EP288">
        <v>0.86692000000000002</v>
      </c>
      <c r="EQ288">
        <v>0.82509999999999994</v>
      </c>
      <c r="ER288">
        <v>0.80234000000000005</v>
      </c>
      <c r="ES288">
        <v>0.88939999999999997</v>
      </c>
    </row>
    <row r="289" spans="1:149" x14ac:dyDescent="0.35">
      <c r="A289" s="77"/>
      <c r="B289" s="77">
        <v>687</v>
      </c>
      <c r="C289" s="77">
        <v>0.50953999999999999</v>
      </c>
      <c r="D289" s="77">
        <v>0.35942000000000002</v>
      </c>
      <c r="E289" s="77">
        <v>0.55728</v>
      </c>
      <c r="F289" s="77">
        <v>0.42293999999999998</v>
      </c>
      <c r="G289" s="77">
        <v>0.49970999999999999</v>
      </c>
      <c r="H289" s="77">
        <v>0.48329</v>
      </c>
      <c r="I289" s="77">
        <v>0.51231000000000004</v>
      </c>
      <c r="J289" s="77">
        <v>0.45332</v>
      </c>
      <c r="K289" s="77">
        <v>0.52559</v>
      </c>
      <c r="L289" s="77">
        <v>0.51751999999999998</v>
      </c>
      <c r="M289" s="77">
        <v>0.53136000000000005</v>
      </c>
      <c r="N289" s="77">
        <v>0.54456000000000004</v>
      </c>
      <c r="O289" s="77">
        <v>0.43169000000000002</v>
      </c>
      <c r="P289" s="77">
        <v>0.41104000000000002</v>
      </c>
      <c r="Q289" s="77">
        <v>0.39972999999999997</v>
      </c>
      <c r="R289" s="77">
        <v>0.44296000000000002</v>
      </c>
      <c r="T289">
        <v>687</v>
      </c>
      <c r="U289">
        <f t="shared" si="64"/>
        <v>1.01908</v>
      </c>
      <c r="V289">
        <f t="shared" si="65"/>
        <v>0.71884000000000003</v>
      </c>
      <c r="W289">
        <f t="shared" si="66"/>
        <v>1.11456</v>
      </c>
      <c r="X289">
        <f t="shared" si="67"/>
        <v>0.84587999999999997</v>
      </c>
      <c r="Y289">
        <f t="shared" si="68"/>
        <v>0.99941999999999998</v>
      </c>
      <c r="Z289">
        <f t="shared" si="69"/>
        <v>0.96657999999999999</v>
      </c>
      <c r="AA289">
        <f t="shared" si="70"/>
        <v>1.0246200000000001</v>
      </c>
      <c r="AB289">
        <f t="shared" si="71"/>
        <v>0.90664</v>
      </c>
      <c r="AC289">
        <f t="shared" si="72"/>
        <v>1.05118</v>
      </c>
      <c r="AD289">
        <f t="shared" si="73"/>
        <v>1.03504</v>
      </c>
      <c r="AE289">
        <f t="shared" si="74"/>
        <v>1.0627200000000001</v>
      </c>
      <c r="AF289">
        <f t="shared" si="75"/>
        <v>1.0891200000000001</v>
      </c>
      <c r="AG289">
        <f t="shared" si="76"/>
        <v>0.86338000000000004</v>
      </c>
      <c r="AH289">
        <f t="shared" si="77"/>
        <v>0.82208000000000003</v>
      </c>
      <c r="AI289">
        <f t="shared" si="78"/>
        <v>0.79945999999999995</v>
      </c>
      <c r="AJ289">
        <f t="shared" si="79"/>
        <v>0.88592000000000004</v>
      </c>
      <c r="EC289">
        <v>687</v>
      </c>
      <c r="ED289">
        <v>1.01908</v>
      </c>
      <c r="EE289">
        <v>0.71884000000000003</v>
      </c>
      <c r="EF289">
        <v>1.11456</v>
      </c>
      <c r="EG289">
        <v>0.84587999999999997</v>
      </c>
      <c r="EH289">
        <v>0.99941999999999998</v>
      </c>
      <c r="EI289">
        <v>0.96657999999999999</v>
      </c>
      <c r="EJ289">
        <v>1.0246200000000001</v>
      </c>
      <c r="EK289">
        <v>0.90664</v>
      </c>
      <c r="EL289">
        <v>1.05118</v>
      </c>
      <c r="EM289">
        <v>1.03504</v>
      </c>
      <c r="EN289">
        <v>1.0627200000000001</v>
      </c>
      <c r="EO289">
        <v>1.0891200000000001</v>
      </c>
      <c r="EP289">
        <v>0.86338000000000004</v>
      </c>
      <c r="EQ289">
        <v>0.82208000000000003</v>
      </c>
      <c r="ER289">
        <v>0.79945999999999995</v>
      </c>
      <c r="ES289">
        <v>0.88592000000000004</v>
      </c>
    </row>
    <row r="290" spans="1:149" x14ac:dyDescent="0.35">
      <c r="A290" s="77"/>
      <c r="B290" s="77">
        <v>688</v>
      </c>
      <c r="C290" s="77">
        <v>0.50487000000000004</v>
      </c>
      <c r="D290" s="77">
        <v>0.35616999999999999</v>
      </c>
      <c r="E290" s="77">
        <v>0.55188000000000004</v>
      </c>
      <c r="F290" s="77">
        <v>0.41887999999999997</v>
      </c>
      <c r="G290" s="77">
        <v>0.49661</v>
      </c>
      <c r="H290" s="77">
        <v>0.48021999999999998</v>
      </c>
      <c r="I290" s="77">
        <v>0.50927999999999995</v>
      </c>
      <c r="J290" s="77">
        <v>0.45079000000000002</v>
      </c>
      <c r="K290" s="77">
        <v>0.52214000000000005</v>
      </c>
      <c r="L290" s="77">
        <v>0.51429999999999998</v>
      </c>
      <c r="M290" s="77">
        <v>0.52781999999999996</v>
      </c>
      <c r="N290" s="77">
        <v>0.54091999999999996</v>
      </c>
      <c r="O290" s="77">
        <v>0.42986999999999997</v>
      </c>
      <c r="P290" s="77">
        <v>0.40941</v>
      </c>
      <c r="Q290" s="77">
        <v>0.39822000000000002</v>
      </c>
      <c r="R290" s="77">
        <v>0.44108999999999998</v>
      </c>
      <c r="T290">
        <v>688</v>
      </c>
      <c r="U290">
        <f t="shared" si="64"/>
        <v>1.0097400000000001</v>
      </c>
      <c r="V290">
        <f t="shared" si="65"/>
        <v>0.71233999999999997</v>
      </c>
      <c r="W290">
        <f t="shared" si="66"/>
        <v>1.1037600000000001</v>
      </c>
      <c r="X290">
        <f t="shared" si="67"/>
        <v>0.83775999999999995</v>
      </c>
      <c r="Y290">
        <f t="shared" si="68"/>
        <v>0.99321999999999999</v>
      </c>
      <c r="Z290">
        <f t="shared" si="69"/>
        <v>0.96043999999999996</v>
      </c>
      <c r="AA290">
        <f t="shared" si="70"/>
        <v>1.0185599999999999</v>
      </c>
      <c r="AB290">
        <f t="shared" si="71"/>
        <v>0.90158000000000005</v>
      </c>
      <c r="AC290">
        <f t="shared" si="72"/>
        <v>1.0442800000000001</v>
      </c>
      <c r="AD290">
        <f t="shared" si="73"/>
        <v>1.0286</v>
      </c>
      <c r="AE290">
        <f t="shared" si="74"/>
        <v>1.0556399999999999</v>
      </c>
      <c r="AF290">
        <f t="shared" si="75"/>
        <v>1.0818399999999999</v>
      </c>
      <c r="AG290">
        <f t="shared" si="76"/>
        <v>0.85973999999999995</v>
      </c>
      <c r="AH290">
        <f t="shared" si="77"/>
        <v>0.81881999999999999</v>
      </c>
      <c r="AI290">
        <f t="shared" si="78"/>
        <v>0.79644000000000004</v>
      </c>
      <c r="AJ290">
        <f t="shared" si="79"/>
        <v>0.88217999999999996</v>
      </c>
      <c r="EC290">
        <v>688</v>
      </c>
      <c r="ED290">
        <v>1.0097400000000001</v>
      </c>
      <c r="EE290">
        <v>0.71233999999999997</v>
      </c>
      <c r="EF290">
        <v>1.1037600000000001</v>
      </c>
      <c r="EG290">
        <v>0.83775999999999995</v>
      </c>
      <c r="EH290">
        <v>0.99321999999999999</v>
      </c>
      <c r="EI290">
        <v>0.96043999999999996</v>
      </c>
      <c r="EJ290">
        <v>1.0185599999999999</v>
      </c>
      <c r="EK290">
        <v>0.90158000000000005</v>
      </c>
      <c r="EL290">
        <v>1.0442800000000001</v>
      </c>
      <c r="EM290">
        <v>1.0286</v>
      </c>
      <c r="EN290">
        <v>1.0556399999999999</v>
      </c>
      <c r="EO290">
        <v>1.0818399999999999</v>
      </c>
      <c r="EP290">
        <v>0.85973999999999995</v>
      </c>
      <c r="EQ290">
        <v>0.81881999999999999</v>
      </c>
      <c r="ER290">
        <v>0.79644000000000004</v>
      </c>
      <c r="ES290">
        <v>0.88217999999999996</v>
      </c>
    </row>
    <row r="291" spans="1:149" x14ac:dyDescent="0.35">
      <c r="A291" s="77"/>
      <c r="B291" s="77">
        <v>689</v>
      </c>
      <c r="C291" s="77">
        <v>0.49968000000000001</v>
      </c>
      <c r="D291" s="77">
        <v>0.35252</v>
      </c>
      <c r="E291" s="77">
        <v>0.54583999999999999</v>
      </c>
      <c r="F291" s="77">
        <v>0.41443999999999998</v>
      </c>
      <c r="G291" s="77">
        <v>0.49339</v>
      </c>
      <c r="H291" s="77">
        <v>0.47677999999999998</v>
      </c>
      <c r="I291" s="77">
        <v>0.50593999999999995</v>
      </c>
      <c r="J291" s="77">
        <v>0.44813999999999998</v>
      </c>
      <c r="K291" s="77">
        <v>0.51842999999999995</v>
      </c>
      <c r="L291" s="77">
        <v>0.51085999999999998</v>
      </c>
      <c r="M291" s="77">
        <v>0.52410999999999996</v>
      </c>
      <c r="N291" s="77">
        <v>0.53705999999999998</v>
      </c>
      <c r="O291" s="77">
        <v>0.42781000000000002</v>
      </c>
      <c r="P291" s="77">
        <v>0.40755999999999998</v>
      </c>
      <c r="Q291" s="77">
        <v>0.39650000000000002</v>
      </c>
      <c r="R291" s="77">
        <v>0.43906000000000001</v>
      </c>
      <c r="T291">
        <v>689</v>
      </c>
      <c r="U291">
        <f t="shared" si="64"/>
        <v>0.99936000000000003</v>
      </c>
      <c r="V291">
        <f t="shared" si="65"/>
        <v>0.70504</v>
      </c>
      <c r="W291">
        <f t="shared" si="66"/>
        <v>1.09168</v>
      </c>
      <c r="X291">
        <f t="shared" si="67"/>
        <v>0.82887999999999995</v>
      </c>
      <c r="Y291">
        <f t="shared" si="68"/>
        <v>0.98677999999999999</v>
      </c>
      <c r="Z291">
        <f t="shared" si="69"/>
        <v>0.95355999999999996</v>
      </c>
      <c r="AA291">
        <f t="shared" si="70"/>
        <v>1.0118799999999999</v>
      </c>
      <c r="AB291">
        <f t="shared" si="71"/>
        <v>0.89627999999999997</v>
      </c>
      <c r="AC291">
        <f t="shared" si="72"/>
        <v>1.0368599999999999</v>
      </c>
      <c r="AD291">
        <f t="shared" si="73"/>
        <v>1.02172</v>
      </c>
      <c r="AE291">
        <f t="shared" si="74"/>
        <v>1.0482199999999999</v>
      </c>
      <c r="AF291">
        <f t="shared" si="75"/>
        <v>1.07412</v>
      </c>
      <c r="AG291">
        <f t="shared" si="76"/>
        <v>0.85562000000000005</v>
      </c>
      <c r="AH291">
        <f t="shared" si="77"/>
        <v>0.81511999999999996</v>
      </c>
      <c r="AI291">
        <f t="shared" si="78"/>
        <v>0.79300000000000004</v>
      </c>
      <c r="AJ291">
        <f t="shared" si="79"/>
        <v>0.87812000000000001</v>
      </c>
      <c r="EC291">
        <v>689</v>
      </c>
      <c r="ED291">
        <v>0.99936000000000003</v>
      </c>
      <c r="EE291">
        <v>0.70504</v>
      </c>
      <c r="EF291">
        <v>1.09168</v>
      </c>
      <c r="EG291">
        <v>0.82887999999999995</v>
      </c>
      <c r="EH291">
        <v>0.98677999999999999</v>
      </c>
      <c r="EI291">
        <v>0.95355999999999996</v>
      </c>
      <c r="EJ291">
        <v>1.0118799999999999</v>
      </c>
      <c r="EK291">
        <v>0.89627999999999997</v>
      </c>
      <c r="EL291">
        <v>1.0368599999999999</v>
      </c>
      <c r="EM291">
        <v>1.02172</v>
      </c>
      <c r="EN291">
        <v>1.0482199999999999</v>
      </c>
      <c r="EO291">
        <v>1.07412</v>
      </c>
      <c r="EP291">
        <v>0.85562000000000005</v>
      </c>
      <c r="EQ291">
        <v>0.81511999999999996</v>
      </c>
      <c r="ER291">
        <v>0.79300000000000004</v>
      </c>
      <c r="ES291">
        <v>0.87812000000000001</v>
      </c>
    </row>
    <row r="292" spans="1:149" x14ac:dyDescent="0.35">
      <c r="A292" s="77"/>
      <c r="B292" s="77">
        <v>690</v>
      </c>
      <c r="C292" s="77">
        <v>0.49408000000000002</v>
      </c>
      <c r="D292" s="77">
        <v>0.34865000000000002</v>
      </c>
      <c r="E292" s="77">
        <v>0.53944000000000003</v>
      </c>
      <c r="F292" s="77">
        <v>0.40955999999999998</v>
      </c>
      <c r="G292" s="77">
        <v>0.48987999999999998</v>
      </c>
      <c r="H292" s="77">
        <v>0.47310999999999998</v>
      </c>
      <c r="I292" s="77">
        <v>0.50233000000000005</v>
      </c>
      <c r="J292" s="77">
        <v>0.44524999999999998</v>
      </c>
      <c r="K292" s="77">
        <v>0.51456000000000002</v>
      </c>
      <c r="L292" s="77">
        <v>0.50722999999999996</v>
      </c>
      <c r="M292" s="77">
        <v>0.52012999999999998</v>
      </c>
      <c r="N292" s="77">
        <v>0.53293000000000001</v>
      </c>
      <c r="O292" s="77">
        <v>0.42592000000000002</v>
      </c>
      <c r="P292" s="77">
        <v>0.40590999999999999</v>
      </c>
      <c r="Q292" s="77">
        <v>0.39496999999999999</v>
      </c>
      <c r="R292" s="77">
        <v>0.43715999999999999</v>
      </c>
      <c r="T292">
        <v>690</v>
      </c>
      <c r="U292">
        <f t="shared" si="64"/>
        <v>0.98816000000000004</v>
      </c>
      <c r="V292">
        <f t="shared" si="65"/>
        <v>0.69730000000000003</v>
      </c>
      <c r="W292">
        <f t="shared" si="66"/>
        <v>1.0788800000000001</v>
      </c>
      <c r="X292">
        <f t="shared" si="67"/>
        <v>0.81911999999999996</v>
      </c>
      <c r="Y292">
        <f t="shared" si="68"/>
        <v>0.97975999999999996</v>
      </c>
      <c r="Z292">
        <f t="shared" si="69"/>
        <v>0.94621999999999995</v>
      </c>
      <c r="AA292">
        <f t="shared" si="70"/>
        <v>1.0046600000000001</v>
      </c>
      <c r="AB292">
        <f t="shared" si="71"/>
        <v>0.89049999999999996</v>
      </c>
      <c r="AC292">
        <f t="shared" si="72"/>
        <v>1.02912</v>
      </c>
      <c r="AD292">
        <f t="shared" si="73"/>
        <v>1.0144599999999999</v>
      </c>
      <c r="AE292">
        <f t="shared" si="74"/>
        <v>1.04026</v>
      </c>
      <c r="AF292">
        <f t="shared" si="75"/>
        <v>1.06586</v>
      </c>
      <c r="AG292">
        <f t="shared" si="76"/>
        <v>0.85184000000000004</v>
      </c>
      <c r="AH292">
        <f t="shared" si="77"/>
        <v>0.81181999999999999</v>
      </c>
      <c r="AI292">
        <f t="shared" si="78"/>
        <v>0.78993999999999998</v>
      </c>
      <c r="AJ292">
        <f t="shared" si="79"/>
        <v>0.87431999999999999</v>
      </c>
      <c r="EC292">
        <v>690</v>
      </c>
      <c r="ED292">
        <v>0.98816000000000004</v>
      </c>
      <c r="EE292">
        <v>0.69730000000000003</v>
      </c>
      <c r="EF292">
        <v>1.0788800000000001</v>
      </c>
      <c r="EG292">
        <v>0.81911999999999996</v>
      </c>
      <c r="EH292">
        <v>0.97975999999999996</v>
      </c>
      <c r="EI292">
        <v>0.94621999999999995</v>
      </c>
      <c r="EJ292">
        <v>1.0046600000000001</v>
      </c>
      <c r="EK292">
        <v>0.89049999999999996</v>
      </c>
      <c r="EL292">
        <v>1.02912</v>
      </c>
      <c r="EM292">
        <v>1.0144599999999999</v>
      </c>
      <c r="EN292">
        <v>1.04026</v>
      </c>
      <c r="EO292">
        <v>1.06586</v>
      </c>
      <c r="EP292">
        <v>0.85184000000000004</v>
      </c>
      <c r="EQ292">
        <v>0.81181999999999999</v>
      </c>
      <c r="ER292">
        <v>0.78993999999999998</v>
      </c>
      <c r="ES292">
        <v>0.87431999999999999</v>
      </c>
    </row>
    <row r="293" spans="1:149" x14ac:dyDescent="0.35">
      <c r="A293" s="77"/>
      <c r="B293" s="77">
        <v>691</v>
      </c>
      <c r="C293" s="77">
        <v>0.4879</v>
      </c>
      <c r="D293" s="77">
        <v>0.34438000000000002</v>
      </c>
      <c r="E293" s="77">
        <v>0.53239000000000003</v>
      </c>
      <c r="F293" s="77">
        <v>0.40422000000000002</v>
      </c>
      <c r="G293" s="77">
        <v>0.48609999999999998</v>
      </c>
      <c r="H293" s="77">
        <v>0.46910000000000002</v>
      </c>
      <c r="I293" s="77">
        <v>0.49842999999999998</v>
      </c>
      <c r="J293" s="77">
        <v>0.44212000000000001</v>
      </c>
      <c r="K293" s="77">
        <v>0.51027</v>
      </c>
      <c r="L293" s="77">
        <v>0.50334000000000001</v>
      </c>
      <c r="M293" s="77">
        <v>0.51580999999999999</v>
      </c>
      <c r="N293" s="77">
        <v>0.52854999999999996</v>
      </c>
      <c r="O293" s="77">
        <v>0.42370999999999998</v>
      </c>
      <c r="P293" s="77">
        <v>0.40398000000000001</v>
      </c>
      <c r="Q293" s="77">
        <v>0.39313999999999999</v>
      </c>
      <c r="R293" s="77">
        <v>0.43497000000000002</v>
      </c>
      <c r="T293">
        <v>691</v>
      </c>
      <c r="U293">
        <f t="shared" si="64"/>
        <v>0.9758</v>
      </c>
      <c r="V293">
        <f t="shared" si="65"/>
        <v>0.68876000000000004</v>
      </c>
      <c r="W293">
        <f t="shared" si="66"/>
        <v>1.0647800000000001</v>
      </c>
      <c r="X293">
        <f t="shared" si="67"/>
        <v>0.80844000000000005</v>
      </c>
      <c r="Y293">
        <f t="shared" si="68"/>
        <v>0.97219999999999995</v>
      </c>
      <c r="Z293">
        <f t="shared" si="69"/>
        <v>0.93820000000000003</v>
      </c>
      <c r="AA293">
        <f t="shared" si="70"/>
        <v>0.99685999999999997</v>
      </c>
      <c r="AB293">
        <f t="shared" si="71"/>
        <v>0.88424000000000003</v>
      </c>
      <c r="AC293">
        <f t="shared" si="72"/>
        <v>1.02054</v>
      </c>
      <c r="AD293">
        <f t="shared" si="73"/>
        <v>1.00668</v>
      </c>
      <c r="AE293">
        <f t="shared" si="74"/>
        <v>1.03162</v>
      </c>
      <c r="AF293">
        <f t="shared" si="75"/>
        <v>1.0570999999999999</v>
      </c>
      <c r="AG293">
        <f t="shared" si="76"/>
        <v>0.84741999999999995</v>
      </c>
      <c r="AH293">
        <f t="shared" si="77"/>
        <v>0.80796000000000001</v>
      </c>
      <c r="AI293">
        <f t="shared" si="78"/>
        <v>0.78627999999999998</v>
      </c>
      <c r="AJ293">
        <f t="shared" si="79"/>
        <v>0.86994000000000005</v>
      </c>
      <c r="EC293">
        <v>691</v>
      </c>
      <c r="ED293">
        <v>0.9758</v>
      </c>
      <c r="EE293">
        <v>0.68876000000000004</v>
      </c>
      <c r="EF293">
        <v>1.0647800000000001</v>
      </c>
      <c r="EG293">
        <v>0.80844000000000005</v>
      </c>
      <c r="EH293">
        <v>0.97219999999999995</v>
      </c>
      <c r="EI293">
        <v>0.93820000000000003</v>
      </c>
      <c r="EJ293">
        <v>0.99685999999999997</v>
      </c>
      <c r="EK293">
        <v>0.88424000000000003</v>
      </c>
      <c r="EL293">
        <v>1.02054</v>
      </c>
      <c r="EM293">
        <v>1.00668</v>
      </c>
      <c r="EN293">
        <v>1.03162</v>
      </c>
      <c r="EO293">
        <v>1.0570999999999999</v>
      </c>
      <c r="EP293">
        <v>0.84741999999999995</v>
      </c>
      <c r="EQ293">
        <v>0.80796000000000001</v>
      </c>
      <c r="ER293">
        <v>0.78627999999999998</v>
      </c>
      <c r="ES293">
        <v>0.86994000000000005</v>
      </c>
    </row>
    <row r="294" spans="1:149" x14ac:dyDescent="0.35">
      <c r="A294" s="77"/>
      <c r="B294" s="77">
        <v>692</v>
      </c>
      <c r="C294" s="77">
        <v>0.48203000000000001</v>
      </c>
      <c r="D294" s="77">
        <v>0.34029999999999999</v>
      </c>
      <c r="E294" s="77">
        <v>0.52556000000000003</v>
      </c>
      <c r="F294" s="77">
        <v>0.39913999999999999</v>
      </c>
      <c r="G294" s="77">
        <v>0.48253000000000001</v>
      </c>
      <c r="H294" s="77">
        <v>0.46534999999999999</v>
      </c>
      <c r="I294" s="77">
        <v>0.49481000000000003</v>
      </c>
      <c r="J294" s="77">
        <v>0.43914999999999998</v>
      </c>
      <c r="K294" s="77">
        <v>0.50629000000000002</v>
      </c>
      <c r="L294" s="77">
        <v>0.49970999999999999</v>
      </c>
      <c r="M294" s="77">
        <v>0.51183000000000001</v>
      </c>
      <c r="N294" s="77">
        <v>0.52437999999999996</v>
      </c>
      <c r="O294" s="77">
        <v>0.42177999999999999</v>
      </c>
      <c r="P294" s="77">
        <v>0.40228000000000003</v>
      </c>
      <c r="Q294" s="77">
        <v>0.39152999999999999</v>
      </c>
      <c r="R294" s="77">
        <v>0.43306</v>
      </c>
      <c r="T294">
        <v>692</v>
      </c>
      <c r="U294">
        <f t="shared" si="64"/>
        <v>0.96406000000000003</v>
      </c>
      <c r="V294">
        <f t="shared" si="65"/>
        <v>0.68059999999999998</v>
      </c>
      <c r="W294">
        <f t="shared" si="66"/>
        <v>1.0511200000000001</v>
      </c>
      <c r="X294">
        <f t="shared" si="67"/>
        <v>0.79827999999999999</v>
      </c>
      <c r="Y294">
        <f t="shared" si="68"/>
        <v>0.96506000000000003</v>
      </c>
      <c r="Z294">
        <f t="shared" si="69"/>
        <v>0.93069999999999997</v>
      </c>
      <c r="AA294">
        <f t="shared" si="70"/>
        <v>0.98962000000000006</v>
      </c>
      <c r="AB294">
        <f t="shared" si="71"/>
        <v>0.87829999999999997</v>
      </c>
      <c r="AC294">
        <f t="shared" si="72"/>
        <v>1.01258</v>
      </c>
      <c r="AD294">
        <f t="shared" si="73"/>
        <v>0.99941999999999998</v>
      </c>
      <c r="AE294">
        <f t="shared" si="74"/>
        <v>1.02366</v>
      </c>
      <c r="AF294">
        <f t="shared" si="75"/>
        <v>1.0487599999999999</v>
      </c>
      <c r="AG294">
        <f t="shared" si="76"/>
        <v>0.84355999999999998</v>
      </c>
      <c r="AH294">
        <f t="shared" si="77"/>
        <v>0.80456000000000005</v>
      </c>
      <c r="AI294">
        <f t="shared" si="78"/>
        <v>0.78305999999999998</v>
      </c>
      <c r="AJ294">
        <f t="shared" si="79"/>
        <v>0.86612</v>
      </c>
      <c r="EC294">
        <v>692</v>
      </c>
      <c r="ED294">
        <v>0.96406000000000003</v>
      </c>
      <c r="EE294">
        <v>0.68059999999999998</v>
      </c>
      <c r="EF294">
        <v>1.0511200000000001</v>
      </c>
      <c r="EG294">
        <v>0.79827999999999999</v>
      </c>
      <c r="EH294">
        <v>0.96506000000000003</v>
      </c>
      <c r="EI294">
        <v>0.93069999999999997</v>
      </c>
      <c r="EJ294">
        <v>0.98962000000000006</v>
      </c>
      <c r="EK294">
        <v>0.87829999999999997</v>
      </c>
      <c r="EL294">
        <v>1.01258</v>
      </c>
      <c r="EM294">
        <v>0.99941999999999998</v>
      </c>
      <c r="EN294">
        <v>1.02366</v>
      </c>
      <c r="EO294">
        <v>1.0487599999999999</v>
      </c>
      <c r="EP294">
        <v>0.84355999999999998</v>
      </c>
      <c r="EQ294">
        <v>0.80456000000000005</v>
      </c>
      <c r="ER294">
        <v>0.78305999999999998</v>
      </c>
      <c r="ES294">
        <v>0.86612</v>
      </c>
    </row>
    <row r="295" spans="1:149" x14ac:dyDescent="0.35">
      <c r="A295" s="77"/>
      <c r="B295" s="77">
        <v>693</v>
      </c>
      <c r="C295" s="77">
        <v>0.47611999999999999</v>
      </c>
      <c r="D295" s="77">
        <v>0.33617000000000002</v>
      </c>
      <c r="E295" s="77">
        <v>0.51883000000000001</v>
      </c>
      <c r="F295" s="77">
        <v>0.39400000000000002</v>
      </c>
      <c r="G295" s="77">
        <v>0.47896</v>
      </c>
      <c r="H295" s="77">
        <v>0.46155000000000002</v>
      </c>
      <c r="I295" s="77">
        <v>0.49120999999999998</v>
      </c>
      <c r="J295" s="77">
        <v>0.43614000000000003</v>
      </c>
      <c r="K295" s="77">
        <v>0.50236999999999998</v>
      </c>
      <c r="L295" s="77">
        <v>0.49606</v>
      </c>
      <c r="M295" s="77">
        <v>0.50783</v>
      </c>
      <c r="N295" s="77">
        <v>0.52022999999999997</v>
      </c>
      <c r="O295" s="77">
        <v>0.41971999999999998</v>
      </c>
      <c r="P295" s="77">
        <v>0.40053</v>
      </c>
      <c r="Q295" s="77">
        <v>0.38985999999999998</v>
      </c>
      <c r="R295" s="77">
        <v>0.43108000000000002</v>
      </c>
      <c r="T295">
        <v>693</v>
      </c>
      <c r="U295">
        <f t="shared" si="64"/>
        <v>0.95223999999999998</v>
      </c>
      <c r="V295">
        <f t="shared" si="65"/>
        <v>0.67234000000000005</v>
      </c>
      <c r="W295">
        <f t="shared" si="66"/>
        <v>1.03766</v>
      </c>
      <c r="X295">
        <f t="shared" si="67"/>
        <v>0.78800000000000003</v>
      </c>
      <c r="Y295">
        <f t="shared" si="68"/>
        <v>0.95791999999999999</v>
      </c>
      <c r="Z295">
        <f t="shared" si="69"/>
        <v>0.92310000000000003</v>
      </c>
      <c r="AA295">
        <f t="shared" si="70"/>
        <v>0.98241999999999996</v>
      </c>
      <c r="AB295">
        <f t="shared" si="71"/>
        <v>0.87228000000000006</v>
      </c>
      <c r="AC295">
        <f t="shared" si="72"/>
        <v>1.00474</v>
      </c>
      <c r="AD295">
        <f t="shared" si="73"/>
        <v>0.99212</v>
      </c>
      <c r="AE295">
        <f t="shared" si="74"/>
        <v>1.01566</v>
      </c>
      <c r="AF295">
        <f t="shared" si="75"/>
        <v>1.0404599999999999</v>
      </c>
      <c r="AG295">
        <f t="shared" si="76"/>
        <v>0.83943999999999996</v>
      </c>
      <c r="AH295">
        <f t="shared" si="77"/>
        <v>0.80105999999999999</v>
      </c>
      <c r="AI295">
        <f t="shared" si="78"/>
        <v>0.77971999999999997</v>
      </c>
      <c r="AJ295">
        <f t="shared" si="79"/>
        <v>0.86216000000000004</v>
      </c>
      <c r="EC295">
        <v>693</v>
      </c>
      <c r="ED295">
        <v>0.95223999999999998</v>
      </c>
      <c r="EE295">
        <v>0.67234000000000005</v>
      </c>
      <c r="EF295">
        <v>1.03766</v>
      </c>
      <c r="EG295">
        <v>0.78800000000000003</v>
      </c>
      <c r="EH295">
        <v>0.95791999999999999</v>
      </c>
      <c r="EI295">
        <v>0.92310000000000003</v>
      </c>
      <c r="EJ295">
        <v>0.98241999999999996</v>
      </c>
      <c r="EK295">
        <v>0.87228000000000006</v>
      </c>
      <c r="EL295">
        <v>1.00474</v>
      </c>
      <c r="EM295">
        <v>0.99212</v>
      </c>
      <c r="EN295">
        <v>1.01566</v>
      </c>
      <c r="EO295">
        <v>1.0404599999999999</v>
      </c>
      <c r="EP295">
        <v>0.83943999999999996</v>
      </c>
      <c r="EQ295">
        <v>0.80105999999999999</v>
      </c>
      <c r="ER295">
        <v>0.77971999999999997</v>
      </c>
      <c r="ES295">
        <v>0.86216000000000004</v>
      </c>
    </row>
    <row r="296" spans="1:149" x14ac:dyDescent="0.35">
      <c r="A296" s="77"/>
      <c r="B296" s="77">
        <v>694</v>
      </c>
      <c r="C296" s="77">
        <v>0.46986</v>
      </c>
      <c r="D296" s="77">
        <v>0.33173999999999998</v>
      </c>
      <c r="E296" s="77">
        <v>0.51163000000000003</v>
      </c>
      <c r="F296" s="77">
        <v>0.38852999999999999</v>
      </c>
      <c r="G296" s="77">
        <v>0.47532999999999997</v>
      </c>
      <c r="H296" s="77">
        <v>0.45761000000000002</v>
      </c>
      <c r="I296" s="77">
        <v>0.48747000000000001</v>
      </c>
      <c r="J296" s="77">
        <v>0.43312</v>
      </c>
      <c r="K296" s="77">
        <v>0.49825000000000003</v>
      </c>
      <c r="L296" s="77">
        <v>0.49223</v>
      </c>
      <c r="M296" s="77">
        <v>0.50370999999999999</v>
      </c>
      <c r="N296" s="77">
        <v>0.51590999999999998</v>
      </c>
      <c r="O296" s="77">
        <v>0.41771999999999998</v>
      </c>
      <c r="P296" s="77">
        <v>0.39883000000000002</v>
      </c>
      <c r="Q296" s="77">
        <v>0.38821</v>
      </c>
      <c r="R296" s="77">
        <v>0.42908000000000002</v>
      </c>
      <c r="T296">
        <v>694</v>
      </c>
      <c r="U296">
        <f t="shared" si="64"/>
        <v>0.93972</v>
      </c>
      <c r="V296">
        <f t="shared" si="65"/>
        <v>0.66347999999999996</v>
      </c>
      <c r="W296">
        <f t="shared" si="66"/>
        <v>1.0232600000000001</v>
      </c>
      <c r="X296">
        <f t="shared" si="67"/>
        <v>0.77705999999999997</v>
      </c>
      <c r="Y296">
        <f t="shared" si="68"/>
        <v>0.95065999999999995</v>
      </c>
      <c r="Z296">
        <f t="shared" si="69"/>
        <v>0.91522000000000003</v>
      </c>
      <c r="AA296">
        <f t="shared" si="70"/>
        <v>0.97494000000000003</v>
      </c>
      <c r="AB296">
        <f t="shared" si="71"/>
        <v>0.86624000000000001</v>
      </c>
      <c r="AC296">
        <f t="shared" si="72"/>
        <v>0.99650000000000005</v>
      </c>
      <c r="AD296">
        <f t="shared" si="73"/>
        <v>0.98446</v>
      </c>
      <c r="AE296">
        <f t="shared" si="74"/>
        <v>1.00742</v>
      </c>
      <c r="AF296">
        <f t="shared" si="75"/>
        <v>1.03182</v>
      </c>
      <c r="AG296">
        <f t="shared" si="76"/>
        <v>0.83543999999999996</v>
      </c>
      <c r="AH296">
        <f t="shared" si="77"/>
        <v>0.79766000000000004</v>
      </c>
      <c r="AI296">
        <f t="shared" si="78"/>
        <v>0.77642</v>
      </c>
      <c r="AJ296">
        <f t="shared" si="79"/>
        <v>0.85816000000000003</v>
      </c>
      <c r="EC296">
        <v>694</v>
      </c>
      <c r="ED296">
        <v>0.93972</v>
      </c>
      <c r="EE296">
        <v>0.66347999999999996</v>
      </c>
      <c r="EF296">
        <v>1.0232600000000001</v>
      </c>
      <c r="EG296">
        <v>0.77705999999999997</v>
      </c>
      <c r="EH296">
        <v>0.95065999999999995</v>
      </c>
      <c r="EI296">
        <v>0.91522000000000003</v>
      </c>
      <c r="EJ296">
        <v>0.97494000000000003</v>
      </c>
      <c r="EK296">
        <v>0.86624000000000001</v>
      </c>
      <c r="EL296">
        <v>0.99650000000000005</v>
      </c>
      <c r="EM296">
        <v>0.98446</v>
      </c>
      <c r="EN296">
        <v>1.00742</v>
      </c>
      <c r="EO296">
        <v>1.03182</v>
      </c>
      <c r="EP296">
        <v>0.83543999999999996</v>
      </c>
      <c r="EQ296">
        <v>0.79766000000000004</v>
      </c>
      <c r="ER296">
        <v>0.77642</v>
      </c>
      <c r="ES296">
        <v>0.85816000000000003</v>
      </c>
    </row>
    <row r="297" spans="1:149" x14ac:dyDescent="0.35">
      <c r="A297" s="77"/>
      <c r="B297" s="77">
        <v>695</v>
      </c>
      <c r="C297" s="77">
        <v>0.46417000000000003</v>
      </c>
      <c r="D297" s="77">
        <v>0.32786999999999999</v>
      </c>
      <c r="E297" s="77">
        <v>0.50516000000000005</v>
      </c>
      <c r="F297" s="77">
        <v>0.38353999999999999</v>
      </c>
      <c r="G297" s="77">
        <v>0.47208</v>
      </c>
      <c r="H297" s="77">
        <v>0.45416000000000001</v>
      </c>
      <c r="I297" s="77">
        <v>0.48409999999999997</v>
      </c>
      <c r="J297" s="77">
        <v>0.43042000000000002</v>
      </c>
      <c r="K297" s="77">
        <v>0.49474000000000001</v>
      </c>
      <c r="L297" s="77">
        <v>0.48877999999999999</v>
      </c>
      <c r="M297" s="77">
        <v>0.50004999999999999</v>
      </c>
      <c r="N297" s="77">
        <v>0.51215999999999995</v>
      </c>
      <c r="O297" s="77">
        <v>0.41594999999999999</v>
      </c>
      <c r="P297" s="77">
        <v>0.39726</v>
      </c>
      <c r="Q297" s="77">
        <v>0.38683000000000001</v>
      </c>
      <c r="R297" s="77">
        <v>0.42737000000000003</v>
      </c>
      <c r="T297">
        <v>695</v>
      </c>
      <c r="U297">
        <f t="shared" si="64"/>
        <v>0.92834000000000005</v>
      </c>
      <c r="V297">
        <f t="shared" si="65"/>
        <v>0.65573999999999999</v>
      </c>
      <c r="W297">
        <f t="shared" si="66"/>
        <v>1.0103200000000001</v>
      </c>
      <c r="X297">
        <f t="shared" si="67"/>
        <v>0.76707999999999998</v>
      </c>
      <c r="Y297">
        <f t="shared" si="68"/>
        <v>0.94416</v>
      </c>
      <c r="Z297">
        <f t="shared" si="69"/>
        <v>0.90832000000000002</v>
      </c>
      <c r="AA297">
        <f t="shared" si="70"/>
        <v>0.96819999999999995</v>
      </c>
      <c r="AB297">
        <f t="shared" si="71"/>
        <v>0.86084000000000005</v>
      </c>
      <c r="AC297">
        <f t="shared" si="72"/>
        <v>0.98948000000000003</v>
      </c>
      <c r="AD297">
        <f t="shared" si="73"/>
        <v>0.97755999999999998</v>
      </c>
      <c r="AE297">
        <f t="shared" si="74"/>
        <v>1.0001</v>
      </c>
      <c r="AF297">
        <f t="shared" si="75"/>
        <v>1.0243199999999999</v>
      </c>
      <c r="AG297">
        <f t="shared" si="76"/>
        <v>0.83189999999999997</v>
      </c>
      <c r="AH297">
        <f t="shared" si="77"/>
        <v>0.79452</v>
      </c>
      <c r="AI297">
        <f t="shared" si="78"/>
        <v>0.77366000000000001</v>
      </c>
      <c r="AJ297">
        <f t="shared" si="79"/>
        <v>0.85474000000000006</v>
      </c>
      <c r="EC297">
        <v>695</v>
      </c>
      <c r="ED297">
        <v>0.92834000000000005</v>
      </c>
      <c r="EE297">
        <v>0.65573999999999999</v>
      </c>
      <c r="EF297">
        <v>1.0103200000000001</v>
      </c>
      <c r="EG297">
        <v>0.76707999999999998</v>
      </c>
      <c r="EH297">
        <v>0.94416</v>
      </c>
      <c r="EI297">
        <v>0.90832000000000002</v>
      </c>
      <c r="EJ297">
        <v>0.96819999999999995</v>
      </c>
      <c r="EK297">
        <v>0.86084000000000005</v>
      </c>
      <c r="EL297">
        <v>0.98948000000000003</v>
      </c>
      <c r="EM297">
        <v>0.97755999999999998</v>
      </c>
      <c r="EN297">
        <v>1.0001</v>
      </c>
      <c r="EO297">
        <v>1.0243199999999999</v>
      </c>
      <c r="EP297">
        <v>0.83189999999999997</v>
      </c>
      <c r="EQ297">
        <v>0.79452</v>
      </c>
      <c r="ER297">
        <v>0.77366000000000001</v>
      </c>
      <c r="ES297">
        <v>0.85474000000000006</v>
      </c>
    </row>
    <row r="298" spans="1:149" x14ac:dyDescent="0.35">
      <c r="A298" s="77"/>
      <c r="B298" s="77">
        <v>696</v>
      </c>
      <c r="C298" s="77">
        <v>0.45865</v>
      </c>
      <c r="D298" s="77">
        <v>0.32396000000000003</v>
      </c>
      <c r="E298" s="77">
        <v>0.49886999999999998</v>
      </c>
      <c r="F298" s="77">
        <v>0.37874000000000002</v>
      </c>
      <c r="G298" s="77">
        <v>0.46883000000000002</v>
      </c>
      <c r="H298" s="77">
        <v>0.45069999999999999</v>
      </c>
      <c r="I298" s="77">
        <v>0.48080000000000001</v>
      </c>
      <c r="J298" s="77">
        <v>0.42763000000000001</v>
      </c>
      <c r="K298" s="77">
        <v>0.49113000000000001</v>
      </c>
      <c r="L298" s="77">
        <v>0.48542999999999997</v>
      </c>
      <c r="M298" s="77">
        <v>0.49642999999999998</v>
      </c>
      <c r="N298" s="77">
        <v>0.50836000000000003</v>
      </c>
      <c r="O298" s="77">
        <v>0.41420000000000001</v>
      </c>
      <c r="P298" s="77">
        <v>0.39572000000000002</v>
      </c>
      <c r="Q298" s="77">
        <v>0.38533000000000001</v>
      </c>
      <c r="R298" s="77">
        <v>0.42564000000000002</v>
      </c>
      <c r="T298">
        <v>696</v>
      </c>
      <c r="U298">
        <f t="shared" si="64"/>
        <v>0.9173</v>
      </c>
      <c r="V298">
        <f t="shared" si="65"/>
        <v>0.64792000000000005</v>
      </c>
      <c r="W298">
        <f t="shared" si="66"/>
        <v>0.99773999999999996</v>
      </c>
      <c r="X298">
        <f t="shared" si="67"/>
        <v>0.75748000000000004</v>
      </c>
      <c r="Y298">
        <f t="shared" si="68"/>
        <v>0.93766000000000005</v>
      </c>
      <c r="Z298">
        <f t="shared" si="69"/>
        <v>0.90139999999999998</v>
      </c>
      <c r="AA298">
        <f t="shared" si="70"/>
        <v>0.96160000000000001</v>
      </c>
      <c r="AB298">
        <f t="shared" si="71"/>
        <v>0.85526000000000002</v>
      </c>
      <c r="AC298">
        <f t="shared" si="72"/>
        <v>0.98226000000000002</v>
      </c>
      <c r="AD298">
        <f t="shared" si="73"/>
        <v>0.97085999999999995</v>
      </c>
      <c r="AE298">
        <f t="shared" si="74"/>
        <v>0.99285999999999996</v>
      </c>
      <c r="AF298">
        <f t="shared" si="75"/>
        <v>1.0167200000000001</v>
      </c>
      <c r="AG298">
        <f t="shared" si="76"/>
        <v>0.82840000000000003</v>
      </c>
      <c r="AH298">
        <f t="shared" si="77"/>
        <v>0.79144000000000003</v>
      </c>
      <c r="AI298">
        <f t="shared" si="78"/>
        <v>0.77066000000000001</v>
      </c>
      <c r="AJ298">
        <f t="shared" si="79"/>
        <v>0.85128000000000004</v>
      </c>
      <c r="EC298">
        <v>696</v>
      </c>
      <c r="ED298">
        <v>0.9173</v>
      </c>
      <c r="EE298">
        <v>0.64792000000000005</v>
      </c>
      <c r="EF298">
        <v>0.99773999999999996</v>
      </c>
      <c r="EG298">
        <v>0.75748000000000004</v>
      </c>
      <c r="EH298">
        <v>0.93766000000000005</v>
      </c>
      <c r="EI298">
        <v>0.90139999999999998</v>
      </c>
      <c r="EJ298">
        <v>0.96160000000000001</v>
      </c>
      <c r="EK298">
        <v>0.85526000000000002</v>
      </c>
      <c r="EL298">
        <v>0.98226000000000002</v>
      </c>
      <c r="EM298">
        <v>0.97085999999999995</v>
      </c>
      <c r="EN298">
        <v>0.99285999999999996</v>
      </c>
      <c r="EO298">
        <v>1.0167200000000001</v>
      </c>
      <c r="EP298">
        <v>0.82840000000000003</v>
      </c>
      <c r="EQ298">
        <v>0.79144000000000003</v>
      </c>
      <c r="ER298">
        <v>0.77066000000000001</v>
      </c>
      <c r="ES298">
        <v>0.85128000000000004</v>
      </c>
    </row>
    <row r="299" spans="1:149" x14ac:dyDescent="0.35">
      <c r="A299" s="77"/>
      <c r="B299" s="77">
        <v>697</v>
      </c>
      <c r="C299" s="77">
        <v>0.45334999999999998</v>
      </c>
      <c r="D299" s="77">
        <v>0.32027</v>
      </c>
      <c r="E299" s="77">
        <v>0.49286999999999997</v>
      </c>
      <c r="F299" s="77">
        <v>0.37407000000000001</v>
      </c>
      <c r="G299" s="77">
        <v>0.46576000000000001</v>
      </c>
      <c r="H299" s="77">
        <v>0.44746000000000002</v>
      </c>
      <c r="I299" s="77">
        <v>0.47769</v>
      </c>
      <c r="J299" s="77">
        <v>0.42510999999999999</v>
      </c>
      <c r="K299" s="77">
        <v>0.48777999999999999</v>
      </c>
      <c r="L299" s="77">
        <v>0.48227999999999999</v>
      </c>
      <c r="M299" s="77">
        <v>0.49301</v>
      </c>
      <c r="N299" s="77">
        <v>0.50488</v>
      </c>
      <c r="O299" s="77">
        <v>0.41245999999999999</v>
      </c>
      <c r="P299" s="77">
        <v>0.39421</v>
      </c>
      <c r="Q299" s="77">
        <v>0.38394</v>
      </c>
      <c r="R299" s="77">
        <v>0.42398000000000002</v>
      </c>
      <c r="T299">
        <v>697</v>
      </c>
      <c r="U299">
        <f t="shared" si="64"/>
        <v>0.90669999999999995</v>
      </c>
      <c r="V299">
        <f t="shared" si="65"/>
        <v>0.64054</v>
      </c>
      <c r="W299">
        <f t="shared" si="66"/>
        <v>0.98573999999999995</v>
      </c>
      <c r="X299">
        <f t="shared" si="67"/>
        <v>0.74814000000000003</v>
      </c>
      <c r="Y299">
        <f t="shared" si="68"/>
        <v>0.93152000000000001</v>
      </c>
      <c r="Z299">
        <f t="shared" si="69"/>
        <v>0.89492000000000005</v>
      </c>
      <c r="AA299">
        <f t="shared" si="70"/>
        <v>0.95538000000000001</v>
      </c>
      <c r="AB299">
        <f t="shared" si="71"/>
        <v>0.85021999999999998</v>
      </c>
      <c r="AC299">
        <f t="shared" si="72"/>
        <v>0.97555999999999998</v>
      </c>
      <c r="AD299">
        <f t="shared" si="73"/>
        <v>0.96455999999999997</v>
      </c>
      <c r="AE299">
        <f t="shared" si="74"/>
        <v>0.98602000000000001</v>
      </c>
      <c r="AF299">
        <f t="shared" si="75"/>
        <v>1.00976</v>
      </c>
      <c r="AG299">
        <f t="shared" si="76"/>
        <v>0.82491999999999999</v>
      </c>
      <c r="AH299">
        <f t="shared" si="77"/>
        <v>0.78842000000000001</v>
      </c>
      <c r="AI299">
        <f t="shared" si="78"/>
        <v>0.76788000000000001</v>
      </c>
      <c r="AJ299">
        <f t="shared" si="79"/>
        <v>0.84796000000000005</v>
      </c>
      <c r="EC299">
        <v>697</v>
      </c>
      <c r="ED299">
        <v>0.90669999999999995</v>
      </c>
      <c r="EE299">
        <v>0.64054</v>
      </c>
      <c r="EF299">
        <v>0.98573999999999995</v>
      </c>
      <c r="EG299">
        <v>0.74814000000000003</v>
      </c>
      <c r="EH299">
        <v>0.93152000000000001</v>
      </c>
      <c r="EI299">
        <v>0.89492000000000005</v>
      </c>
      <c r="EJ299">
        <v>0.95538000000000001</v>
      </c>
      <c r="EK299">
        <v>0.85021999999999998</v>
      </c>
      <c r="EL299">
        <v>0.97555999999999998</v>
      </c>
      <c r="EM299">
        <v>0.96455999999999997</v>
      </c>
      <c r="EN299">
        <v>0.98602000000000001</v>
      </c>
      <c r="EO299">
        <v>1.00976</v>
      </c>
      <c r="EP299">
        <v>0.82491999999999999</v>
      </c>
      <c r="EQ299">
        <v>0.78842000000000001</v>
      </c>
      <c r="ER299">
        <v>0.76788000000000001</v>
      </c>
      <c r="ES299">
        <v>0.84796000000000005</v>
      </c>
    </row>
    <row r="300" spans="1:149" x14ac:dyDescent="0.35">
      <c r="A300" s="77"/>
      <c r="B300" s="77">
        <v>698</v>
      </c>
      <c r="C300" s="77">
        <v>0.44829000000000002</v>
      </c>
      <c r="D300" s="77">
        <v>0.31673000000000001</v>
      </c>
      <c r="E300" s="77">
        <v>0.48723</v>
      </c>
      <c r="F300" s="77">
        <v>0.36975000000000002</v>
      </c>
      <c r="G300" s="77">
        <v>0.46290999999999999</v>
      </c>
      <c r="H300" s="77">
        <v>0.44441000000000003</v>
      </c>
      <c r="I300" s="77">
        <v>0.47477999999999998</v>
      </c>
      <c r="J300" s="77">
        <v>0.42268</v>
      </c>
      <c r="K300" s="77">
        <v>0.48455999999999999</v>
      </c>
      <c r="L300" s="77">
        <v>0.47942000000000001</v>
      </c>
      <c r="M300" s="77">
        <v>0.48984</v>
      </c>
      <c r="N300" s="77">
        <v>0.50153999999999999</v>
      </c>
      <c r="O300" s="77">
        <v>0.41098000000000001</v>
      </c>
      <c r="P300" s="77">
        <v>0.39282</v>
      </c>
      <c r="Q300" s="77">
        <v>0.3826</v>
      </c>
      <c r="R300" s="77">
        <v>0.42241000000000001</v>
      </c>
      <c r="T300">
        <v>698</v>
      </c>
      <c r="U300">
        <f t="shared" si="64"/>
        <v>0.89658000000000004</v>
      </c>
      <c r="V300">
        <f t="shared" si="65"/>
        <v>0.63346000000000002</v>
      </c>
      <c r="W300">
        <f t="shared" si="66"/>
        <v>0.97445999999999999</v>
      </c>
      <c r="X300">
        <f t="shared" si="67"/>
        <v>0.73950000000000005</v>
      </c>
      <c r="Y300">
        <f t="shared" si="68"/>
        <v>0.92581999999999998</v>
      </c>
      <c r="Z300">
        <f t="shared" si="69"/>
        <v>0.88882000000000005</v>
      </c>
      <c r="AA300">
        <f t="shared" si="70"/>
        <v>0.94955999999999996</v>
      </c>
      <c r="AB300">
        <f t="shared" si="71"/>
        <v>0.84536</v>
      </c>
      <c r="AC300">
        <f t="shared" si="72"/>
        <v>0.96911999999999998</v>
      </c>
      <c r="AD300">
        <f t="shared" si="73"/>
        <v>0.95884000000000003</v>
      </c>
      <c r="AE300">
        <f t="shared" si="74"/>
        <v>0.97968</v>
      </c>
      <c r="AF300">
        <f t="shared" si="75"/>
        <v>1.00308</v>
      </c>
      <c r="AG300">
        <f t="shared" si="76"/>
        <v>0.82196000000000002</v>
      </c>
      <c r="AH300">
        <f t="shared" si="77"/>
        <v>0.78564000000000001</v>
      </c>
      <c r="AI300">
        <f t="shared" si="78"/>
        <v>0.76519999999999999</v>
      </c>
      <c r="AJ300">
        <f t="shared" si="79"/>
        <v>0.84482000000000002</v>
      </c>
      <c r="EC300">
        <v>698</v>
      </c>
      <c r="ED300">
        <v>0.89658000000000004</v>
      </c>
      <c r="EE300">
        <v>0.63346000000000002</v>
      </c>
      <c r="EF300">
        <v>0.97445999999999999</v>
      </c>
      <c r="EG300">
        <v>0.73950000000000005</v>
      </c>
      <c r="EH300">
        <v>0.92581999999999998</v>
      </c>
      <c r="EI300">
        <v>0.88882000000000005</v>
      </c>
      <c r="EJ300">
        <v>0.94955999999999996</v>
      </c>
      <c r="EK300">
        <v>0.84536</v>
      </c>
      <c r="EL300">
        <v>0.96911999999999998</v>
      </c>
      <c r="EM300">
        <v>0.95884000000000003</v>
      </c>
      <c r="EN300">
        <v>0.97968</v>
      </c>
      <c r="EO300">
        <v>1.00308</v>
      </c>
      <c r="EP300">
        <v>0.82196000000000002</v>
      </c>
      <c r="EQ300">
        <v>0.78564000000000001</v>
      </c>
      <c r="ER300">
        <v>0.76519999999999999</v>
      </c>
      <c r="ES300">
        <v>0.84482000000000002</v>
      </c>
    </row>
    <row r="301" spans="1:149" x14ac:dyDescent="0.35">
      <c r="A301" s="77"/>
      <c r="B301" s="77">
        <v>699</v>
      </c>
      <c r="C301" s="77">
        <v>0.44370999999999999</v>
      </c>
      <c r="D301" s="77">
        <v>0.31351000000000001</v>
      </c>
      <c r="E301" s="77">
        <v>0.48209000000000002</v>
      </c>
      <c r="F301" s="77">
        <v>0.36574000000000001</v>
      </c>
      <c r="G301" s="77">
        <v>0.46029999999999999</v>
      </c>
      <c r="H301" s="77">
        <v>0.44164999999999999</v>
      </c>
      <c r="I301" s="77">
        <v>0.47210999999999997</v>
      </c>
      <c r="J301" s="77">
        <v>0.42054999999999998</v>
      </c>
      <c r="K301" s="77">
        <v>0.48166999999999999</v>
      </c>
      <c r="L301" s="77">
        <v>0.47675000000000001</v>
      </c>
      <c r="M301" s="77">
        <v>0.48699999999999999</v>
      </c>
      <c r="N301" s="77">
        <v>0.49848999999999999</v>
      </c>
      <c r="O301" s="77">
        <v>0.40944999999999998</v>
      </c>
      <c r="P301" s="77">
        <v>0.39154</v>
      </c>
      <c r="Q301" s="77">
        <v>0.38135999999999998</v>
      </c>
      <c r="R301" s="77">
        <v>0.42096</v>
      </c>
      <c r="T301">
        <v>699</v>
      </c>
      <c r="U301">
        <f t="shared" si="64"/>
        <v>0.88741999999999999</v>
      </c>
      <c r="V301">
        <f t="shared" si="65"/>
        <v>0.62702000000000002</v>
      </c>
      <c r="W301">
        <f t="shared" si="66"/>
        <v>0.96418000000000004</v>
      </c>
      <c r="X301">
        <f t="shared" si="67"/>
        <v>0.73148000000000002</v>
      </c>
      <c r="Y301">
        <f t="shared" si="68"/>
        <v>0.92059999999999997</v>
      </c>
      <c r="Z301">
        <f t="shared" si="69"/>
        <v>0.88329999999999997</v>
      </c>
      <c r="AA301">
        <f t="shared" si="70"/>
        <v>0.94421999999999995</v>
      </c>
      <c r="AB301">
        <f t="shared" si="71"/>
        <v>0.84109999999999996</v>
      </c>
      <c r="AC301">
        <f t="shared" si="72"/>
        <v>0.96333999999999997</v>
      </c>
      <c r="AD301">
        <f t="shared" si="73"/>
        <v>0.95350000000000001</v>
      </c>
      <c r="AE301">
        <f t="shared" si="74"/>
        <v>0.97399999999999998</v>
      </c>
      <c r="AF301">
        <f t="shared" si="75"/>
        <v>0.99697999999999998</v>
      </c>
      <c r="AG301">
        <f t="shared" si="76"/>
        <v>0.81889999999999996</v>
      </c>
      <c r="AH301">
        <f t="shared" si="77"/>
        <v>0.78308</v>
      </c>
      <c r="AI301">
        <f t="shared" si="78"/>
        <v>0.76271999999999995</v>
      </c>
      <c r="AJ301">
        <f t="shared" si="79"/>
        <v>0.84192</v>
      </c>
      <c r="EC301">
        <v>699</v>
      </c>
      <c r="ED301">
        <v>0.88741999999999999</v>
      </c>
      <c r="EE301">
        <v>0.62702000000000002</v>
      </c>
      <c r="EF301">
        <v>0.96418000000000004</v>
      </c>
      <c r="EG301">
        <v>0.73148000000000002</v>
      </c>
      <c r="EH301">
        <v>0.92059999999999997</v>
      </c>
      <c r="EI301">
        <v>0.88329999999999997</v>
      </c>
      <c r="EJ301">
        <v>0.94421999999999995</v>
      </c>
      <c r="EK301">
        <v>0.84109999999999996</v>
      </c>
      <c r="EL301">
        <v>0.96333999999999997</v>
      </c>
      <c r="EM301">
        <v>0.95350000000000001</v>
      </c>
      <c r="EN301">
        <v>0.97399999999999998</v>
      </c>
      <c r="EO301">
        <v>0.99697999999999998</v>
      </c>
      <c r="EP301">
        <v>0.81889999999999996</v>
      </c>
      <c r="EQ301">
        <v>0.78308</v>
      </c>
      <c r="ER301">
        <v>0.76271999999999995</v>
      </c>
      <c r="ES301">
        <v>0.84192</v>
      </c>
    </row>
    <row r="302" spans="1:149" x14ac:dyDescent="0.35">
      <c r="A302" s="77"/>
      <c r="B302" s="77">
        <v>700</v>
      </c>
      <c r="C302" s="77">
        <v>0.43930000000000002</v>
      </c>
      <c r="D302" s="77">
        <v>0.31041999999999997</v>
      </c>
      <c r="E302" s="77">
        <v>0.47710000000000002</v>
      </c>
      <c r="F302" s="77">
        <v>0.36192000000000002</v>
      </c>
      <c r="G302" s="77">
        <v>0.45789999999999997</v>
      </c>
      <c r="H302" s="77">
        <v>0.43896000000000002</v>
      </c>
      <c r="I302" s="77">
        <v>0.46959000000000001</v>
      </c>
      <c r="J302" s="77">
        <v>0.41839999999999999</v>
      </c>
      <c r="K302" s="77">
        <v>0.47893999999999998</v>
      </c>
      <c r="L302" s="77">
        <v>0.47415000000000002</v>
      </c>
      <c r="M302" s="77">
        <v>0.48420999999999997</v>
      </c>
      <c r="N302" s="77">
        <v>0.49567</v>
      </c>
      <c r="O302" s="77">
        <v>0.40799999999999997</v>
      </c>
      <c r="P302" s="77">
        <v>0.39019999999999999</v>
      </c>
      <c r="Q302" s="77">
        <v>0.38013999999999998</v>
      </c>
      <c r="R302" s="77">
        <v>0.41950999999999999</v>
      </c>
      <c r="T302">
        <v>700</v>
      </c>
      <c r="U302">
        <f t="shared" si="64"/>
        <v>0.87860000000000005</v>
      </c>
      <c r="V302">
        <f t="shared" si="65"/>
        <v>0.62083999999999995</v>
      </c>
      <c r="W302">
        <f t="shared" si="66"/>
        <v>0.95420000000000005</v>
      </c>
      <c r="X302">
        <f t="shared" si="67"/>
        <v>0.72384000000000004</v>
      </c>
      <c r="Y302">
        <f t="shared" si="68"/>
        <v>0.91579999999999995</v>
      </c>
      <c r="Z302">
        <f t="shared" si="69"/>
        <v>0.87792000000000003</v>
      </c>
      <c r="AA302">
        <f t="shared" si="70"/>
        <v>0.93918000000000001</v>
      </c>
      <c r="AB302">
        <f t="shared" si="71"/>
        <v>0.83679999999999999</v>
      </c>
      <c r="AC302">
        <f t="shared" si="72"/>
        <v>0.95787999999999995</v>
      </c>
      <c r="AD302">
        <f t="shared" si="73"/>
        <v>0.94830000000000003</v>
      </c>
      <c r="AE302">
        <f t="shared" si="74"/>
        <v>0.96841999999999995</v>
      </c>
      <c r="AF302">
        <f t="shared" si="75"/>
        <v>0.99134</v>
      </c>
      <c r="AG302">
        <f t="shared" si="76"/>
        <v>0.81599999999999995</v>
      </c>
      <c r="AH302">
        <f t="shared" si="77"/>
        <v>0.78039999999999998</v>
      </c>
      <c r="AI302">
        <f t="shared" si="78"/>
        <v>0.76027999999999996</v>
      </c>
      <c r="AJ302">
        <f t="shared" si="79"/>
        <v>0.83901999999999999</v>
      </c>
      <c r="EC302">
        <v>700</v>
      </c>
      <c r="ED302">
        <v>0.87860000000000005</v>
      </c>
      <c r="EE302">
        <v>0.62083999999999995</v>
      </c>
      <c r="EF302">
        <v>0.95420000000000005</v>
      </c>
      <c r="EG302">
        <v>0.72384000000000004</v>
      </c>
      <c r="EH302">
        <v>0.91579999999999995</v>
      </c>
      <c r="EI302">
        <v>0.87792000000000003</v>
      </c>
      <c r="EJ302">
        <v>0.93918000000000001</v>
      </c>
      <c r="EK302">
        <v>0.83679999999999999</v>
      </c>
      <c r="EL302">
        <v>0.95787999999999995</v>
      </c>
      <c r="EM302">
        <v>0.94830000000000003</v>
      </c>
      <c r="EN302">
        <v>0.96841999999999995</v>
      </c>
      <c r="EO302">
        <v>0.99134</v>
      </c>
      <c r="EP302">
        <v>0.81599999999999995</v>
      </c>
      <c r="EQ302">
        <v>0.78039999999999998</v>
      </c>
      <c r="ER302">
        <v>0.76027999999999996</v>
      </c>
      <c r="ES302">
        <v>0.83901999999999999</v>
      </c>
    </row>
    <row r="303" spans="1:149" x14ac:dyDescent="0.35">
      <c r="A303" s="77"/>
      <c r="B303" s="77">
        <v>701</v>
      </c>
      <c r="C303" s="77">
        <v>0.43526999999999999</v>
      </c>
      <c r="D303" s="77">
        <v>0.30763000000000001</v>
      </c>
      <c r="E303" s="77">
        <v>0.47262999999999999</v>
      </c>
      <c r="F303" s="77">
        <v>0.35843000000000003</v>
      </c>
      <c r="G303" s="77">
        <v>0.45545999999999998</v>
      </c>
      <c r="H303" s="77">
        <v>0.43640000000000001</v>
      </c>
      <c r="I303" s="77">
        <v>0.46722000000000002</v>
      </c>
      <c r="J303" s="77">
        <v>0.41643999999999998</v>
      </c>
      <c r="K303" s="77">
        <v>0.47638999999999998</v>
      </c>
      <c r="L303" s="77">
        <v>0.47177000000000002</v>
      </c>
      <c r="M303" s="77">
        <v>0.48165999999999998</v>
      </c>
      <c r="N303" s="77">
        <v>0.49301</v>
      </c>
      <c r="O303" s="77">
        <v>0.40667999999999999</v>
      </c>
      <c r="P303" s="77">
        <v>0.38901000000000002</v>
      </c>
      <c r="Q303" s="77">
        <v>0.37896999999999997</v>
      </c>
      <c r="R303" s="77">
        <v>0.41818</v>
      </c>
      <c r="T303">
        <v>701</v>
      </c>
      <c r="U303">
        <f t="shared" si="64"/>
        <v>0.87053999999999998</v>
      </c>
      <c r="V303">
        <f t="shared" si="65"/>
        <v>0.61526000000000003</v>
      </c>
      <c r="W303">
        <f t="shared" si="66"/>
        <v>0.94525999999999999</v>
      </c>
      <c r="X303">
        <f t="shared" si="67"/>
        <v>0.71686000000000005</v>
      </c>
      <c r="Y303">
        <f t="shared" si="68"/>
        <v>0.91091999999999995</v>
      </c>
      <c r="Z303">
        <f t="shared" si="69"/>
        <v>0.87280000000000002</v>
      </c>
      <c r="AA303">
        <f t="shared" si="70"/>
        <v>0.93444000000000005</v>
      </c>
      <c r="AB303">
        <f t="shared" si="71"/>
        <v>0.83287999999999995</v>
      </c>
      <c r="AC303">
        <f t="shared" si="72"/>
        <v>0.95277999999999996</v>
      </c>
      <c r="AD303">
        <f t="shared" si="73"/>
        <v>0.94354000000000005</v>
      </c>
      <c r="AE303">
        <f t="shared" si="74"/>
        <v>0.96331999999999995</v>
      </c>
      <c r="AF303">
        <f t="shared" si="75"/>
        <v>0.98602000000000001</v>
      </c>
      <c r="AG303">
        <f t="shared" si="76"/>
        <v>0.81335999999999997</v>
      </c>
      <c r="AH303">
        <f t="shared" si="77"/>
        <v>0.77802000000000004</v>
      </c>
      <c r="AI303">
        <f t="shared" si="78"/>
        <v>0.75793999999999995</v>
      </c>
      <c r="AJ303">
        <f t="shared" si="79"/>
        <v>0.83635999999999999</v>
      </c>
      <c r="EC303">
        <v>701</v>
      </c>
      <c r="ED303">
        <v>0.87053999999999998</v>
      </c>
      <c r="EE303">
        <v>0.61526000000000003</v>
      </c>
      <c r="EF303">
        <v>0.94525999999999999</v>
      </c>
      <c r="EG303">
        <v>0.71686000000000005</v>
      </c>
      <c r="EH303">
        <v>0.91091999999999995</v>
      </c>
      <c r="EI303">
        <v>0.87280000000000002</v>
      </c>
      <c r="EJ303">
        <v>0.93444000000000005</v>
      </c>
      <c r="EK303">
        <v>0.83287999999999995</v>
      </c>
      <c r="EL303">
        <v>0.95277999999999996</v>
      </c>
      <c r="EM303">
        <v>0.94354000000000005</v>
      </c>
      <c r="EN303">
        <v>0.96331999999999995</v>
      </c>
      <c r="EO303">
        <v>0.98602000000000001</v>
      </c>
      <c r="EP303">
        <v>0.81335999999999997</v>
      </c>
      <c r="EQ303">
        <v>0.77802000000000004</v>
      </c>
      <c r="ER303">
        <v>0.75793999999999995</v>
      </c>
      <c r="ES303">
        <v>0.83635999999999999</v>
      </c>
    </row>
    <row r="304" spans="1:149" x14ac:dyDescent="0.35">
      <c r="A304" s="77"/>
      <c r="B304" s="77">
        <v>702</v>
      </c>
      <c r="C304" s="77">
        <v>0.43158999999999997</v>
      </c>
      <c r="D304" s="77">
        <v>0.30504999999999999</v>
      </c>
      <c r="E304" s="77">
        <v>0.46849000000000002</v>
      </c>
      <c r="F304" s="77">
        <v>0.35521000000000003</v>
      </c>
      <c r="G304" s="77">
        <v>0.45340999999999998</v>
      </c>
      <c r="H304" s="77">
        <v>0.43415999999999999</v>
      </c>
      <c r="I304" s="77">
        <v>0.46521000000000001</v>
      </c>
      <c r="J304" s="77">
        <v>0.41470000000000001</v>
      </c>
      <c r="K304" s="77">
        <v>0.47417999999999999</v>
      </c>
      <c r="L304" s="77">
        <v>0.46967999999999999</v>
      </c>
      <c r="M304" s="77">
        <v>0.47942000000000001</v>
      </c>
      <c r="N304" s="77">
        <v>0.49068000000000001</v>
      </c>
      <c r="O304" s="77">
        <v>0.40544000000000002</v>
      </c>
      <c r="P304" s="77">
        <v>0.38795000000000002</v>
      </c>
      <c r="Q304" s="77">
        <v>0.37803999999999999</v>
      </c>
      <c r="R304" s="77">
        <v>0.41696</v>
      </c>
      <c r="T304">
        <v>702</v>
      </c>
      <c r="U304">
        <f t="shared" si="64"/>
        <v>0.86317999999999995</v>
      </c>
      <c r="V304">
        <f t="shared" si="65"/>
        <v>0.61009999999999998</v>
      </c>
      <c r="W304">
        <f t="shared" si="66"/>
        <v>0.93698000000000004</v>
      </c>
      <c r="X304">
        <f t="shared" si="67"/>
        <v>0.71042000000000005</v>
      </c>
      <c r="Y304">
        <f t="shared" si="68"/>
        <v>0.90681999999999996</v>
      </c>
      <c r="Z304">
        <f t="shared" si="69"/>
        <v>0.86831999999999998</v>
      </c>
      <c r="AA304">
        <f t="shared" si="70"/>
        <v>0.93042000000000002</v>
      </c>
      <c r="AB304">
        <f t="shared" si="71"/>
        <v>0.82940000000000003</v>
      </c>
      <c r="AC304">
        <f t="shared" si="72"/>
        <v>0.94835999999999998</v>
      </c>
      <c r="AD304">
        <f t="shared" si="73"/>
        <v>0.93935999999999997</v>
      </c>
      <c r="AE304">
        <f t="shared" si="74"/>
        <v>0.95884000000000003</v>
      </c>
      <c r="AF304">
        <f t="shared" si="75"/>
        <v>0.98136000000000001</v>
      </c>
      <c r="AG304">
        <f t="shared" si="76"/>
        <v>0.81088000000000005</v>
      </c>
      <c r="AH304">
        <f t="shared" si="77"/>
        <v>0.77590000000000003</v>
      </c>
      <c r="AI304">
        <f t="shared" si="78"/>
        <v>0.75607999999999997</v>
      </c>
      <c r="AJ304">
        <f t="shared" si="79"/>
        <v>0.83391999999999999</v>
      </c>
      <c r="EC304">
        <v>702</v>
      </c>
      <c r="ED304">
        <v>0.86317999999999995</v>
      </c>
      <c r="EE304">
        <v>0.61009999999999998</v>
      </c>
      <c r="EF304">
        <v>0.93698000000000004</v>
      </c>
      <c r="EG304">
        <v>0.71042000000000005</v>
      </c>
      <c r="EH304">
        <v>0.90681999999999996</v>
      </c>
      <c r="EI304">
        <v>0.86831999999999998</v>
      </c>
      <c r="EJ304">
        <v>0.93042000000000002</v>
      </c>
      <c r="EK304">
        <v>0.82940000000000003</v>
      </c>
      <c r="EL304">
        <v>0.94835999999999998</v>
      </c>
      <c r="EM304">
        <v>0.93935999999999997</v>
      </c>
      <c r="EN304">
        <v>0.95884000000000003</v>
      </c>
      <c r="EO304">
        <v>0.98136000000000001</v>
      </c>
      <c r="EP304">
        <v>0.81088000000000005</v>
      </c>
      <c r="EQ304">
        <v>0.77590000000000003</v>
      </c>
      <c r="ER304">
        <v>0.75607999999999997</v>
      </c>
      <c r="ES304">
        <v>0.83391999999999999</v>
      </c>
    </row>
    <row r="305" spans="1:149" x14ac:dyDescent="0.35">
      <c r="A305" s="77"/>
      <c r="B305" s="77">
        <v>703</v>
      </c>
      <c r="C305" s="77">
        <v>0.42820999999999998</v>
      </c>
      <c r="D305" s="77">
        <v>0.30271999999999999</v>
      </c>
      <c r="E305" s="77">
        <v>0.46466000000000002</v>
      </c>
      <c r="F305" s="77">
        <v>0.35231000000000001</v>
      </c>
      <c r="G305" s="77">
        <v>0.45149</v>
      </c>
      <c r="H305" s="77">
        <v>0.43204999999999999</v>
      </c>
      <c r="I305" s="77">
        <v>0.46326000000000001</v>
      </c>
      <c r="J305" s="77">
        <v>0.41304000000000002</v>
      </c>
      <c r="K305" s="77">
        <v>0.47208</v>
      </c>
      <c r="L305" s="77">
        <v>0.46767999999999998</v>
      </c>
      <c r="M305" s="77">
        <v>0.47727999999999998</v>
      </c>
      <c r="N305" s="77">
        <v>0.48848000000000003</v>
      </c>
      <c r="O305" s="77">
        <v>0.40433000000000002</v>
      </c>
      <c r="P305" s="77">
        <v>0.38693</v>
      </c>
      <c r="Q305" s="77">
        <v>0.37708999999999998</v>
      </c>
      <c r="R305" s="77">
        <v>0.41582999999999998</v>
      </c>
      <c r="T305">
        <v>703</v>
      </c>
      <c r="U305">
        <f t="shared" si="64"/>
        <v>0.85641999999999996</v>
      </c>
      <c r="V305">
        <f t="shared" si="65"/>
        <v>0.60543999999999998</v>
      </c>
      <c r="W305">
        <f t="shared" si="66"/>
        <v>0.92932000000000003</v>
      </c>
      <c r="X305">
        <f t="shared" si="67"/>
        <v>0.70462000000000002</v>
      </c>
      <c r="Y305">
        <f t="shared" si="68"/>
        <v>0.90298</v>
      </c>
      <c r="Z305">
        <f t="shared" si="69"/>
        <v>0.86409999999999998</v>
      </c>
      <c r="AA305">
        <f t="shared" si="70"/>
        <v>0.92652000000000001</v>
      </c>
      <c r="AB305">
        <f t="shared" si="71"/>
        <v>0.82608000000000004</v>
      </c>
      <c r="AC305">
        <f t="shared" si="72"/>
        <v>0.94416</v>
      </c>
      <c r="AD305">
        <f t="shared" si="73"/>
        <v>0.93535999999999997</v>
      </c>
      <c r="AE305">
        <f t="shared" si="74"/>
        <v>0.95455999999999996</v>
      </c>
      <c r="AF305">
        <f t="shared" si="75"/>
        <v>0.97696000000000005</v>
      </c>
      <c r="AG305">
        <f t="shared" si="76"/>
        <v>0.80866000000000005</v>
      </c>
      <c r="AH305">
        <f t="shared" si="77"/>
        <v>0.77385999999999999</v>
      </c>
      <c r="AI305">
        <f t="shared" si="78"/>
        <v>0.75417999999999996</v>
      </c>
      <c r="AJ305">
        <f t="shared" si="79"/>
        <v>0.83165999999999995</v>
      </c>
      <c r="EC305">
        <v>703</v>
      </c>
      <c r="ED305">
        <v>0.85641999999999996</v>
      </c>
      <c r="EE305">
        <v>0.60543999999999998</v>
      </c>
      <c r="EF305">
        <v>0.92932000000000003</v>
      </c>
      <c r="EG305">
        <v>0.70462000000000002</v>
      </c>
      <c r="EH305">
        <v>0.90298</v>
      </c>
      <c r="EI305">
        <v>0.86409999999999998</v>
      </c>
      <c r="EJ305">
        <v>0.92652000000000001</v>
      </c>
      <c r="EK305">
        <v>0.82608000000000004</v>
      </c>
      <c r="EL305">
        <v>0.94416</v>
      </c>
      <c r="EM305">
        <v>0.93535999999999997</v>
      </c>
      <c r="EN305">
        <v>0.95455999999999996</v>
      </c>
      <c r="EO305">
        <v>0.97696000000000005</v>
      </c>
      <c r="EP305">
        <v>0.80866000000000005</v>
      </c>
      <c r="EQ305">
        <v>0.77385999999999999</v>
      </c>
      <c r="ER305">
        <v>0.75417999999999996</v>
      </c>
      <c r="ES305">
        <v>0.83165999999999995</v>
      </c>
    </row>
    <row r="306" spans="1:149" x14ac:dyDescent="0.35">
      <c r="A306" s="77"/>
      <c r="B306" s="77">
        <v>704</v>
      </c>
      <c r="C306" s="77">
        <v>0.42502000000000001</v>
      </c>
      <c r="D306" s="77">
        <v>0.30048999999999998</v>
      </c>
      <c r="E306" s="77">
        <v>0.46109</v>
      </c>
      <c r="F306" s="77">
        <v>0.34953000000000001</v>
      </c>
      <c r="G306" s="77">
        <v>0.44968999999999998</v>
      </c>
      <c r="H306" s="77">
        <v>0.43009999999999998</v>
      </c>
      <c r="I306" s="77">
        <v>0.46145999999999998</v>
      </c>
      <c r="J306" s="77">
        <v>0.41144999999999998</v>
      </c>
      <c r="K306" s="77">
        <v>0.47015000000000001</v>
      </c>
      <c r="L306" s="77">
        <v>0.46581</v>
      </c>
      <c r="M306" s="77">
        <v>0.47521999999999998</v>
      </c>
      <c r="N306" s="77">
        <v>0.48642000000000002</v>
      </c>
      <c r="O306" s="77">
        <v>0.40317999999999998</v>
      </c>
      <c r="P306" s="77">
        <v>0.38594000000000001</v>
      </c>
      <c r="Q306" s="77">
        <v>0.37608000000000003</v>
      </c>
      <c r="R306" s="77">
        <v>0.41470000000000001</v>
      </c>
      <c r="T306">
        <v>704</v>
      </c>
      <c r="U306">
        <f t="shared" si="64"/>
        <v>0.85004000000000002</v>
      </c>
      <c r="V306">
        <f t="shared" si="65"/>
        <v>0.60097999999999996</v>
      </c>
      <c r="W306">
        <f t="shared" si="66"/>
        <v>0.92218</v>
      </c>
      <c r="X306">
        <f t="shared" si="67"/>
        <v>0.69906000000000001</v>
      </c>
      <c r="Y306">
        <f t="shared" si="68"/>
        <v>0.89937999999999996</v>
      </c>
      <c r="Z306">
        <f t="shared" si="69"/>
        <v>0.86019999999999996</v>
      </c>
      <c r="AA306">
        <f t="shared" si="70"/>
        <v>0.92291999999999996</v>
      </c>
      <c r="AB306">
        <f t="shared" si="71"/>
        <v>0.82289999999999996</v>
      </c>
      <c r="AC306">
        <f t="shared" si="72"/>
        <v>0.94030000000000002</v>
      </c>
      <c r="AD306">
        <f t="shared" si="73"/>
        <v>0.93162</v>
      </c>
      <c r="AE306">
        <f t="shared" si="74"/>
        <v>0.95043999999999995</v>
      </c>
      <c r="AF306">
        <f t="shared" si="75"/>
        <v>0.97284000000000004</v>
      </c>
      <c r="AG306">
        <f t="shared" si="76"/>
        <v>0.80635999999999997</v>
      </c>
      <c r="AH306">
        <f t="shared" si="77"/>
        <v>0.77188000000000001</v>
      </c>
      <c r="AI306">
        <f t="shared" si="78"/>
        <v>0.75216000000000005</v>
      </c>
      <c r="AJ306">
        <f t="shared" si="79"/>
        <v>0.82940000000000003</v>
      </c>
      <c r="EC306">
        <v>704</v>
      </c>
      <c r="ED306">
        <v>0.85004000000000002</v>
      </c>
      <c r="EE306">
        <v>0.60097999999999996</v>
      </c>
      <c r="EF306">
        <v>0.92218</v>
      </c>
      <c r="EG306">
        <v>0.69906000000000001</v>
      </c>
      <c r="EH306">
        <v>0.89937999999999996</v>
      </c>
      <c r="EI306">
        <v>0.86019999999999996</v>
      </c>
      <c r="EJ306">
        <v>0.92291999999999996</v>
      </c>
      <c r="EK306">
        <v>0.82289999999999996</v>
      </c>
      <c r="EL306">
        <v>0.94030000000000002</v>
      </c>
      <c r="EM306">
        <v>0.93162</v>
      </c>
      <c r="EN306">
        <v>0.95043999999999995</v>
      </c>
      <c r="EO306">
        <v>0.97284000000000004</v>
      </c>
      <c r="EP306">
        <v>0.80635999999999997</v>
      </c>
      <c r="EQ306">
        <v>0.77188000000000001</v>
      </c>
      <c r="ER306">
        <v>0.75216000000000005</v>
      </c>
      <c r="ES306">
        <v>0.82940000000000003</v>
      </c>
    </row>
    <row r="307" spans="1:149" x14ac:dyDescent="0.35">
      <c r="A307" s="77"/>
      <c r="B307" s="77">
        <v>705</v>
      </c>
      <c r="C307" s="77">
        <v>0.42194999999999999</v>
      </c>
      <c r="D307" s="77">
        <v>0.29831000000000002</v>
      </c>
      <c r="E307" s="77">
        <v>0.45776</v>
      </c>
      <c r="F307" s="77">
        <v>0.34684999999999999</v>
      </c>
      <c r="G307" s="77">
        <v>0.44801000000000002</v>
      </c>
      <c r="H307" s="77">
        <v>0.42825000000000002</v>
      </c>
      <c r="I307" s="77">
        <v>0.45972000000000002</v>
      </c>
      <c r="J307" s="77">
        <v>0.41</v>
      </c>
      <c r="K307" s="77">
        <v>0.46828999999999998</v>
      </c>
      <c r="L307" s="77">
        <v>0.46407999999999999</v>
      </c>
      <c r="M307" s="77">
        <v>0.47336</v>
      </c>
      <c r="N307" s="77">
        <v>0.48444999999999999</v>
      </c>
      <c r="O307" s="77">
        <v>0.40207999999999999</v>
      </c>
      <c r="P307" s="77">
        <v>0.38492999999999999</v>
      </c>
      <c r="Q307" s="77">
        <v>0.37512000000000001</v>
      </c>
      <c r="R307" s="77">
        <v>0.41365000000000002</v>
      </c>
      <c r="T307">
        <v>705</v>
      </c>
      <c r="U307">
        <f t="shared" si="64"/>
        <v>0.84389999999999998</v>
      </c>
      <c r="V307">
        <f t="shared" si="65"/>
        <v>0.59662000000000004</v>
      </c>
      <c r="W307">
        <f t="shared" si="66"/>
        <v>0.91552</v>
      </c>
      <c r="X307">
        <f t="shared" si="67"/>
        <v>0.69369999999999998</v>
      </c>
      <c r="Y307">
        <f t="shared" si="68"/>
        <v>0.89602000000000004</v>
      </c>
      <c r="Z307">
        <f t="shared" si="69"/>
        <v>0.85650000000000004</v>
      </c>
      <c r="AA307">
        <f t="shared" si="70"/>
        <v>0.91944000000000004</v>
      </c>
      <c r="AB307">
        <f t="shared" si="71"/>
        <v>0.82</v>
      </c>
      <c r="AC307">
        <f t="shared" si="72"/>
        <v>0.93657999999999997</v>
      </c>
      <c r="AD307">
        <f t="shared" si="73"/>
        <v>0.92815999999999999</v>
      </c>
      <c r="AE307">
        <f t="shared" si="74"/>
        <v>0.94672000000000001</v>
      </c>
      <c r="AF307">
        <f t="shared" si="75"/>
        <v>0.96889999999999998</v>
      </c>
      <c r="AG307">
        <f t="shared" si="76"/>
        <v>0.80415999999999999</v>
      </c>
      <c r="AH307">
        <f t="shared" si="77"/>
        <v>0.76985999999999999</v>
      </c>
      <c r="AI307">
        <f t="shared" si="78"/>
        <v>0.75024000000000002</v>
      </c>
      <c r="AJ307">
        <f t="shared" si="79"/>
        <v>0.82730000000000004</v>
      </c>
      <c r="EC307">
        <v>705</v>
      </c>
      <c r="ED307">
        <v>0.84389999999999998</v>
      </c>
      <c r="EE307">
        <v>0.59662000000000004</v>
      </c>
      <c r="EF307">
        <v>0.91552</v>
      </c>
      <c r="EG307">
        <v>0.69369999999999998</v>
      </c>
      <c r="EH307">
        <v>0.89602000000000004</v>
      </c>
      <c r="EI307">
        <v>0.85650000000000004</v>
      </c>
      <c r="EJ307">
        <v>0.91944000000000004</v>
      </c>
      <c r="EK307">
        <v>0.82</v>
      </c>
      <c r="EL307">
        <v>0.93657999999999997</v>
      </c>
      <c r="EM307">
        <v>0.92815999999999999</v>
      </c>
      <c r="EN307">
        <v>0.94672000000000001</v>
      </c>
      <c r="EO307">
        <v>0.96889999999999998</v>
      </c>
      <c r="EP307">
        <v>0.80415999999999999</v>
      </c>
      <c r="EQ307">
        <v>0.76985999999999999</v>
      </c>
      <c r="ER307">
        <v>0.75024000000000002</v>
      </c>
      <c r="ES307">
        <v>0.82730000000000004</v>
      </c>
    </row>
    <row r="308" spans="1:149" x14ac:dyDescent="0.35">
      <c r="A308" s="77"/>
      <c r="B308" s="77">
        <v>706</v>
      </c>
      <c r="C308" s="77">
        <v>0.41913</v>
      </c>
      <c r="D308" s="77">
        <v>0.29631000000000002</v>
      </c>
      <c r="E308" s="77">
        <v>0.45463999999999999</v>
      </c>
      <c r="F308" s="77">
        <v>0.34440999999999999</v>
      </c>
      <c r="G308" s="77">
        <v>0.44638</v>
      </c>
      <c r="H308" s="77">
        <v>0.42643999999999999</v>
      </c>
      <c r="I308" s="77">
        <v>0.45810000000000001</v>
      </c>
      <c r="J308" s="77">
        <v>0.40860000000000002</v>
      </c>
      <c r="K308" s="77">
        <v>0.46656999999999998</v>
      </c>
      <c r="L308" s="77">
        <v>0.46242</v>
      </c>
      <c r="M308" s="77">
        <v>0.47161999999999998</v>
      </c>
      <c r="N308" s="77">
        <v>0.48261999999999999</v>
      </c>
      <c r="O308" s="77">
        <v>0.40105000000000002</v>
      </c>
      <c r="P308" s="77">
        <v>0.38405</v>
      </c>
      <c r="Q308" s="77">
        <v>0.37419000000000002</v>
      </c>
      <c r="R308" s="77">
        <v>0.41260000000000002</v>
      </c>
      <c r="T308">
        <v>706</v>
      </c>
      <c r="U308">
        <f t="shared" si="64"/>
        <v>0.83826000000000001</v>
      </c>
      <c r="V308">
        <f t="shared" si="65"/>
        <v>0.59262000000000004</v>
      </c>
      <c r="W308">
        <f t="shared" si="66"/>
        <v>0.90927999999999998</v>
      </c>
      <c r="X308">
        <f t="shared" si="67"/>
        <v>0.68881999999999999</v>
      </c>
      <c r="Y308">
        <f t="shared" si="68"/>
        <v>0.89276</v>
      </c>
      <c r="Z308">
        <f t="shared" si="69"/>
        <v>0.85287999999999997</v>
      </c>
      <c r="AA308">
        <f t="shared" si="70"/>
        <v>0.91620000000000001</v>
      </c>
      <c r="AB308">
        <f t="shared" si="71"/>
        <v>0.81720000000000004</v>
      </c>
      <c r="AC308">
        <f t="shared" si="72"/>
        <v>0.93313999999999997</v>
      </c>
      <c r="AD308">
        <f t="shared" si="73"/>
        <v>0.92484</v>
      </c>
      <c r="AE308">
        <f t="shared" si="74"/>
        <v>0.94323999999999997</v>
      </c>
      <c r="AF308">
        <f t="shared" si="75"/>
        <v>0.96523999999999999</v>
      </c>
      <c r="AG308">
        <f t="shared" si="76"/>
        <v>0.80210000000000004</v>
      </c>
      <c r="AH308">
        <f t="shared" si="77"/>
        <v>0.7681</v>
      </c>
      <c r="AI308">
        <f t="shared" si="78"/>
        <v>0.74838000000000005</v>
      </c>
      <c r="AJ308">
        <f t="shared" si="79"/>
        <v>0.82520000000000004</v>
      </c>
      <c r="EC308">
        <v>706</v>
      </c>
      <c r="ED308">
        <v>0.83826000000000001</v>
      </c>
      <c r="EE308">
        <v>0.59262000000000004</v>
      </c>
      <c r="EF308">
        <v>0.90927999999999998</v>
      </c>
      <c r="EG308">
        <v>0.68881999999999999</v>
      </c>
      <c r="EH308">
        <v>0.89276</v>
      </c>
      <c r="EI308">
        <v>0.85287999999999997</v>
      </c>
      <c r="EJ308">
        <v>0.91620000000000001</v>
      </c>
      <c r="EK308">
        <v>0.81720000000000004</v>
      </c>
      <c r="EL308">
        <v>0.93313999999999997</v>
      </c>
      <c r="EM308">
        <v>0.92484</v>
      </c>
      <c r="EN308">
        <v>0.94323999999999997</v>
      </c>
      <c r="EO308">
        <v>0.96523999999999999</v>
      </c>
      <c r="EP308">
        <v>0.80210000000000004</v>
      </c>
      <c r="EQ308">
        <v>0.7681</v>
      </c>
      <c r="ER308">
        <v>0.74838000000000005</v>
      </c>
      <c r="ES308">
        <v>0.82520000000000004</v>
      </c>
    </row>
    <row r="309" spans="1:149" x14ac:dyDescent="0.35">
      <c r="A309" s="77"/>
      <c r="B309" s="77">
        <v>707</v>
      </c>
      <c r="C309" s="77">
        <v>0.41654999999999998</v>
      </c>
      <c r="D309" s="77">
        <v>0.29448000000000002</v>
      </c>
      <c r="E309" s="77">
        <v>0.45177</v>
      </c>
      <c r="F309" s="77">
        <v>0.34218999999999999</v>
      </c>
      <c r="G309" s="77">
        <v>0.44486999999999999</v>
      </c>
      <c r="H309" s="77">
        <v>0.42487999999999998</v>
      </c>
      <c r="I309" s="77">
        <v>0.45665</v>
      </c>
      <c r="J309" s="77">
        <v>0.40726000000000001</v>
      </c>
      <c r="K309" s="77">
        <v>0.46489999999999998</v>
      </c>
      <c r="L309" s="77">
        <v>0.46094000000000002</v>
      </c>
      <c r="M309" s="77">
        <v>0.47</v>
      </c>
      <c r="N309" s="77">
        <v>0.48093999999999998</v>
      </c>
      <c r="O309" s="77">
        <v>0.40004000000000001</v>
      </c>
      <c r="P309" s="77">
        <v>0.38318999999999998</v>
      </c>
      <c r="Q309" s="77">
        <v>0.37337999999999999</v>
      </c>
      <c r="R309" s="77">
        <v>0.41155999999999998</v>
      </c>
      <c r="T309">
        <v>707</v>
      </c>
      <c r="U309">
        <f t="shared" si="64"/>
        <v>0.83309999999999995</v>
      </c>
      <c r="V309">
        <f t="shared" si="65"/>
        <v>0.58896000000000004</v>
      </c>
      <c r="W309">
        <f t="shared" si="66"/>
        <v>0.90354000000000001</v>
      </c>
      <c r="X309">
        <f t="shared" si="67"/>
        <v>0.68437999999999999</v>
      </c>
      <c r="Y309">
        <f t="shared" si="68"/>
        <v>0.88973999999999998</v>
      </c>
      <c r="Z309">
        <f t="shared" si="69"/>
        <v>0.84975999999999996</v>
      </c>
      <c r="AA309">
        <f t="shared" si="70"/>
        <v>0.9133</v>
      </c>
      <c r="AB309">
        <f t="shared" si="71"/>
        <v>0.81452000000000002</v>
      </c>
      <c r="AC309">
        <f t="shared" si="72"/>
        <v>0.92979999999999996</v>
      </c>
      <c r="AD309">
        <f t="shared" si="73"/>
        <v>0.92188000000000003</v>
      </c>
      <c r="AE309">
        <f t="shared" si="74"/>
        <v>0.94</v>
      </c>
      <c r="AF309">
        <f t="shared" si="75"/>
        <v>0.96187999999999996</v>
      </c>
      <c r="AG309">
        <f t="shared" si="76"/>
        <v>0.80008000000000001</v>
      </c>
      <c r="AH309">
        <f t="shared" si="77"/>
        <v>0.76637999999999995</v>
      </c>
      <c r="AI309">
        <f t="shared" si="78"/>
        <v>0.74675999999999998</v>
      </c>
      <c r="AJ309">
        <f t="shared" si="79"/>
        <v>0.82311999999999996</v>
      </c>
      <c r="EC309">
        <v>707</v>
      </c>
      <c r="ED309">
        <v>0.83309999999999995</v>
      </c>
      <c r="EE309">
        <v>0.58896000000000004</v>
      </c>
      <c r="EF309">
        <v>0.90354000000000001</v>
      </c>
      <c r="EG309">
        <v>0.68437999999999999</v>
      </c>
      <c r="EH309">
        <v>0.88973999999999998</v>
      </c>
      <c r="EI309">
        <v>0.84975999999999996</v>
      </c>
      <c r="EJ309">
        <v>0.9133</v>
      </c>
      <c r="EK309">
        <v>0.81452000000000002</v>
      </c>
      <c r="EL309">
        <v>0.92979999999999996</v>
      </c>
      <c r="EM309">
        <v>0.92188000000000003</v>
      </c>
      <c r="EN309">
        <v>0.94</v>
      </c>
      <c r="EO309">
        <v>0.96187999999999996</v>
      </c>
      <c r="EP309">
        <v>0.80008000000000001</v>
      </c>
      <c r="EQ309">
        <v>0.76637999999999995</v>
      </c>
      <c r="ER309">
        <v>0.74675999999999998</v>
      </c>
      <c r="ES309">
        <v>0.82311999999999996</v>
      </c>
    </row>
    <row r="310" spans="1:149" x14ac:dyDescent="0.35">
      <c r="A310" s="77"/>
      <c r="B310" s="77">
        <v>708</v>
      </c>
      <c r="C310" s="77">
        <v>0.41405999999999998</v>
      </c>
      <c r="D310" s="77">
        <v>0.29276000000000002</v>
      </c>
      <c r="E310" s="77">
        <v>0.44901000000000002</v>
      </c>
      <c r="F310" s="77">
        <v>0.34004000000000001</v>
      </c>
      <c r="G310" s="77">
        <v>0.44352999999999998</v>
      </c>
      <c r="H310" s="77">
        <v>0.42329</v>
      </c>
      <c r="I310" s="77">
        <v>0.45532</v>
      </c>
      <c r="J310" s="77">
        <v>0.40612999999999999</v>
      </c>
      <c r="K310" s="77">
        <v>0.46344000000000002</v>
      </c>
      <c r="L310" s="77">
        <v>0.45946999999999999</v>
      </c>
      <c r="M310" s="77">
        <v>0.46850999999999998</v>
      </c>
      <c r="N310" s="77">
        <v>0.47942000000000001</v>
      </c>
      <c r="O310" s="77">
        <v>0.39905000000000002</v>
      </c>
      <c r="P310" s="77">
        <v>0.38240000000000002</v>
      </c>
      <c r="Q310" s="77">
        <v>0.37252999999999997</v>
      </c>
      <c r="R310" s="77">
        <v>0.41071999999999997</v>
      </c>
      <c r="T310">
        <v>708</v>
      </c>
      <c r="U310">
        <f t="shared" si="64"/>
        <v>0.82811999999999997</v>
      </c>
      <c r="V310">
        <f t="shared" si="65"/>
        <v>0.58552000000000004</v>
      </c>
      <c r="W310">
        <f t="shared" si="66"/>
        <v>0.89802000000000004</v>
      </c>
      <c r="X310">
        <f t="shared" si="67"/>
        <v>0.68008000000000002</v>
      </c>
      <c r="Y310">
        <f t="shared" si="68"/>
        <v>0.88705999999999996</v>
      </c>
      <c r="Z310">
        <f t="shared" si="69"/>
        <v>0.84658</v>
      </c>
      <c r="AA310">
        <f t="shared" si="70"/>
        <v>0.91064000000000001</v>
      </c>
      <c r="AB310">
        <f t="shared" si="71"/>
        <v>0.81225999999999998</v>
      </c>
      <c r="AC310">
        <f t="shared" si="72"/>
        <v>0.92688000000000004</v>
      </c>
      <c r="AD310">
        <f t="shared" si="73"/>
        <v>0.91893999999999998</v>
      </c>
      <c r="AE310">
        <f t="shared" si="74"/>
        <v>0.93701999999999996</v>
      </c>
      <c r="AF310">
        <f t="shared" si="75"/>
        <v>0.95884000000000003</v>
      </c>
      <c r="AG310">
        <f t="shared" si="76"/>
        <v>0.79810000000000003</v>
      </c>
      <c r="AH310">
        <f t="shared" si="77"/>
        <v>0.76480000000000004</v>
      </c>
      <c r="AI310">
        <f t="shared" si="78"/>
        <v>0.74505999999999994</v>
      </c>
      <c r="AJ310">
        <f t="shared" si="79"/>
        <v>0.82143999999999995</v>
      </c>
      <c r="EC310">
        <v>708</v>
      </c>
      <c r="ED310">
        <v>0.82811999999999997</v>
      </c>
      <c r="EE310">
        <v>0.58552000000000004</v>
      </c>
      <c r="EF310">
        <v>0.89802000000000004</v>
      </c>
      <c r="EG310">
        <v>0.68008000000000002</v>
      </c>
      <c r="EH310">
        <v>0.88705999999999996</v>
      </c>
      <c r="EI310">
        <v>0.84658</v>
      </c>
      <c r="EJ310">
        <v>0.91064000000000001</v>
      </c>
      <c r="EK310">
        <v>0.81225999999999998</v>
      </c>
      <c r="EL310">
        <v>0.92688000000000004</v>
      </c>
      <c r="EM310">
        <v>0.91893999999999998</v>
      </c>
      <c r="EN310">
        <v>0.93701999999999996</v>
      </c>
      <c r="EO310">
        <v>0.95884000000000003</v>
      </c>
      <c r="EP310">
        <v>0.79810000000000003</v>
      </c>
      <c r="EQ310">
        <v>0.76480000000000004</v>
      </c>
      <c r="ER310">
        <v>0.74505999999999994</v>
      </c>
      <c r="ES310">
        <v>0.82143999999999995</v>
      </c>
    </row>
    <row r="311" spans="1:149" x14ac:dyDescent="0.35">
      <c r="A311" s="77"/>
      <c r="B311" s="77">
        <v>709</v>
      </c>
      <c r="C311" s="77">
        <v>0.41165000000000002</v>
      </c>
      <c r="D311" s="77">
        <v>0.29103000000000001</v>
      </c>
      <c r="E311" s="77">
        <v>0.44633</v>
      </c>
      <c r="F311" s="77">
        <v>0.33792</v>
      </c>
      <c r="G311" s="77">
        <v>0.44206000000000001</v>
      </c>
      <c r="H311" s="77">
        <v>0.42177999999999999</v>
      </c>
      <c r="I311" s="77">
        <v>0.45395000000000002</v>
      </c>
      <c r="J311" s="77">
        <v>0.40489000000000003</v>
      </c>
      <c r="K311" s="77">
        <v>0.46189999999999998</v>
      </c>
      <c r="L311" s="77">
        <v>0.45804</v>
      </c>
      <c r="M311" s="77">
        <v>0.46695999999999999</v>
      </c>
      <c r="N311" s="77">
        <v>0.47786000000000001</v>
      </c>
      <c r="O311" s="77">
        <v>0.39818999999999999</v>
      </c>
      <c r="P311" s="77">
        <v>0.38156000000000001</v>
      </c>
      <c r="Q311" s="77">
        <v>0.37175000000000002</v>
      </c>
      <c r="R311" s="77">
        <v>0.40977000000000002</v>
      </c>
      <c r="T311">
        <v>709</v>
      </c>
      <c r="U311">
        <f t="shared" si="64"/>
        <v>0.82330000000000003</v>
      </c>
      <c r="V311">
        <f t="shared" si="65"/>
        <v>0.58206000000000002</v>
      </c>
      <c r="W311">
        <f t="shared" si="66"/>
        <v>0.89266000000000001</v>
      </c>
      <c r="X311">
        <f t="shared" si="67"/>
        <v>0.67584</v>
      </c>
      <c r="Y311">
        <f t="shared" si="68"/>
        <v>0.88412000000000002</v>
      </c>
      <c r="Z311">
        <f t="shared" si="69"/>
        <v>0.84355999999999998</v>
      </c>
      <c r="AA311">
        <f t="shared" si="70"/>
        <v>0.90790000000000004</v>
      </c>
      <c r="AB311">
        <f t="shared" si="71"/>
        <v>0.80978000000000006</v>
      </c>
      <c r="AC311">
        <f t="shared" si="72"/>
        <v>0.92379999999999995</v>
      </c>
      <c r="AD311">
        <f t="shared" si="73"/>
        <v>0.91608000000000001</v>
      </c>
      <c r="AE311">
        <f t="shared" si="74"/>
        <v>0.93391999999999997</v>
      </c>
      <c r="AF311">
        <f t="shared" si="75"/>
        <v>0.95572000000000001</v>
      </c>
      <c r="AG311">
        <f t="shared" si="76"/>
        <v>0.79637999999999998</v>
      </c>
      <c r="AH311">
        <f t="shared" si="77"/>
        <v>0.76312000000000002</v>
      </c>
      <c r="AI311">
        <f t="shared" si="78"/>
        <v>0.74350000000000005</v>
      </c>
      <c r="AJ311">
        <f t="shared" si="79"/>
        <v>0.81954000000000005</v>
      </c>
      <c r="EC311">
        <v>709</v>
      </c>
      <c r="ED311">
        <v>0.82330000000000003</v>
      </c>
      <c r="EE311">
        <v>0.58206000000000002</v>
      </c>
      <c r="EF311">
        <v>0.89266000000000001</v>
      </c>
      <c r="EG311">
        <v>0.67584</v>
      </c>
      <c r="EH311">
        <v>0.88412000000000002</v>
      </c>
      <c r="EI311">
        <v>0.84355999999999998</v>
      </c>
      <c r="EJ311">
        <v>0.90790000000000004</v>
      </c>
      <c r="EK311">
        <v>0.80978000000000006</v>
      </c>
      <c r="EL311">
        <v>0.92379999999999995</v>
      </c>
      <c r="EM311">
        <v>0.91608000000000001</v>
      </c>
      <c r="EN311">
        <v>0.93391999999999997</v>
      </c>
      <c r="EO311">
        <v>0.95572000000000001</v>
      </c>
      <c r="EP311">
        <v>0.79637999999999998</v>
      </c>
      <c r="EQ311">
        <v>0.76312000000000002</v>
      </c>
      <c r="ER311">
        <v>0.74350000000000005</v>
      </c>
      <c r="ES311">
        <v>0.81954000000000005</v>
      </c>
    </row>
    <row r="312" spans="1:149" x14ac:dyDescent="0.35">
      <c r="A312" s="77"/>
      <c r="B312" s="77">
        <v>710</v>
      </c>
      <c r="C312" s="77">
        <v>0.40944000000000003</v>
      </c>
      <c r="D312" s="77">
        <v>0.28946</v>
      </c>
      <c r="E312" s="77">
        <v>0.44385000000000002</v>
      </c>
      <c r="F312" s="77">
        <v>0.33603</v>
      </c>
      <c r="G312" s="77">
        <v>0.44077</v>
      </c>
      <c r="H312" s="77">
        <v>0.42032999999999998</v>
      </c>
      <c r="I312" s="77">
        <v>0.45263999999999999</v>
      </c>
      <c r="J312" s="77">
        <v>0.40376000000000001</v>
      </c>
      <c r="K312" s="77">
        <v>0.46056999999999998</v>
      </c>
      <c r="L312" s="77">
        <v>0.45673999999999998</v>
      </c>
      <c r="M312" s="77">
        <v>0.46553</v>
      </c>
      <c r="N312" s="77">
        <v>0.47643999999999997</v>
      </c>
      <c r="O312" s="77">
        <v>0.39732000000000001</v>
      </c>
      <c r="P312" s="77">
        <v>0.38080000000000003</v>
      </c>
      <c r="Q312" s="77">
        <v>0.37098999999999999</v>
      </c>
      <c r="R312" s="77">
        <v>0.40888999999999998</v>
      </c>
      <c r="T312">
        <v>710</v>
      </c>
      <c r="U312">
        <f t="shared" si="64"/>
        <v>0.81888000000000005</v>
      </c>
      <c r="V312">
        <f t="shared" si="65"/>
        <v>0.57891999999999999</v>
      </c>
      <c r="W312">
        <f t="shared" si="66"/>
        <v>0.88770000000000004</v>
      </c>
      <c r="X312">
        <f t="shared" si="67"/>
        <v>0.67205999999999999</v>
      </c>
      <c r="Y312">
        <f t="shared" si="68"/>
        <v>0.88153999999999999</v>
      </c>
      <c r="Z312">
        <f t="shared" si="69"/>
        <v>0.84065999999999996</v>
      </c>
      <c r="AA312">
        <f t="shared" si="70"/>
        <v>0.90527999999999997</v>
      </c>
      <c r="AB312">
        <f t="shared" si="71"/>
        <v>0.80752000000000002</v>
      </c>
      <c r="AC312">
        <f t="shared" si="72"/>
        <v>0.92113999999999996</v>
      </c>
      <c r="AD312">
        <f t="shared" si="73"/>
        <v>0.91347999999999996</v>
      </c>
      <c r="AE312">
        <f t="shared" si="74"/>
        <v>0.93106</v>
      </c>
      <c r="AF312">
        <f t="shared" si="75"/>
        <v>0.95287999999999995</v>
      </c>
      <c r="AG312">
        <f t="shared" si="76"/>
        <v>0.79464000000000001</v>
      </c>
      <c r="AH312">
        <f t="shared" si="77"/>
        <v>0.76160000000000005</v>
      </c>
      <c r="AI312">
        <f t="shared" si="78"/>
        <v>0.74197999999999997</v>
      </c>
      <c r="AJ312">
        <f t="shared" si="79"/>
        <v>0.81777999999999995</v>
      </c>
      <c r="EC312">
        <v>710</v>
      </c>
      <c r="ED312">
        <v>0.81888000000000005</v>
      </c>
      <c r="EE312">
        <v>0.57891999999999999</v>
      </c>
      <c r="EF312">
        <v>0.88770000000000004</v>
      </c>
      <c r="EG312">
        <v>0.67205999999999999</v>
      </c>
      <c r="EH312">
        <v>0.88153999999999999</v>
      </c>
      <c r="EI312">
        <v>0.84065999999999996</v>
      </c>
      <c r="EJ312">
        <v>0.90527999999999997</v>
      </c>
      <c r="EK312">
        <v>0.80752000000000002</v>
      </c>
      <c r="EL312">
        <v>0.92113999999999996</v>
      </c>
      <c r="EM312">
        <v>0.91347999999999996</v>
      </c>
      <c r="EN312">
        <v>0.93106</v>
      </c>
      <c r="EO312">
        <v>0.95287999999999995</v>
      </c>
      <c r="EP312">
        <v>0.79464000000000001</v>
      </c>
      <c r="EQ312">
        <v>0.76160000000000005</v>
      </c>
      <c r="ER312">
        <v>0.74197999999999997</v>
      </c>
      <c r="ES312">
        <v>0.81777999999999995</v>
      </c>
    </row>
    <row r="313" spans="1:149" x14ac:dyDescent="0.35">
      <c r="A313" s="77"/>
      <c r="B313" s="77">
        <v>711</v>
      </c>
      <c r="C313" s="77">
        <v>0.40738000000000002</v>
      </c>
      <c r="D313" s="77">
        <v>0.28795999999999999</v>
      </c>
      <c r="E313" s="77">
        <v>0.44157000000000002</v>
      </c>
      <c r="F313" s="77">
        <v>0.33421000000000001</v>
      </c>
      <c r="G313" s="77">
        <v>0.43958000000000003</v>
      </c>
      <c r="H313" s="77">
        <v>0.41900999999999999</v>
      </c>
      <c r="I313" s="77">
        <v>0.45149</v>
      </c>
      <c r="J313" s="77">
        <v>0.40266000000000002</v>
      </c>
      <c r="K313" s="77">
        <v>0.45921000000000001</v>
      </c>
      <c r="L313" s="77">
        <v>0.45546999999999999</v>
      </c>
      <c r="M313" s="77">
        <v>0.46431</v>
      </c>
      <c r="N313" s="77">
        <v>0.47508</v>
      </c>
      <c r="O313" s="77">
        <v>0.39655000000000001</v>
      </c>
      <c r="P313" s="77">
        <v>0.38002000000000002</v>
      </c>
      <c r="Q313" s="77">
        <v>0.37031999999999998</v>
      </c>
      <c r="R313" s="77">
        <v>0.40810000000000002</v>
      </c>
      <c r="T313">
        <v>711</v>
      </c>
      <c r="U313">
        <f t="shared" si="64"/>
        <v>0.81476000000000004</v>
      </c>
      <c r="V313">
        <f t="shared" si="65"/>
        <v>0.57591999999999999</v>
      </c>
      <c r="W313">
        <f t="shared" si="66"/>
        <v>0.88314000000000004</v>
      </c>
      <c r="X313">
        <f t="shared" si="67"/>
        <v>0.66842000000000001</v>
      </c>
      <c r="Y313">
        <f t="shared" si="68"/>
        <v>0.87916000000000005</v>
      </c>
      <c r="Z313">
        <f t="shared" si="69"/>
        <v>0.83801999999999999</v>
      </c>
      <c r="AA313">
        <f t="shared" si="70"/>
        <v>0.90298</v>
      </c>
      <c r="AB313">
        <f t="shared" si="71"/>
        <v>0.80532000000000004</v>
      </c>
      <c r="AC313">
        <f t="shared" si="72"/>
        <v>0.91842000000000001</v>
      </c>
      <c r="AD313">
        <f t="shared" si="73"/>
        <v>0.91093999999999997</v>
      </c>
      <c r="AE313">
        <f t="shared" si="74"/>
        <v>0.92862</v>
      </c>
      <c r="AF313">
        <f t="shared" si="75"/>
        <v>0.95016</v>
      </c>
      <c r="AG313">
        <f t="shared" si="76"/>
        <v>0.79310000000000003</v>
      </c>
      <c r="AH313">
        <f t="shared" si="77"/>
        <v>0.76004000000000005</v>
      </c>
      <c r="AI313">
        <f t="shared" si="78"/>
        <v>0.74063999999999997</v>
      </c>
      <c r="AJ313">
        <f t="shared" si="79"/>
        <v>0.81620000000000004</v>
      </c>
      <c r="EC313">
        <v>711</v>
      </c>
      <c r="ED313">
        <v>0.81476000000000004</v>
      </c>
      <c r="EE313">
        <v>0.57591999999999999</v>
      </c>
      <c r="EF313">
        <v>0.88314000000000004</v>
      </c>
      <c r="EG313">
        <v>0.66842000000000001</v>
      </c>
      <c r="EH313">
        <v>0.87916000000000005</v>
      </c>
      <c r="EI313">
        <v>0.83801999999999999</v>
      </c>
      <c r="EJ313">
        <v>0.90298</v>
      </c>
      <c r="EK313">
        <v>0.80532000000000004</v>
      </c>
      <c r="EL313">
        <v>0.91842000000000001</v>
      </c>
      <c r="EM313">
        <v>0.91093999999999997</v>
      </c>
      <c r="EN313">
        <v>0.92862</v>
      </c>
      <c r="EO313">
        <v>0.95016</v>
      </c>
      <c r="EP313">
        <v>0.79310000000000003</v>
      </c>
      <c r="EQ313">
        <v>0.76004000000000005</v>
      </c>
      <c r="ER313">
        <v>0.74063999999999997</v>
      </c>
      <c r="ES313">
        <v>0.81620000000000004</v>
      </c>
    </row>
    <row r="314" spans="1:149" x14ac:dyDescent="0.35">
      <c r="A314" s="77"/>
      <c r="B314" s="77">
        <v>712</v>
      </c>
      <c r="C314" s="77">
        <v>0.40544000000000002</v>
      </c>
      <c r="D314" s="77">
        <v>0.28658</v>
      </c>
      <c r="E314" s="77">
        <v>0.43935999999999997</v>
      </c>
      <c r="F314" s="77">
        <v>0.33252999999999999</v>
      </c>
      <c r="G314" s="77">
        <v>0.43847999999999998</v>
      </c>
      <c r="H314" s="77">
        <v>0.41774</v>
      </c>
      <c r="I314" s="77">
        <v>0.45044000000000001</v>
      </c>
      <c r="J314" s="77">
        <v>0.4017</v>
      </c>
      <c r="K314" s="77">
        <v>0.45815</v>
      </c>
      <c r="L314" s="77">
        <v>0.45441999999999999</v>
      </c>
      <c r="M314" s="77">
        <v>0.46306999999999998</v>
      </c>
      <c r="N314" s="77">
        <v>0.47392000000000001</v>
      </c>
      <c r="O314" s="77">
        <v>0.39578000000000002</v>
      </c>
      <c r="P314" s="77">
        <v>0.37933</v>
      </c>
      <c r="Q314" s="77">
        <v>0.36960999999999999</v>
      </c>
      <c r="R314" s="77">
        <v>0.40733000000000003</v>
      </c>
      <c r="T314">
        <v>712</v>
      </c>
      <c r="U314">
        <f t="shared" si="64"/>
        <v>0.81088000000000005</v>
      </c>
      <c r="V314">
        <f t="shared" si="65"/>
        <v>0.57316</v>
      </c>
      <c r="W314">
        <f t="shared" si="66"/>
        <v>0.87871999999999995</v>
      </c>
      <c r="X314">
        <f t="shared" si="67"/>
        <v>0.66505999999999998</v>
      </c>
      <c r="Y314">
        <f t="shared" si="68"/>
        <v>0.87695999999999996</v>
      </c>
      <c r="Z314">
        <f t="shared" si="69"/>
        <v>0.83548</v>
      </c>
      <c r="AA314">
        <f t="shared" si="70"/>
        <v>0.90088000000000001</v>
      </c>
      <c r="AB314">
        <f t="shared" si="71"/>
        <v>0.8034</v>
      </c>
      <c r="AC314">
        <f t="shared" si="72"/>
        <v>0.9163</v>
      </c>
      <c r="AD314">
        <f t="shared" si="73"/>
        <v>0.90883999999999998</v>
      </c>
      <c r="AE314">
        <f t="shared" si="74"/>
        <v>0.92613999999999996</v>
      </c>
      <c r="AF314">
        <f t="shared" si="75"/>
        <v>0.94784000000000002</v>
      </c>
      <c r="AG314">
        <f t="shared" si="76"/>
        <v>0.79156000000000004</v>
      </c>
      <c r="AH314">
        <f t="shared" si="77"/>
        <v>0.75866</v>
      </c>
      <c r="AI314">
        <f t="shared" si="78"/>
        <v>0.73921999999999999</v>
      </c>
      <c r="AJ314">
        <f t="shared" si="79"/>
        <v>0.81466000000000005</v>
      </c>
      <c r="EC314">
        <v>712</v>
      </c>
      <c r="ED314">
        <v>0.81088000000000005</v>
      </c>
      <c r="EE314">
        <v>0.57316</v>
      </c>
      <c r="EF314">
        <v>0.87871999999999995</v>
      </c>
      <c r="EG314">
        <v>0.66505999999999998</v>
      </c>
      <c r="EH314">
        <v>0.87695999999999996</v>
      </c>
      <c r="EI314">
        <v>0.83548</v>
      </c>
      <c r="EJ314">
        <v>0.90088000000000001</v>
      </c>
      <c r="EK314">
        <v>0.8034</v>
      </c>
      <c r="EL314">
        <v>0.9163</v>
      </c>
      <c r="EM314">
        <v>0.90883999999999998</v>
      </c>
      <c r="EN314">
        <v>0.92613999999999996</v>
      </c>
      <c r="EO314">
        <v>0.94784000000000002</v>
      </c>
      <c r="EP314">
        <v>0.79156000000000004</v>
      </c>
      <c r="EQ314">
        <v>0.75866</v>
      </c>
      <c r="ER314">
        <v>0.73921999999999999</v>
      </c>
      <c r="ES314">
        <v>0.81466000000000005</v>
      </c>
    </row>
    <row r="315" spans="1:149" x14ac:dyDescent="0.35">
      <c r="A315" s="77"/>
      <c r="B315" s="77">
        <v>713</v>
      </c>
      <c r="C315" s="77">
        <v>0.40350000000000003</v>
      </c>
      <c r="D315" s="77">
        <v>0.28519</v>
      </c>
      <c r="E315" s="77">
        <v>0.43726999999999999</v>
      </c>
      <c r="F315" s="77">
        <v>0.33084000000000002</v>
      </c>
      <c r="G315" s="77">
        <v>0.43737999999999999</v>
      </c>
      <c r="H315" s="77">
        <v>0.41653000000000001</v>
      </c>
      <c r="I315" s="77">
        <v>0.44941999999999999</v>
      </c>
      <c r="J315" s="77">
        <v>0.40072999999999998</v>
      </c>
      <c r="K315" s="77">
        <v>0.45696999999999999</v>
      </c>
      <c r="L315" s="77">
        <v>0.45323000000000002</v>
      </c>
      <c r="M315" s="77">
        <v>0.46183999999999997</v>
      </c>
      <c r="N315" s="77">
        <v>0.47269</v>
      </c>
      <c r="O315" s="77">
        <v>0.39490999999999998</v>
      </c>
      <c r="P315" s="77">
        <v>0.37851000000000001</v>
      </c>
      <c r="Q315" s="77">
        <v>0.36881999999999998</v>
      </c>
      <c r="R315" s="77">
        <v>0.40644999999999998</v>
      </c>
      <c r="T315">
        <v>713</v>
      </c>
      <c r="U315">
        <f t="shared" si="64"/>
        <v>0.80700000000000005</v>
      </c>
      <c r="V315">
        <f t="shared" si="65"/>
        <v>0.57038</v>
      </c>
      <c r="W315">
        <f t="shared" si="66"/>
        <v>0.87453999999999998</v>
      </c>
      <c r="X315">
        <f t="shared" si="67"/>
        <v>0.66168000000000005</v>
      </c>
      <c r="Y315">
        <f t="shared" si="68"/>
        <v>0.87475999999999998</v>
      </c>
      <c r="Z315">
        <f t="shared" si="69"/>
        <v>0.83306000000000002</v>
      </c>
      <c r="AA315">
        <f t="shared" si="70"/>
        <v>0.89883999999999997</v>
      </c>
      <c r="AB315">
        <f t="shared" si="71"/>
        <v>0.80145999999999995</v>
      </c>
      <c r="AC315">
        <f t="shared" si="72"/>
        <v>0.91393999999999997</v>
      </c>
      <c r="AD315">
        <f t="shared" si="73"/>
        <v>0.90646000000000004</v>
      </c>
      <c r="AE315">
        <f t="shared" si="74"/>
        <v>0.92367999999999995</v>
      </c>
      <c r="AF315">
        <f t="shared" si="75"/>
        <v>0.94538</v>
      </c>
      <c r="AG315">
        <f t="shared" si="76"/>
        <v>0.78981999999999997</v>
      </c>
      <c r="AH315">
        <f t="shared" si="77"/>
        <v>0.75702000000000003</v>
      </c>
      <c r="AI315">
        <f t="shared" si="78"/>
        <v>0.73763999999999996</v>
      </c>
      <c r="AJ315">
        <f t="shared" si="79"/>
        <v>0.81289999999999996</v>
      </c>
      <c r="EC315">
        <v>713</v>
      </c>
      <c r="ED315">
        <v>0.80700000000000005</v>
      </c>
      <c r="EE315">
        <v>0.57038</v>
      </c>
      <c r="EF315">
        <v>0.87453999999999998</v>
      </c>
      <c r="EG315">
        <v>0.66168000000000005</v>
      </c>
      <c r="EH315">
        <v>0.87475999999999998</v>
      </c>
      <c r="EI315">
        <v>0.83306000000000002</v>
      </c>
      <c r="EJ315">
        <v>0.89883999999999997</v>
      </c>
      <c r="EK315">
        <v>0.80145999999999995</v>
      </c>
      <c r="EL315">
        <v>0.91393999999999997</v>
      </c>
      <c r="EM315">
        <v>0.90646000000000004</v>
      </c>
      <c r="EN315">
        <v>0.92367999999999995</v>
      </c>
      <c r="EO315">
        <v>0.94538</v>
      </c>
      <c r="EP315">
        <v>0.78981999999999997</v>
      </c>
      <c r="EQ315">
        <v>0.75702000000000003</v>
      </c>
      <c r="ER315">
        <v>0.73763999999999996</v>
      </c>
      <c r="ES315">
        <v>0.81289999999999996</v>
      </c>
    </row>
    <row r="316" spans="1:149" x14ac:dyDescent="0.35">
      <c r="A316" s="77"/>
      <c r="B316" s="77">
        <v>714</v>
      </c>
      <c r="C316" s="77">
        <v>0.40168999999999999</v>
      </c>
      <c r="D316" s="77">
        <v>0.28394999999999998</v>
      </c>
      <c r="E316" s="77">
        <v>0.43535000000000001</v>
      </c>
      <c r="F316" s="77">
        <v>0.32933000000000001</v>
      </c>
      <c r="G316" s="77">
        <v>0.43639</v>
      </c>
      <c r="H316" s="77">
        <v>0.41543999999999998</v>
      </c>
      <c r="I316" s="77">
        <v>0.44846999999999998</v>
      </c>
      <c r="J316" s="77">
        <v>0.39981</v>
      </c>
      <c r="K316" s="77">
        <v>0.45585999999999999</v>
      </c>
      <c r="L316" s="77">
        <v>0.45223999999999998</v>
      </c>
      <c r="M316" s="77">
        <v>0.46074999999999999</v>
      </c>
      <c r="N316" s="77">
        <v>0.47149999999999997</v>
      </c>
      <c r="O316" s="77">
        <v>0.39417999999999997</v>
      </c>
      <c r="P316" s="77">
        <v>0.37784000000000001</v>
      </c>
      <c r="Q316" s="77">
        <v>0.36812</v>
      </c>
      <c r="R316" s="77">
        <v>0.40572000000000003</v>
      </c>
      <c r="T316">
        <v>714</v>
      </c>
      <c r="U316">
        <f t="shared" si="64"/>
        <v>0.80337999999999998</v>
      </c>
      <c r="V316">
        <f t="shared" si="65"/>
        <v>0.56789999999999996</v>
      </c>
      <c r="W316">
        <f t="shared" si="66"/>
        <v>0.87070000000000003</v>
      </c>
      <c r="X316">
        <f t="shared" si="67"/>
        <v>0.65866000000000002</v>
      </c>
      <c r="Y316">
        <f t="shared" si="68"/>
        <v>0.87278</v>
      </c>
      <c r="Z316">
        <f t="shared" si="69"/>
        <v>0.83087999999999995</v>
      </c>
      <c r="AA316">
        <f t="shared" si="70"/>
        <v>0.89693999999999996</v>
      </c>
      <c r="AB316">
        <f t="shared" si="71"/>
        <v>0.79962</v>
      </c>
      <c r="AC316">
        <f t="shared" si="72"/>
        <v>0.91171999999999997</v>
      </c>
      <c r="AD316">
        <f t="shared" si="73"/>
        <v>0.90447999999999995</v>
      </c>
      <c r="AE316">
        <f t="shared" si="74"/>
        <v>0.92149999999999999</v>
      </c>
      <c r="AF316">
        <f t="shared" si="75"/>
        <v>0.94299999999999995</v>
      </c>
      <c r="AG316">
        <f t="shared" si="76"/>
        <v>0.78835999999999995</v>
      </c>
      <c r="AH316">
        <f t="shared" si="77"/>
        <v>0.75568000000000002</v>
      </c>
      <c r="AI316">
        <f t="shared" si="78"/>
        <v>0.73624000000000001</v>
      </c>
      <c r="AJ316">
        <f t="shared" si="79"/>
        <v>0.81144000000000005</v>
      </c>
      <c r="EC316">
        <v>714</v>
      </c>
      <c r="ED316">
        <v>0.80337999999999998</v>
      </c>
      <c r="EE316">
        <v>0.56789999999999996</v>
      </c>
      <c r="EF316">
        <v>0.87070000000000003</v>
      </c>
      <c r="EG316">
        <v>0.65866000000000002</v>
      </c>
      <c r="EH316">
        <v>0.87278</v>
      </c>
      <c r="EI316">
        <v>0.83087999999999995</v>
      </c>
      <c r="EJ316">
        <v>0.89693999999999996</v>
      </c>
      <c r="EK316">
        <v>0.79962</v>
      </c>
      <c r="EL316">
        <v>0.91171999999999997</v>
      </c>
      <c r="EM316">
        <v>0.90447999999999995</v>
      </c>
      <c r="EN316">
        <v>0.92149999999999999</v>
      </c>
      <c r="EO316">
        <v>0.94299999999999995</v>
      </c>
      <c r="EP316">
        <v>0.78835999999999995</v>
      </c>
      <c r="EQ316">
        <v>0.75568000000000002</v>
      </c>
      <c r="ER316">
        <v>0.73624000000000001</v>
      </c>
      <c r="ES316">
        <v>0.81144000000000005</v>
      </c>
    </row>
    <row r="317" spans="1:149" x14ac:dyDescent="0.35">
      <c r="A317" s="77"/>
      <c r="B317" s="77">
        <v>715</v>
      </c>
      <c r="C317" s="77">
        <v>0.40004000000000001</v>
      </c>
      <c r="D317" s="77">
        <v>0.28272999999999998</v>
      </c>
      <c r="E317" s="77">
        <v>0.4335</v>
      </c>
      <c r="F317" s="77">
        <v>0.32790999999999998</v>
      </c>
      <c r="G317" s="77">
        <v>0.43539</v>
      </c>
      <c r="H317" s="77">
        <v>0.41438000000000003</v>
      </c>
      <c r="I317" s="77">
        <v>0.44762000000000002</v>
      </c>
      <c r="J317" s="77">
        <v>0.39906000000000003</v>
      </c>
      <c r="K317" s="77">
        <v>0.45488000000000001</v>
      </c>
      <c r="L317" s="77">
        <v>0.45129000000000002</v>
      </c>
      <c r="M317" s="77">
        <v>0.45973000000000003</v>
      </c>
      <c r="N317" s="77">
        <v>0.47051999999999999</v>
      </c>
      <c r="O317" s="77">
        <v>0.39355000000000001</v>
      </c>
      <c r="P317" s="77">
        <v>0.37720999999999999</v>
      </c>
      <c r="Q317" s="77">
        <v>0.36752000000000001</v>
      </c>
      <c r="R317" s="77">
        <v>0.40503</v>
      </c>
      <c r="T317">
        <v>715</v>
      </c>
      <c r="U317">
        <f t="shared" si="64"/>
        <v>0.80008000000000001</v>
      </c>
      <c r="V317">
        <f t="shared" si="65"/>
        <v>0.56545999999999996</v>
      </c>
      <c r="W317">
        <f t="shared" si="66"/>
        <v>0.86699999999999999</v>
      </c>
      <c r="X317">
        <f t="shared" si="67"/>
        <v>0.65581999999999996</v>
      </c>
      <c r="Y317">
        <f t="shared" si="68"/>
        <v>0.87078</v>
      </c>
      <c r="Z317">
        <f t="shared" si="69"/>
        <v>0.82876000000000005</v>
      </c>
      <c r="AA317">
        <f t="shared" si="70"/>
        <v>0.89524000000000004</v>
      </c>
      <c r="AB317">
        <f t="shared" si="71"/>
        <v>0.79812000000000005</v>
      </c>
      <c r="AC317">
        <f t="shared" si="72"/>
        <v>0.90976000000000001</v>
      </c>
      <c r="AD317">
        <f t="shared" si="73"/>
        <v>0.90258000000000005</v>
      </c>
      <c r="AE317">
        <f t="shared" si="74"/>
        <v>0.91946000000000006</v>
      </c>
      <c r="AF317">
        <f t="shared" si="75"/>
        <v>0.94103999999999999</v>
      </c>
      <c r="AG317">
        <f t="shared" si="76"/>
        <v>0.78710000000000002</v>
      </c>
      <c r="AH317">
        <f t="shared" si="77"/>
        <v>0.75441999999999998</v>
      </c>
      <c r="AI317">
        <f t="shared" si="78"/>
        <v>0.73504000000000003</v>
      </c>
      <c r="AJ317">
        <f t="shared" si="79"/>
        <v>0.81006</v>
      </c>
      <c r="EC317">
        <v>715</v>
      </c>
      <c r="ED317">
        <v>0.80008000000000001</v>
      </c>
      <c r="EE317">
        <v>0.56545999999999996</v>
      </c>
      <c r="EF317">
        <v>0.86699999999999999</v>
      </c>
      <c r="EG317">
        <v>0.65581999999999996</v>
      </c>
      <c r="EH317">
        <v>0.87078</v>
      </c>
      <c r="EI317">
        <v>0.82876000000000005</v>
      </c>
      <c r="EJ317">
        <v>0.89524000000000004</v>
      </c>
      <c r="EK317">
        <v>0.79812000000000005</v>
      </c>
      <c r="EL317">
        <v>0.90976000000000001</v>
      </c>
      <c r="EM317">
        <v>0.90258000000000005</v>
      </c>
      <c r="EN317">
        <v>0.91946000000000006</v>
      </c>
      <c r="EO317">
        <v>0.94103999999999999</v>
      </c>
      <c r="EP317">
        <v>0.78710000000000002</v>
      </c>
      <c r="EQ317">
        <v>0.75441999999999998</v>
      </c>
      <c r="ER317">
        <v>0.73504000000000003</v>
      </c>
      <c r="ES317">
        <v>0.81006</v>
      </c>
    </row>
    <row r="318" spans="1:149" x14ac:dyDescent="0.35">
      <c r="A318" s="77"/>
      <c r="B318" s="77">
        <v>716</v>
      </c>
      <c r="C318" s="77">
        <v>0.39840999999999999</v>
      </c>
      <c r="D318" s="77">
        <v>0.28151999999999999</v>
      </c>
      <c r="E318" s="77">
        <v>0.43165999999999999</v>
      </c>
      <c r="F318" s="77">
        <v>0.32645999999999997</v>
      </c>
      <c r="G318" s="77">
        <v>0.43441999999999997</v>
      </c>
      <c r="H318" s="77">
        <v>0.4133</v>
      </c>
      <c r="I318" s="77">
        <v>0.44668999999999998</v>
      </c>
      <c r="J318" s="77">
        <v>0.39817999999999998</v>
      </c>
      <c r="K318" s="77">
        <v>0.45390000000000003</v>
      </c>
      <c r="L318" s="77">
        <v>0.45034999999999997</v>
      </c>
      <c r="M318" s="77">
        <v>0.45871000000000001</v>
      </c>
      <c r="N318" s="77">
        <v>0.46948000000000001</v>
      </c>
      <c r="O318" s="77">
        <v>0.39287</v>
      </c>
      <c r="P318" s="77">
        <v>0.37653999999999999</v>
      </c>
      <c r="Q318" s="77">
        <v>0.36696000000000001</v>
      </c>
      <c r="R318" s="77">
        <v>0.40431</v>
      </c>
      <c r="T318">
        <v>716</v>
      </c>
      <c r="U318">
        <f t="shared" si="64"/>
        <v>0.79681999999999997</v>
      </c>
      <c r="V318">
        <f t="shared" si="65"/>
        <v>0.56303999999999998</v>
      </c>
      <c r="W318">
        <f t="shared" si="66"/>
        <v>0.86331999999999998</v>
      </c>
      <c r="X318">
        <f t="shared" si="67"/>
        <v>0.65291999999999994</v>
      </c>
      <c r="Y318">
        <f t="shared" si="68"/>
        <v>0.86883999999999995</v>
      </c>
      <c r="Z318">
        <f t="shared" si="69"/>
        <v>0.8266</v>
      </c>
      <c r="AA318">
        <f t="shared" si="70"/>
        <v>0.89337999999999995</v>
      </c>
      <c r="AB318">
        <f t="shared" si="71"/>
        <v>0.79635999999999996</v>
      </c>
      <c r="AC318">
        <f t="shared" si="72"/>
        <v>0.90780000000000005</v>
      </c>
      <c r="AD318">
        <f t="shared" si="73"/>
        <v>0.90069999999999995</v>
      </c>
      <c r="AE318">
        <f t="shared" si="74"/>
        <v>0.91742000000000001</v>
      </c>
      <c r="AF318">
        <f t="shared" si="75"/>
        <v>0.93896000000000002</v>
      </c>
      <c r="AG318">
        <f t="shared" si="76"/>
        <v>0.78573999999999999</v>
      </c>
      <c r="AH318">
        <f t="shared" si="77"/>
        <v>0.75307999999999997</v>
      </c>
      <c r="AI318">
        <f t="shared" si="78"/>
        <v>0.73392000000000002</v>
      </c>
      <c r="AJ318">
        <f t="shared" si="79"/>
        <v>0.80862000000000001</v>
      </c>
      <c r="EC318">
        <v>716</v>
      </c>
      <c r="ED318">
        <v>0.79681999999999997</v>
      </c>
      <c r="EE318">
        <v>0.56303999999999998</v>
      </c>
      <c r="EF318">
        <v>0.86331999999999998</v>
      </c>
      <c r="EG318">
        <v>0.65291999999999994</v>
      </c>
      <c r="EH318">
        <v>0.86883999999999995</v>
      </c>
      <c r="EI318">
        <v>0.8266</v>
      </c>
      <c r="EJ318">
        <v>0.89337999999999995</v>
      </c>
      <c r="EK318">
        <v>0.79635999999999996</v>
      </c>
      <c r="EL318">
        <v>0.90780000000000005</v>
      </c>
      <c r="EM318">
        <v>0.90069999999999995</v>
      </c>
      <c r="EN318">
        <v>0.91742000000000001</v>
      </c>
      <c r="EO318">
        <v>0.93896000000000002</v>
      </c>
      <c r="EP318">
        <v>0.78573999999999999</v>
      </c>
      <c r="EQ318">
        <v>0.75307999999999997</v>
      </c>
      <c r="ER318">
        <v>0.73392000000000002</v>
      </c>
      <c r="ES318">
        <v>0.80862000000000001</v>
      </c>
    </row>
    <row r="319" spans="1:149" x14ac:dyDescent="0.35">
      <c r="A319" s="77"/>
      <c r="B319" s="77">
        <v>717</v>
      </c>
      <c r="C319" s="77">
        <v>0.39684999999999998</v>
      </c>
      <c r="D319" s="77">
        <v>0.28039999999999998</v>
      </c>
      <c r="E319" s="77">
        <v>0.42992999999999998</v>
      </c>
      <c r="F319" s="77">
        <v>0.3251</v>
      </c>
      <c r="G319" s="77">
        <v>0.43353000000000003</v>
      </c>
      <c r="H319" s="77">
        <v>0.41226000000000002</v>
      </c>
      <c r="I319" s="77">
        <v>0.44579999999999997</v>
      </c>
      <c r="J319" s="77">
        <v>0.39734000000000003</v>
      </c>
      <c r="K319" s="77">
        <v>0.45290999999999998</v>
      </c>
      <c r="L319" s="77">
        <v>0.44945000000000002</v>
      </c>
      <c r="M319" s="77">
        <v>0.45772000000000002</v>
      </c>
      <c r="N319" s="77">
        <v>0.46845999999999999</v>
      </c>
      <c r="O319" s="77">
        <v>0.39211000000000001</v>
      </c>
      <c r="P319" s="77">
        <v>0.37586999999999998</v>
      </c>
      <c r="Q319" s="77">
        <v>0.36632999999999999</v>
      </c>
      <c r="R319" s="77">
        <v>0.40359</v>
      </c>
      <c r="T319">
        <v>717</v>
      </c>
      <c r="U319">
        <f t="shared" si="64"/>
        <v>0.79369999999999996</v>
      </c>
      <c r="V319">
        <f t="shared" si="65"/>
        <v>0.56079999999999997</v>
      </c>
      <c r="W319">
        <f t="shared" si="66"/>
        <v>0.85985999999999996</v>
      </c>
      <c r="X319">
        <f t="shared" si="67"/>
        <v>0.6502</v>
      </c>
      <c r="Y319">
        <f t="shared" si="68"/>
        <v>0.86706000000000005</v>
      </c>
      <c r="Z319">
        <f t="shared" si="69"/>
        <v>0.82452000000000003</v>
      </c>
      <c r="AA319">
        <f t="shared" si="70"/>
        <v>0.89159999999999995</v>
      </c>
      <c r="AB319">
        <f t="shared" si="71"/>
        <v>0.79468000000000005</v>
      </c>
      <c r="AC319">
        <f t="shared" si="72"/>
        <v>0.90581999999999996</v>
      </c>
      <c r="AD319">
        <f t="shared" si="73"/>
        <v>0.89890000000000003</v>
      </c>
      <c r="AE319">
        <f t="shared" si="74"/>
        <v>0.91544000000000003</v>
      </c>
      <c r="AF319">
        <f t="shared" si="75"/>
        <v>0.93691999999999998</v>
      </c>
      <c r="AG319">
        <f t="shared" si="76"/>
        <v>0.78422000000000003</v>
      </c>
      <c r="AH319">
        <f t="shared" si="77"/>
        <v>0.75173999999999996</v>
      </c>
      <c r="AI319">
        <f t="shared" si="78"/>
        <v>0.73265999999999998</v>
      </c>
      <c r="AJ319">
        <f t="shared" si="79"/>
        <v>0.80718000000000001</v>
      </c>
      <c r="EC319">
        <v>717</v>
      </c>
      <c r="ED319">
        <v>0.79369999999999996</v>
      </c>
      <c r="EE319">
        <v>0.56079999999999997</v>
      </c>
      <c r="EF319">
        <v>0.85985999999999996</v>
      </c>
      <c r="EG319">
        <v>0.6502</v>
      </c>
      <c r="EH319">
        <v>0.86706000000000005</v>
      </c>
      <c r="EI319">
        <v>0.82452000000000003</v>
      </c>
      <c r="EJ319">
        <v>0.89159999999999995</v>
      </c>
      <c r="EK319">
        <v>0.79468000000000005</v>
      </c>
      <c r="EL319">
        <v>0.90581999999999996</v>
      </c>
      <c r="EM319">
        <v>0.89890000000000003</v>
      </c>
      <c r="EN319">
        <v>0.91544000000000003</v>
      </c>
      <c r="EO319">
        <v>0.93691999999999998</v>
      </c>
      <c r="EP319">
        <v>0.78422000000000003</v>
      </c>
      <c r="EQ319">
        <v>0.75173999999999996</v>
      </c>
      <c r="ER319">
        <v>0.73265999999999998</v>
      </c>
      <c r="ES319">
        <v>0.80718000000000001</v>
      </c>
    </row>
    <row r="320" spans="1:149" x14ac:dyDescent="0.35">
      <c r="A320" s="77"/>
      <c r="B320" s="77">
        <v>718</v>
      </c>
      <c r="C320" s="77">
        <v>0.39528999999999997</v>
      </c>
      <c r="D320" s="77">
        <v>0.27931</v>
      </c>
      <c r="E320" s="77">
        <v>0.42824000000000001</v>
      </c>
      <c r="F320" s="77">
        <v>0.32368000000000002</v>
      </c>
      <c r="G320" s="77">
        <v>0.43259999999999998</v>
      </c>
      <c r="H320" s="77">
        <v>0.41123999999999999</v>
      </c>
      <c r="I320" s="77">
        <v>0.44491999999999998</v>
      </c>
      <c r="J320" s="77">
        <v>0.39650999999999997</v>
      </c>
      <c r="K320" s="77">
        <v>0.45195000000000002</v>
      </c>
      <c r="L320" s="77">
        <v>0.44850000000000001</v>
      </c>
      <c r="M320" s="77">
        <v>0.45667999999999997</v>
      </c>
      <c r="N320" s="77">
        <v>0.46738000000000002</v>
      </c>
      <c r="O320" s="77">
        <v>0.39140000000000003</v>
      </c>
      <c r="P320" s="77">
        <v>0.37526999999999999</v>
      </c>
      <c r="Q320" s="77">
        <v>0.36569000000000002</v>
      </c>
      <c r="R320" s="77">
        <v>0.40282000000000001</v>
      </c>
      <c r="T320">
        <v>718</v>
      </c>
      <c r="U320">
        <f t="shared" si="64"/>
        <v>0.79057999999999995</v>
      </c>
      <c r="V320">
        <f t="shared" si="65"/>
        <v>0.55862000000000001</v>
      </c>
      <c r="W320">
        <f t="shared" si="66"/>
        <v>0.85648000000000002</v>
      </c>
      <c r="X320">
        <f t="shared" si="67"/>
        <v>0.64736000000000005</v>
      </c>
      <c r="Y320">
        <f t="shared" si="68"/>
        <v>0.86519999999999997</v>
      </c>
      <c r="Z320">
        <f t="shared" si="69"/>
        <v>0.82247999999999999</v>
      </c>
      <c r="AA320">
        <f t="shared" si="70"/>
        <v>0.88983999999999996</v>
      </c>
      <c r="AB320">
        <f t="shared" si="71"/>
        <v>0.79301999999999995</v>
      </c>
      <c r="AC320">
        <f t="shared" si="72"/>
        <v>0.90390000000000004</v>
      </c>
      <c r="AD320">
        <f t="shared" si="73"/>
        <v>0.89700000000000002</v>
      </c>
      <c r="AE320">
        <f t="shared" si="74"/>
        <v>0.91335999999999995</v>
      </c>
      <c r="AF320">
        <f t="shared" si="75"/>
        <v>0.93476000000000004</v>
      </c>
      <c r="AG320">
        <f t="shared" si="76"/>
        <v>0.78280000000000005</v>
      </c>
      <c r="AH320">
        <f t="shared" si="77"/>
        <v>0.75053999999999998</v>
      </c>
      <c r="AI320">
        <f t="shared" si="78"/>
        <v>0.73138000000000003</v>
      </c>
      <c r="AJ320">
        <f t="shared" si="79"/>
        <v>0.80564000000000002</v>
      </c>
      <c r="EC320">
        <v>718</v>
      </c>
      <c r="ED320">
        <v>0.79057999999999995</v>
      </c>
      <c r="EE320">
        <v>0.55862000000000001</v>
      </c>
      <c r="EF320">
        <v>0.85648000000000002</v>
      </c>
      <c r="EG320">
        <v>0.64736000000000005</v>
      </c>
      <c r="EH320">
        <v>0.86519999999999997</v>
      </c>
      <c r="EI320">
        <v>0.82247999999999999</v>
      </c>
      <c r="EJ320">
        <v>0.88983999999999996</v>
      </c>
      <c r="EK320">
        <v>0.79301999999999995</v>
      </c>
      <c r="EL320">
        <v>0.90390000000000004</v>
      </c>
      <c r="EM320">
        <v>0.89700000000000002</v>
      </c>
      <c r="EN320">
        <v>0.91335999999999995</v>
      </c>
      <c r="EO320">
        <v>0.93476000000000004</v>
      </c>
      <c r="EP320">
        <v>0.78280000000000005</v>
      </c>
      <c r="EQ320">
        <v>0.75053999999999998</v>
      </c>
      <c r="ER320">
        <v>0.73138000000000003</v>
      </c>
      <c r="ES320">
        <v>0.80564000000000002</v>
      </c>
    </row>
    <row r="321" spans="1:149" x14ac:dyDescent="0.35">
      <c r="A321" s="77"/>
      <c r="B321" s="77">
        <v>719</v>
      </c>
      <c r="C321" s="77">
        <v>0.39377000000000001</v>
      </c>
      <c r="D321" s="77">
        <v>0.27826000000000001</v>
      </c>
      <c r="E321" s="77">
        <v>0.42653000000000002</v>
      </c>
      <c r="F321" s="77">
        <v>0.32239000000000001</v>
      </c>
      <c r="G321" s="77">
        <v>0.43175000000000002</v>
      </c>
      <c r="H321" s="77">
        <v>0.41026000000000001</v>
      </c>
      <c r="I321" s="77">
        <v>0.44411</v>
      </c>
      <c r="J321" s="77">
        <v>0.39572000000000002</v>
      </c>
      <c r="K321" s="77">
        <v>0.45105000000000001</v>
      </c>
      <c r="L321" s="77">
        <v>0.44762999999999997</v>
      </c>
      <c r="M321" s="77">
        <v>0.45576</v>
      </c>
      <c r="N321" s="77">
        <v>0.46645999999999999</v>
      </c>
      <c r="O321" s="77">
        <v>0.39068999999999998</v>
      </c>
      <c r="P321" s="77">
        <v>0.37469000000000002</v>
      </c>
      <c r="Q321" s="77">
        <v>0.36508000000000002</v>
      </c>
      <c r="R321" s="77">
        <v>0.40215000000000001</v>
      </c>
      <c r="T321">
        <v>719</v>
      </c>
      <c r="U321">
        <f t="shared" si="64"/>
        <v>0.78754000000000002</v>
      </c>
      <c r="V321">
        <f t="shared" si="65"/>
        <v>0.55652000000000001</v>
      </c>
      <c r="W321">
        <f t="shared" si="66"/>
        <v>0.85306000000000004</v>
      </c>
      <c r="X321">
        <f t="shared" si="67"/>
        <v>0.64478000000000002</v>
      </c>
      <c r="Y321">
        <f t="shared" si="68"/>
        <v>0.86350000000000005</v>
      </c>
      <c r="Z321">
        <f t="shared" si="69"/>
        <v>0.82052000000000003</v>
      </c>
      <c r="AA321">
        <f t="shared" si="70"/>
        <v>0.88822000000000001</v>
      </c>
      <c r="AB321">
        <f t="shared" si="71"/>
        <v>0.79144000000000003</v>
      </c>
      <c r="AC321">
        <f t="shared" si="72"/>
        <v>0.90210000000000001</v>
      </c>
      <c r="AD321">
        <f t="shared" si="73"/>
        <v>0.89525999999999994</v>
      </c>
      <c r="AE321">
        <f t="shared" si="74"/>
        <v>0.91152</v>
      </c>
      <c r="AF321">
        <f t="shared" si="75"/>
        <v>0.93291999999999997</v>
      </c>
      <c r="AG321">
        <f t="shared" si="76"/>
        <v>0.78137999999999996</v>
      </c>
      <c r="AH321">
        <f t="shared" si="77"/>
        <v>0.74938000000000005</v>
      </c>
      <c r="AI321">
        <f t="shared" si="78"/>
        <v>0.73016000000000003</v>
      </c>
      <c r="AJ321">
        <f t="shared" si="79"/>
        <v>0.80430000000000001</v>
      </c>
      <c r="EC321">
        <v>719</v>
      </c>
      <c r="ED321">
        <v>0.78754000000000002</v>
      </c>
      <c r="EE321">
        <v>0.55652000000000001</v>
      </c>
      <c r="EF321">
        <v>0.85306000000000004</v>
      </c>
      <c r="EG321">
        <v>0.64478000000000002</v>
      </c>
      <c r="EH321">
        <v>0.86350000000000005</v>
      </c>
      <c r="EI321">
        <v>0.82052000000000003</v>
      </c>
      <c r="EJ321">
        <v>0.88822000000000001</v>
      </c>
      <c r="EK321">
        <v>0.79144000000000003</v>
      </c>
      <c r="EL321">
        <v>0.90210000000000001</v>
      </c>
      <c r="EM321">
        <v>0.89525999999999994</v>
      </c>
      <c r="EN321">
        <v>0.91152</v>
      </c>
      <c r="EO321">
        <v>0.93291999999999997</v>
      </c>
      <c r="EP321">
        <v>0.78137999999999996</v>
      </c>
      <c r="EQ321">
        <v>0.74938000000000005</v>
      </c>
      <c r="ER321">
        <v>0.73016000000000003</v>
      </c>
      <c r="ES321">
        <v>0.80430000000000001</v>
      </c>
    </row>
    <row r="322" spans="1:149" x14ac:dyDescent="0.35">
      <c r="A322" s="77"/>
      <c r="B322" s="77">
        <v>720</v>
      </c>
      <c r="C322" s="77">
        <v>0.39232</v>
      </c>
      <c r="D322" s="77">
        <v>0.27717999999999998</v>
      </c>
      <c r="E322" s="77">
        <v>0.42492999999999997</v>
      </c>
      <c r="F322" s="77">
        <v>0.32112000000000002</v>
      </c>
      <c r="G322" s="77">
        <v>0.43082999999999999</v>
      </c>
      <c r="H322" s="77">
        <v>0.40932000000000002</v>
      </c>
      <c r="I322" s="77">
        <v>0.44324000000000002</v>
      </c>
      <c r="J322" s="77">
        <v>0.39496999999999999</v>
      </c>
      <c r="K322" s="77">
        <v>0.45018000000000002</v>
      </c>
      <c r="L322" s="77">
        <v>0.44668999999999998</v>
      </c>
      <c r="M322" s="77">
        <v>0.45479999999999998</v>
      </c>
      <c r="N322" s="77">
        <v>0.46550000000000002</v>
      </c>
      <c r="O322" s="77">
        <v>0.39005000000000001</v>
      </c>
      <c r="P322" s="77">
        <v>0.37404999999999999</v>
      </c>
      <c r="Q322" s="77">
        <v>0.36447000000000002</v>
      </c>
      <c r="R322" s="77">
        <v>0.40145999999999998</v>
      </c>
      <c r="T322">
        <v>720</v>
      </c>
      <c r="U322">
        <f t="shared" si="64"/>
        <v>0.78464</v>
      </c>
      <c r="V322">
        <f t="shared" si="65"/>
        <v>0.55435999999999996</v>
      </c>
      <c r="W322">
        <f t="shared" si="66"/>
        <v>0.84985999999999995</v>
      </c>
      <c r="X322">
        <f t="shared" si="67"/>
        <v>0.64224000000000003</v>
      </c>
      <c r="Y322">
        <f t="shared" si="68"/>
        <v>0.86165999999999998</v>
      </c>
      <c r="Z322">
        <f t="shared" si="69"/>
        <v>0.81864000000000003</v>
      </c>
      <c r="AA322">
        <f t="shared" si="70"/>
        <v>0.88648000000000005</v>
      </c>
      <c r="AB322">
        <f t="shared" si="71"/>
        <v>0.78993999999999998</v>
      </c>
      <c r="AC322">
        <f t="shared" si="72"/>
        <v>0.90036000000000005</v>
      </c>
      <c r="AD322">
        <f t="shared" si="73"/>
        <v>0.89337999999999995</v>
      </c>
      <c r="AE322">
        <f t="shared" si="74"/>
        <v>0.90959999999999996</v>
      </c>
      <c r="AF322">
        <f t="shared" si="75"/>
        <v>0.93100000000000005</v>
      </c>
      <c r="AG322">
        <f t="shared" si="76"/>
        <v>0.78010000000000002</v>
      </c>
      <c r="AH322">
        <f t="shared" si="77"/>
        <v>0.74809999999999999</v>
      </c>
      <c r="AI322">
        <f t="shared" si="78"/>
        <v>0.72894000000000003</v>
      </c>
      <c r="AJ322">
        <f t="shared" si="79"/>
        <v>0.80291999999999997</v>
      </c>
      <c r="EC322">
        <v>720</v>
      </c>
      <c r="ED322">
        <v>0.78464</v>
      </c>
      <c r="EE322">
        <v>0.55435999999999996</v>
      </c>
      <c r="EF322">
        <v>0.84985999999999995</v>
      </c>
      <c r="EG322">
        <v>0.64224000000000003</v>
      </c>
      <c r="EH322">
        <v>0.86165999999999998</v>
      </c>
      <c r="EI322">
        <v>0.81864000000000003</v>
      </c>
      <c r="EJ322">
        <v>0.88648000000000005</v>
      </c>
      <c r="EK322">
        <v>0.78993999999999998</v>
      </c>
      <c r="EL322">
        <v>0.90036000000000005</v>
      </c>
      <c r="EM322">
        <v>0.89337999999999995</v>
      </c>
      <c r="EN322">
        <v>0.90959999999999996</v>
      </c>
      <c r="EO322">
        <v>0.93100000000000005</v>
      </c>
      <c r="EP322">
        <v>0.78010000000000002</v>
      </c>
      <c r="EQ322">
        <v>0.74809999999999999</v>
      </c>
      <c r="ER322">
        <v>0.72894000000000003</v>
      </c>
      <c r="ES322">
        <v>0.80291999999999997</v>
      </c>
    </row>
    <row r="323" spans="1:149" x14ac:dyDescent="0.35">
      <c r="A323" s="77"/>
      <c r="B323" s="77">
        <v>721</v>
      </c>
      <c r="C323" s="77">
        <v>0.39099</v>
      </c>
      <c r="D323" s="77">
        <v>0.27626000000000001</v>
      </c>
      <c r="E323" s="77">
        <v>0.42348000000000002</v>
      </c>
      <c r="F323" s="77">
        <v>0.32001000000000002</v>
      </c>
      <c r="G323" s="77">
        <v>0.43007000000000001</v>
      </c>
      <c r="H323" s="77">
        <v>0.40839999999999999</v>
      </c>
      <c r="I323" s="77">
        <v>0.44252000000000002</v>
      </c>
      <c r="J323" s="77">
        <v>0.39428999999999997</v>
      </c>
      <c r="K323" s="77">
        <v>0.44934000000000002</v>
      </c>
      <c r="L323" s="77">
        <v>0.44591999999999998</v>
      </c>
      <c r="M323" s="77">
        <v>0.45390000000000003</v>
      </c>
      <c r="N323" s="77">
        <v>0.46465000000000001</v>
      </c>
      <c r="O323" s="77">
        <v>0.38939000000000001</v>
      </c>
      <c r="P323" s="77">
        <v>0.37346000000000001</v>
      </c>
      <c r="Q323" s="77">
        <v>0.36385000000000001</v>
      </c>
      <c r="R323" s="77">
        <v>0.40082000000000001</v>
      </c>
      <c r="T323">
        <v>721</v>
      </c>
      <c r="U323">
        <f t="shared" ref="U323:U386" si="80">C323*2</f>
        <v>0.78198000000000001</v>
      </c>
      <c r="V323">
        <f t="shared" ref="V323:V386" si="81">D323*2</f>
        <v>0.55252000000000001</v>
      </c>
      <c r="W323">
        <f t="shared" ref="W323:W386" si="82">E323*2</f>
        <v>0.84696000000000005</v>
      </c>
      <c r="X323">
        <f t="shared" ref="X323:X386" si="83">F323*2</f>
        <v>0.64002000000000003</v>
      </c>
      <c r="Y323">
        <f t="shared" ref="Y323:Y386" si="84">G323*2</f>
        <v>0.86014000000000002</v>
      </c>
      <c r="Z323">
        <f t="shared" ref="Z323:Z386" si="85">H323*2</f>
        <v>0.81679999999999997</v>
      </c>
      <c r="AA323">
        <f t="shared" ref="AA323:AA386" si="86">I323*2</f>
        <v>0.88504000000000005</v>
      </c>
      <c r="AB323">
        <f t="shared" ref="AB323:AB386" si="87">J323*2</f>
        <v>0.78857999999999995</v>
      </c>
      <c r="AC323">
        <f t="shared" ref="AC323:AC386" si="88">K323*2</f>
        <v>0.89868000000000003</v>
      </c>
      <c r="AD323">
        <f t="shared" ref="AD323:AD386" si="89">L323*2</f>
        <v>0.89183999999999997</v>
      </c>
      <c r="AE323">
        <f t="shared" ref="AE323:AE386" si="90">M323*2</f>
        <v>0.90780000000000005</v>
      </c>
      <c r="AF323">
        <f t="shared" ref="AF323:AF386" si="91">N323*2</f>
        <v>0.92930000000000001</v>
      </c>
      <c r="AG323">
        <f t="shared" ref="AG323:AG386" si="92">O323*2</f>
        <v>0.77878000000000003</v>
      </c>
      <c r="AH323">
        <f t="shared" ref="AH323:AH386" si="93">P323*2</f>
        <v>0.74692000000000003</v>
      </c>
      <c r="AI323">
        <f t="shared" ref="AI323:AI386" si="94">Q323*2</f>
        <v>0.72770000000000001</v>
      </c>
      <c r="AJ323">
        <f t="shared" ref="AJ323:AJ386" si="95">R323*2</f>
        <v>0.80164000000000002</v>
      </c>
      <c r="EC323">
        <v>721</v>
      </c>
      <c r="ED323">
        <v>0.78198000000000001</v>
      </c>
      <c r="EE323">
        <v>0.55252000000000001</v>
      </c>
      <c r="EF323">
        <v>0.84696000000000005</v>
      </c>
      <c r="EG323">
        <v>0.64002000000000003</v>
      </c>
      <c r="EH323">
        <v>0.86014000000000002</v>
      </c>
      <c r="EI323">
        <v>0.81679999999999997</v>
      </c>
      <c r="EJ323">
        <v>0.88504000000000005</v>
      </c>
      <c r="EK323">
        <v>0.78857999999999995</v>
      </c>
      <c r="EL323">
        <v>0.89868000000000003</v>
      </c>
      <c r="EM323">
        <v>0.89183999999999997</v>
      </c>
      <c r="EN323">
        <v>0.90780000000000005</v>
      </c>
      <c r="EO323">
        <v>0.92930000000000001</v>
      </c>
      <c r="EP323">
        <v>0.77878000000000003</v>
      </c>
      <c r="EQ323">
        <v>0.74692000000000003</v>
      </c>
      <c r="ER323">
        <v>0.72770000000000001</v>
      </c>
      <c r="ES323">
        <v>0.80164000000000002</v>
      </c>
    </row>
    <row r="324" spans="1:149" x14ac:dyDescent="0.35">
      <c r="A324" s="77"/>
      <c r="B324" s="77">
        <v>722</v>
      </c>
      <c r="C324" s="77">
        <v>0.38966000000000001</v>
      </c>
      <c r="D324" s="77">
        <v>0.27533999999999997</v>
      </c>
      <c r="E324" s="77">
        <v>0.42207</v>
      </c>
      <c r="F324" s="77">
        <v>0.31885000000000002</v>
      </c>
      <c r="G324" s="77">
        <v>0.42927999999999999</v>
      </c>
      <c r="H324" s="77">
        <v>0.40751999999999999</v>
      </c>
      <c r="I324" s="77">
        <v>0.44185000000000002</v>
      </c>
      <c r="J324" s="77">
        <v>0.39365</v>
      </c>
      <c r="K324" s="77">
        <v>0.44867000000000001</v>
      </c>
      <c r="L324" s="77">
        <v>0.44516</v>
      </c>
      <c r="M324" s="77">
        <v>0.45306000000000002</v>
      </c>
      <c r="N324" s="77">
        <v>0.46388000000000001</v>
      </c>
      <c r="O324" s="77">
        <v>0.38869999999999999</v>
      </c>
      <c r="P324" s="77">
        <v>0.37287999999999999</v>
      </c>
      <c r="Q324" s="77">
        <v>0.36324000000000001</v>
      </c>
      <c r="R324" s="77">
        <v>0.40017999999999998</v>
      </c>
      <c r="T324">
        <v>722</v>
      </c>
      <c r="U324">
        <f t="shared" si="80"/>
        <v>0.77932000000000001</v>
      </c>
      <c r="V324">
        <f t="shared" si="81"/>
        <v>0.55067999999999995</v>
      </c>
      <c r="W324">
        <f t="shared" si="82"/>
        <v>0.84414</v>
      </c>
      <c r="X324">
        <f t="shared" si="83"/>
        <v>0.63770000000000004</v>
      </c>
      <c r="Y324">
        <f t="shared" si="84"/>
        <v>0.85855999999999999</v>
      </c>
      <c r="Z324">
        <f t="shared" si="85"/>
        <v>0.81503999999999999</v>
      </c>
      <c r="AA324">
        <f t="shared" si="86"/>
        <v>0.88370000000000004</v>
      </c>
      <c r="AB324">
        <f t="shared" si="87"/>
        <v>0.7873</v>
      </c>
      <c r="AC324">
        <f t="shared" si="88"/>
        <v>0.89734000000000003</v>
      </c>
      <c r="AD324">
        <f t="shared" si="89"/>
        <v>0.89032</v>
      </c>
      <c r="AE324">
        <f t="shared" si="90"/>
        <v>0.90612000000000004</v>
      </c>
      <c r="AF324">
        <f t="shared" si="91"/>
        <v>0.92776000000000003</v>
      </c>
      <c r="AG324">
        <f t="shared" si="92"/>
        <v>0.77739999999999998</v>
      </c>
      <c r="AH324">
        <f t="shared" si="93"/>
        <v>0.74575999999999998</v>
      </c>
      <c r="AI324">
        <f t="shared" si="94"/>
        <v>0.72648000000000001</v>
      </c>
      <c r="AJ324">
        <f t="shared" si="95"/>
        <v>0.80035999999999996</v>
      </c>
      <c r="EC324">
        <v>722</v>
      </c>
      <c r="ED324">
        <v>0.77932000000000001</v>
      </c>
      <c r="EE324">
        <v>0.55067999999999995</v>
      </c>
      <c r="EF324">
        <v>0.84414</v>
      </c>
      <c r="EG324">
        <v>0.63770000000000004</v>
      </c>
      <c r="EH324">
        <v>0.85855999999999999</v>
      </c>
      <c r="EI324">
        <v>0.81503999999999999</v>
      </c>
      <c r="EJ324">
        <v>0.88370000000000004</v>
      </c>
      <c r="EK324">
        <v>0.7873</v>
      </c>
      <c r="EL324">
        <v>0.89734000000000003</v>
      </c>
      <c r="EM324">
        <v>0.89032</v>
      </c>
      <c r="EN324">
        <v>0.90612000000000004</v>
      </c>
      <c r="EO324">
        <v>0.92776000000000003</v>
      </c>
      <c r="EP324">
        <v>0.77739999999999998</v>
      </c>
      <c r="EQ324">
        <v>0.74575999999999998</v>
      </c>
      <c r="ER324">
        <v>0.72648000000000001</v>
      </c>
      <c r="ES324">
        <v>0.80035999999999996</v>
      </c>
    </row>
    <row r="325" spans="1:149" x14ac:dyDescent="0.35">
      <c r="A325" s="77"/>
      <c r="B325" s="77">
        <v>723</v>
      </c>
      <c r="C325" s="77">
        <v>0.38840999999999998</v>
      </c>
      <c r="D325" s="77">
        <v>0.27439999999999998</v>
      </c>
      <c r="E325" s="77">
        <v>0.42064000000000001</v>
      </c>
      <c r="F325" s="77">
        <v>0.31779000000000002</v>
      </c>
      <c r="G325" s="77">
        <v>0.42851</v>
      </c>
      <c r="H325" s="77">
        <v>0.40675</v>
      </c>
      <c r="I325" s="77">
        <v>0.44114999999999999</v>
      </c>
      <c r="J325" s="77">
        <v>0.39290999999999998</v>
      </c>
      <c r="K325" s="77">
        <v>0.44785000000000003</v>
      </c>
      <c r="L325" s="77">
        <v>0.44436999999999999</v>
      </c>
      <c r="M325" s="77">
        <v>0.45229000000000003</v>
      </c>
      <c r="N325" s="77">
        <v>0.46306000000000003</v>
      </c>
      <c r="O325" s="77">
        <v>0.38811000000000001</v>
      </c>
      <c r="P325" s="77">
        <v>0.37230999999999997</v>
      </c>
      <c r="Q325" s="77">
        <v>0.36264000000000002</v>
      </c>
      <c r="R325" s="77">
        <v>0.39951999999999999</v>
      </c>
      <c r="T325">
        <v>723</v>
      </c>
      <c r="U325">
        <f t="shared" si="80"/>
        <v>0.77681999999999995</v>
      </c>
      <c r="V325">
        <f t="shared" si="81"/>
        <v>0.54879999999999995</v>
      </c>
      <c r="W325">
        <f t="shared" si="82"/>
        <v>0.84128000000000003</v>
      </c>
      <c r="X325">
        <f t="shared" si="83"/>
        <v>0.63558000000000003</v>
      </c>
      <c r="Y325">
        <f t="shared" si="84"/>
        <v>0.85702</v>
      </c>
      <c r="Z325">
        <f t="shared" si="85"/>
        <v>0.8135</v>
      </c>
      <c r="AA325">
        <f t="shared" si="86"/>
        <v>0.88229999999999997</v>
      </c>
      <c r="AB325">
        <f t="shared" si="87"/>
        <v>0.78581999999999996</v>
      </c>
      <c r="AC325">
        <f t="shared" si="88"/>
        <v>0.89570000000000005</v>
      </c>
      <c r="AD325">
        <f t="shared" si="89"/>
        <v>0.88873999999999997</v>
      </c>
      <c r="AE325">
        <f t="shared" si="90"/>
        <v>0.90458000000000005</v>
      </c>
      <c r="AF325">
        <f t="shared" si="91"/>
        <v>0.92612000000000005</v>
      </c>
      <c r="AG325">
        <f t="shared" si="92"/>
        <v>0.77622000000000002</v>
      </c>
      <c r="AH325">
        <f t="shared" si="93"/>
        <v>0.74461999999999995</v>
      </c>
      <c r="AI325">
        <f t="shared" si="94"/>
        <v>0.72528000000000004</v>
      </c>
      <c r="AJ325">
        <f t="shared" si="95"/>
        <v>0.79903999999999997</v>
      </c>
      <c r="EC325">
        <v>723</v>
      </c>
      <c r="ED325">
        <v>0.77681999999999995</v>
      </c>
      <c r="EE325">
        <v>0.54879999999999995</v>
      </c>
      <c r="EF325">
        <v>0.84128000000000003</v>
      </c>
      <c r="EG325">
        <v>0.63558000000000003</v>
      </c>
      <c r="EH325">
        <v>0.85702</v>
      </c>
      <c r="EI325">
        <v>0.8135</v>
      </c>
      <c r="EJ325">
        <v>0.88229999999999997</v>
      </c>
      <c r="EK325">
        <v>0.78581999999999996</v>
      </c>
      <c r="EL325">
        <v>0.89570000000000005</v>
      </c>
      <c r="EM325">
        <v>0.88873999999999997</v>
      </c>
      <c r="EN325">
        <v>0.90458000000000005</v>
      </c>
      <c r="EO325">
        <v>0.92612000000000005</v>
      </c>
      <c r="EP325">
        <v>0.77622000000000002</v>
      </c>
      <c r="EQ325">
        <v>0.74461999999999995</v>
      </c>
      <c r="ER325">
        <v>0.72528000000000004</v>
      </c>
      <c r="ES325">
        <v>0.79903999999999997</v>
      </c>
    </row>
    <row r="326" spans="1:149" x14ac:dyDescent="0.35">
      <c r="A326" s="77"/>
      <c r="B326" s="77">
        <v>724</v>
      </c>
      <c r="C326" s="77">
        <v>0.38714999999999999</v>
      </c>
      <c r="D326" s="77">
        <v>0.27350999999999998</v>
      </c>
      <c r="E326" s="77">
        <v>0.41930000000000001</v>
      </c>
      <c r="F326" s="77">
        <v>0.31673000000000001</v>
      </c>
      <c r="G326" s="77">
        <v>0.42775999999999997</v>
      </c>
      <c r="H326" s="77">
        <v>0.40599000000000002</v>
      </c>
      <c r="I326" s="77">
        <v>0.44052000000000002</v>
      </c>
      <c r="J326" s="77">
        <v>0.39223999999999998</v>
      </c>
      <c r="K326" s="77">
        <v>0.44713000000000003</v>
      </c>
      <c r="L326" s="77">
        <v>0.44366</v>
      </c>
      <c r="M326" s="77">
        <v>0.45154</v>
      </c>
      <c r="N326" s="77">
        <v>0.46227000000000001</v>
      </c>
      <c r="O326" s="77">
        <v>0.38758999999999999</v>
      </c>
      <c r="P326" s="77">
        <v>0.37175000000000002</v>
      </c>
      <c r="Q326" s="77">
        <v>0.36212</v>
      </c>
      <c r="R326" s="77">
        <v>0.39893000000000001</v>
      </c>
      <c r="T326">
        <v>724</v>
      </c>
      <c r="U326">
        <f t="shared" si="80"/>
        <v>0.77429999999999999</v>
      </c>
      <c r="V326">
        <f t="shared" si="81"/>
        <v>0.54701999999999995</v>
      </c>
      <c r="W326">
        <f t="shared" si="82"/>
        <v>0.83860000000000001</v>
      </c>
      <c r="X326">
        <f t="shared" si="83"/>
        <v>0.63346000000000002</v>
      </c>
      <c r="Y326">
        <f t="shared" si="84"/>
        <v>0.85551999999999995</v>
      </c>
      <c r="Z326">
        <f t="shared" si="85"/>
        <v>0.81198000000000004</v>
      </c>
      <c r="AA326">
        <f t="shared" si="86"/>
        <v>0.88104000000000005</v>
      </c>
      <c r="AB326">
        <f t="shared" si="87"/>
        <v>0.78447999999999996</v>
      </c>
      <c r="AC326">
        <f t="shared" si="88"/>
        <v>0.89426000000000005</v>
      </c>
      <c r="AD326">
        <f t="shared" si="89"/>
        <v>0.88732</v>
      </c>
      <c r="AE326">
        <f t="shared" si="90"/>
        <v>0.90307999999999999</v>
      </c>
      <c r="AF326">
        <f t="shared" si="91"/>
        <v>0.92454000000000003</v>
      </c>
      <c r="AG326">
        <f t="shared" si="92"/>
        <v>0.77517999999999998</v>
      </c>
      <c r="AH326">
        <f t="shared" si="93"/>
        <v>0.74350000000000005</v>
      </c>
      <c r="AI326">
        <f t="shared" si="94"/>
        <v>0.72423999999999999</v>
      </c>
      <c r="AJ326">
        <f t="shared" si="95"/>
        <v>0.79786000000000001</v>
      </c>
      <c r="EC326">
        <v>724</v>
      </c>
      <c r="ED326">
        <v>0.77429999999999999</v>
      </c>
      <c r="EE326">
        <v>0.54701999999999995</v>
      </c>
      <c r="EF326">
        <v>0.83860000000000001</v>
      </c>
      <c r="EG326">
        <v>0.63346000000000002</v>
      </c>
      <c r="EH326">
        <v>0.85551999999999995</v>
      </c>
      <c r="EI326">
        <v>0.81198000000000004</v>
      </c>
      <c r="EJ326">
        <v>0.88104000000000005</v>
      </c>
      <c r="EK326">
        <v>0.78447999999999996</v>
      </c>
      <c r="EL326">
        <v>0.89426000000000005</v>
      </c>
      <c r="EM326">
        <v>0.88732</v>
      </c>
      <c r="EN326">
        <v>0.90307999999999999</v>
      </c>
      <c r="EO326">
        <v>0.92454000000000003</v>
      </c>
      <c r="EP326">
        <v>0.77517999999999998</v>
      </c>
      <c r="EQ326">
        <v>0.74350000000000005</v>
      </c>
      <c r="ER326">
        <v>0.72423999999999999</v>
      </c>
      <c r="ES326">
        <v>0.79786000000000001</v>
      </c>
    </row>
    <row r="327" spans="1:149" x14ac:dyDescent="0.35">
      <c r="A327" s="77"/>
      <c r="B327" s="77">
        <v>725</v>
      </c>
      <c r="C327" s="77">
        <v>0.38585999999999998</v>
      </c>
      <c r="D327" s="77">
        <v>0.27263999999999999</v>
      </c>
      <c r="E327" s="77">
        <v>0.41782999999999998</v>
      </c>
      <c r="F327" s="77">
        <v>0.31555</v>
      </c>
      <c r="G327" s="77">
        <v>0.42696000000000001</v>
      </c>
      <c r="H327" s="77">
        <v>0.40509000000000001</v>
      </c>
      <c r="I327" s="77">
        <v>0.43974000000000002</v>
      </c>
      <c r="J327" s="77">
        <v>0.39145999999999997</v>
      </c>
      <c r="K327" s="77">
        <v>0.44631999999999999</v>
      </c>
      <c r="L327" s="77">
        <v>0.44284000000000001</v>
      </c>
      <c r="M327" s="77">
        <v>0.45062000000000002</v>
      </c>
      <c r="N327" s="77">
        <v>0.46135999999999999</v>
      </c>
      <c r="O327" s="77">
        <v>0.38697999999999999</v>
      </c>
      <c r="P327" s="77">
        <v>0.37117</v>
      </c>
      <c r="Q327" s="77">
        <v>0.36155999999999999</v>
      </c>
      <c r="R327" s="77">
        <v>0.39832000000000001</v>
      </c>
      <c r="T327">
        <v>725</v>
      </c>
      <c r="U327">
        <f t="shared" si="80"/>
        <v>0.77171999999999996</v>
      </c>
      <c r="V327">
        <f t="shared" si="81"/>
        <v>0.54527999999999999</v>
      </c>
      <c r="W327">
        <f t="shared" si="82"/>
        <v>0.83565999999999996</v>
      </c>
      <c r="X327">
        <f t="shared" si="83"/>
        <v>0.63109999999999999</v>
      </c>
      <c r="Y327">
        <f t="shared" si="84"/>
        <v>0.85392000000000001</v>
      </c>
      <c r="Z327">
        <f t="shared" si="85"/>
        <v>0.81018000000000001</v>
      </c>
      <c r="AA327">
        <f t="shared" si="86"/>
        <v>0.87948000000000004</v>
      </c>
      <c r="AB327">
        <f t="shared" si="87"/>
        <v>0.78291999999999995</v>
      </c>
      <c r="AC327">
        <f t="shared" si="88"/>
        <v>0.89263999999999999</v>
      </c>
      <c r="AD327">
        <f t="shared" si="89"/>
        <v>0.88568000000000002</v>
      </c>
      <c r="AE327">
        <f t="shared" si="90"/>
        <v>0.90124000000000004</v>
      </c>
      <c r="AF327">
        <f t="shared" si="91"/>
        <v>0.92271999999999998</v>
      </c>
      <c r="AG327">
        <f t="shared" si="92"/>
        <v>0.77395999999999998</v>
      </c>
      <c r="AH327">
        <f t="shared" si="93"/>
        <v>0.74234</v>
      </c>
      <c r="AI327">
        <f t="shared" si="94"/>
        <v>0.72311999999999999</v>
      </c>
      <c r="AJ327">
        <f t="shared" si="95"/>
        <v>0.79664000000000001</v>
      </c>
      <c r="EC327">
        <v>725</v>
      </c>
      <c r="ED327">
        <v>0.77171999999999996</v>
      </c>
      <c r="EE327">
        <v>0.54527999999999999</v>
      </c>
      <c r="EF327">
        <v>0.83565999999999996</v>
      </c>
      <c r="EG327">
        <v>0.63109999999999999</v>
      </c>
      <c r="EH327">
        <v>0.85392000000000001</v>
      </c>
      <c r="EI327">
        <v>0.81018000000000001</v>
      </c>
      <c r="EJ327">
        <v>0.87948000000000004</v>
      </c>
      <c r="EK327">
        <v>0.78291999999999995</v>
      </c>
      <c r="EL327">
        <v>0.89263999999999999</v>
      </c>
      <c r="EM327">
        <v>0.88568000000000002</v>
      </c>
      <c r="EN327">
        <v>0.90124000000000004</v>
      </c>
      <c r="EO327">
        <v>0.92271999999999998</v>
      </c>
      <c r="EP327">
        <v>0.77395999999999998</v>
      </c>
      <c r="EQ327">
        <v>0.74234</v>
      </c>
      <c r="ER327">
        <v>0.72311999999999999</v>
      </c>
      <c r="ES327">
        <v>0.79664000000000001</v>
      </c>
    </row>
    <row r="328" spans="1:149" x14ac:dyDescent="0.35">
      <c r="A328" s="77"/>
      <c r="B328" s="77">
        <v>726</v>
      </c>
      <c r="C328" s="77">
        <v>0.38463000000000003</v>
      </c>
      <c r="D328" s="77">
        <v>0.27173999999999998</v>
      </c>
      <c r="E328" s="77">
        <v>0.41654999999999998</v>
      </c>
      <c r="F328" s="77">
        <v>0.31445000000000001</v>
      </c>
      <c r="G328" s="77">
        <v>0.42620999999999998</v>
      </c>
      <c r="H328" s="77">
        <v>0.40429999999999999</v>
      </c>
      <c r="I328" s="77">
        <v>0.43909999999999999</v>
      </c>
      <c r="J328" s="77">
        <v>0.39087</v>
      </c>
      <c r="K328" s="77">
        <v>0.44551000000000002</v>
      </c>
      <c r="L328" s="77">
        <v>0.44211</v>
      </c>
      <c r="M328" s="77">
        <v>0.44984000000000002</v>
      </c>
      <c r="N328" s="77">
        <v>0.46061999999999997</v>
      </c>
      <c r="O328" s="77">
        <v>0.38636999999999999</v>
      </c>
      <c r="P328" s="77">
        <v>0.37058999999999997</v>
      </c>
      <c r="Q328" s="77">
        <v>0.36101</v>
      </c>
      <c r="R328" s="77">
        <v>0.39766000000000001</v>
      </c>
      <c r="T328">
        <v>726</v>
      </c>
      <c r="U328">
        <f t="shared" si="80"/>
        <v>0.76926000000000005</v>
      </c>
      <c r="V328">
        <f t="shared" si="81"/>
        <v>0.54347999999999996</v>
      </c>
      <c r="W328">
        <f t="shared" si="82"/>
        <v>0.83309999999999995</v>
      </c>
      <c r="X328">
        <f t="shared" si="83"/>
        <v>0.62890000000000001</v>
      </c>
      <c r="Y328">
        <f t="shared" si="84"/>
        <v>0.85241999999999996</v>
      </c>
      <c r="Z328">
        <f t="shared" si="85"/>
        <v>0.80859999999999999</v>
      </c>
      <c r="AA328">
        <f t="shared" si="86"/>
        <v>0.87819999999999998</v>
      </c>
      <c r="AB328">
        <f t="shared" si="87"/>
        <v>0.78173999999999999</v>
      </c>
      <c r="AC328">
        <f t="shared" si="88"/>
        <v>0.89102000000000003</v>
      </c>
      <c r="AD328">
        <f t="shared" si="89"/>
        <v>0.88422000000000001</v>
      </c>
      <c r="AE328">
        <f t="shared" si="90"/>
        <v>0.89968000000000004</v>
      </c>
      <c r="AF328">
        <f t="shared" si="91"/>
        <v>0.92123999999999995</v>
      </c>
      <c r="AG328">
        <f t="shared" si="92"/>
        <v>0.77273999999999998</v>
      </c>
      <c r="AH328">
        <f t="shared" si="93"/>
        <v>0.74117999999999995</v>
      </c>
      <c r="AI328">
        <f t="shared" si="94"/>
        <v>0.72202</v>
      </c>
      <c r="AJ328">
        <f t="shared" si="95"/>
        <v>0.79532000000000003</v>
      </c>
      <c r="EC328">
        <v>726</v>
      </c>
      <c r="ED328">
        <v>0.76926000000000005</v>
      </c>
      <c r="EE328">
        <v>0.54347999999999996</v>
      </c>
      <c r="EF328">
        <v>0.83309999999999995</v>
      </c>
      <c r="EG328">
        <v>0.62890000000000001</v>
      </c>
      <c r="EH328">
        <v>0.85241999999999996</v>
      </c>
      <c r="EI328">
        <v>0.80859999999999999</v>
      </c>
      <c r="EJ328">
        <v>0.87819999999999998</v>
      </c>
      <c r="EK328">
        <v>0.78173999999999999</v>
      </c>
      <c r="EL328">
        <v>0.89102000000000003</v>
      </c>
      <c r="EM328">
        <v>0.88422000000000001</v>
      </c>
      <c r="EN328">
        <v>0.89968000000000004</v>
      </c>
      <c r="EO328">
        <v>0.92123999999999995</v>
      </c>
      <c r="EP328">
        <v>0.77273999999999998</v>
      </c>
      <c r="EQ328">
        <v>0.74117999999999995</v>
      </c>
      <c r="ER328">
        <v>0.72202</v>
      </c>
      <c r="ES328">
        <v>0.79532000000000003</v>
      </c>
    </row>
    <row r="329" spans="1:149" x14ac:dyDescent="0.35">
      <c r="A329" s="77"/>
      <c r="B329" s="77">
        <v>727</v>
      </c>
      <c r="C329" s="77">
        <v>0.38344</v>
      </c>
      <c r="D329" s="77">
        <v>0.27084000000000003</v>
      </c>
      <c r="E329" s="77">
        <v>0.41521000000000002</v>
      </c>
      <c r="F329" s="77">
        <v>0.31346000000000002</v>
      </c>
      <c r="G329" s="77">
        <v>0.42548999999999998</v>
      </c>
      <c r="H329" s="77">
        <v>0.40347</v>
      </c>
      <c r="I329" s="77">
        <v>0.43842999999999999</v>
      </c>
      <c r="J329" s="77">
        <v>0.39023999999999998</v>
      </c>
      <c r="K329" s="77">
        <v>0.44484000000000001</v>
      </c>
      <c r="L329" s="77">
        <v>0.44139</v>
      </c>
      <c r="M329" s="77">
        <v>0.44907000000000002</v>
      </c>
      <c r="N329" s="77">
        <v>0.45989999999999998</v>
      </c>
      <c r="O329" s="77">
        <v>0.38573000000000002</v>
      </c>
      <c r="P329" s="77">
        <v>0.37006</v>
      </c>
      <c r="Q329" s="77">
        <v>0.36041000000000001</v>
      </c>
      <c r="R329" s="77">
        <v>0.39702999999999999</v>
      </c>
      <c r="T329">
        <v>727</v>
      </c>
      <c r="U329">
        <f t="shared" si="80"/>
        <v>0.76688000000000001</v>
      </c>
      <c r="V329">
        <f t="shared" si="81"/>
        <v>0.54168000000000005</v>
      </c>
      <c r="W329">
        <f t="shared" si="82"/>
        <v>0.83042000000000005</v>
      </c>
      <c r="X329">
        <f t="shared" si="83"/>
        <v>0.62692000000000003</v>
      </c>
      <c r="Y329">
        <f t="shared" si="84"/>
        <v>0.85097999999999996</v>
      </c>
      <c r="Z329">
        <f t="shared" si="85"/>
        <v>0.80693999999999999</v>
      </c>
      <c r="AA329">
        <f t="shared" si="86"/>
        <v>0.87685999999999997</v>
      </c>
      <c r="AB329">
        <f t="shared" si="87"/>
        <v>0.78047999999999995</v>
      </c>
      <c r="AC329">
        <f t="shared" si="88"/>
        <v>0.88968000000000003</v>
      </c>
      <c r="AD329">
        <f t="shared" si="89"/>
        <v>0.88278000000000001</v>
      </c>
      <c r="AE329">
        <f t="shared" si="90"/>
        <v>0.89814000000000005</v>
      </c>
      <c r="AF329">
        <f t="shared" si="91"/>
        <v>0.91979999999999995</v>
      </c>
      <c r="AG329">
        <f t="shared" si="92"/>
        <v>0.77146000000000003</v>
      </c>
      <c r="AH329">
        <f t="shared" si="93"/>
        <v>0.74012</v>
      </c>
      <c r="AI329">
        <f t="shared" si="94"/>
        <v>0.72082000000000002</v>
      </c>
      <c r="AJ329">
        <f t="shared" si="95"/>
        <v>0.79405999999999999</v>
      </c>
      <c r="EC329">
        <v>727</v>
      </c>
      <c r="ED329">
        <v>0.76688000000000001</v>
      </c>
      <c r="EE329">
        <v>0.54168000000000005</v>
      </c>
      <c r="EF329">
        <v>0.83042000000000005</v>
      </c>
      <c r="EG329">
        <v>0.62692000000000003</v>
      </c>
      <c r="EH329">
        <v>0.85097999999999996</v>
      </c>
      <c r="EI329">
        <v>0.80693999999999999</v>
      </c>
      <c r="EJ329">
        <v>0.87685999999999997</v>
      </c>
      <c r="EK329">
        <v>0.78047999999999995</v>
      </c>
      <c r="EL329">
        <v>0.88968000000000003</v>
      </c>
      <c r="EM329">
        <v>0.88278000000000001</v>
      </c>
      <c r="EN329">
        <v>0.89814000000000005</v>
      </c>
      <c r="EO329">
        <v>0.91979999999999995</v>
      </c>
      <c r="EP329">
        <v>0.77146000000000003</v>
      </c>
      <c r="EQ329">
        <v>0.74012</v>
      </c>
      <c r="ER329">
        <v>0.72082000000000002</v>
      </c>
      <c r="ES329">
        <v>0.79405999999999999</v>
      </c>
    </row>
    <row r="330" spans="1:149" x14ac:dyDescent="0.35">
      <c r="A330" s="77"/>
      <c r="B330" s="77">
        <v>728</v>
      </c>
      <c r="C330" s="77">
        <v>0.38231999999999999</v>
      </c>
      <c r="D330" s="77">
        <v>0.27002999999999999</v>
      </c>
      <c r="E330" s="77">
        <v>0.41393999999999997</v>
      </c>
      <c r="F330" s="77">
        <v>0.31245000000000001</v>
      </c>
      <c r="G330" s="77">
        <v>0.42484</v>
      </c>
      <c r="H330" s="77">
        <v>0.40267999999999998</v>
      </c>
      <c r="I330" s="77">
        <v>0.43781999999999999</v>
      </c>
      <c r="J330" s="77">
        <v>0.38956000000000002</v>
      </c>
      <c r="K330" s="77">
        <v>0.44413999999999998</v>
      </c>
      <c r="L330" s="77">
        <v>0.44073000000000001</v>
      </c>
      <c r="M330" s="77">
        <v>0.44832</v>
      </c>
      <c r="N330" s="77">
        <v>0.45911999999999997</v>
      </c>
      <c r="O330" s="77">
        <v>0.38512999999999997</v>
      </c>
      <c r="P330" s="77">
        <v>0.36942999999999998</v>
      </c>
      <c r="Q330" s="77">
        <v>0.35986000000000001</v>
      </c>
      <c r="R330" s="77">
        <v>0.39644000000000001</v>
      </c>
      <c r="T330">
        <v>728</v>
      </c>
      <c r="U330">
        <f t="shared" si="80"/>
        <v>0.76463999999999999</v>
      </c>
      <c r="V330">
        <f t="shared" si="81"/>
        <v>0.54005999999999998</v>
      </c>
      <c r="W330">
        <f t="shared" si="82"/>
        <v>0.82787999999999995</v>
      </c>
      <c r="X330">
        <f t="shared" si="83"/>
        <v>0.62490000000000001</v>
      </c>
      <c r="Y330">
        <f t="shared" si="84"/>
        <v>0.84967999999999999</v>
      </c>
      <c r="Z330">
        <f t="shared" si="85"/>
        <v>0.80535999999999996</v>
      </c>
      <c r="AA330">
        <f t="shared" si="86"/>
        <v>0.87563999999999997</v>
      </c>
      <c r="AB330">
        <f t="shared" si="87"/>
        <v>0.77912000000000003</v>
      </c>
      <c r="AC330">
        <f t="shared" si="88"/>
        <v>0.88827999999999996</v>
      </c>
      <c r="AD330">
        <f t="shared" si="89"/>
        <v>0.88146000000000002</v>
      </c>
      <c r="AE330">
        <f t="shared" si="90"/>
        <v>0.89663999999999999</v>
      </c>
      <c r="AF330">
        <f t="shared" si="91"/>
        <v>0.91823999999999995</v>
      </c>
      <c r="AG330">
        <f t="shared" si="92"/>
        <v>0.77025999999999994</v>
      </c>
      <c r="AH330">
        <f t="shared" si="93"/>
        <v>0.73885999999999996</v>
      </c>
      <c r="AI330">
        <f t="shared" si="94"/>
        <v>0.71972000000000003</v>
      </c>
      <c r="AJ330">
        <f t="shared" si="95"/>
        <v>0.79288000000000003</v>
      </c>
      <c r="EC330">
        <v>728</v>
      </c>
      <c r="ED330">
        <v>0.76463999999999999</v>
      </c>
      <c r="EE330">
        <v>0.54005999999999998</v>
      </c>
      <c r="EF330">
        <v>0.82787999999999995</v>
      </c>
      <c r="EG330">
        <v>0.62490000000000001</v>
      </c>
      <c r="EH330">
        <v>0.84967999999999999</v>
      </c>
      <c r="EI330">
        <v>0.80535999999999996</v>
      </c>
      <c r="EJ330">
        <v>0.87563999999999997</v>
      </c>
      <c r="EK330">
        <v>0.77912000000000003</v>
      </c>
      <c r="EL330">
        <v>0.88827999999999996</v>
      </c>
      <c r="EM330">
        <v>0.88146000000000002</v>
      </c>
      <c r="EN330">
        <v>0.89663999999999999</v>
      </c>
      <c r="EO330">
        <v>0.91823999999999995</v>
      </c>
      <c r="EP330">
        <v>0.77025999999999994</v>
      </c>
      <c r="EQ330">
        <v>0.73885999999999996</v>
      </c>
      <c r="ER330">
        <v>0.71972000000000003</v>
      </c>
      <c r="ES330">
        <v>0.79288000000000003</v>
      </c>
    </row>
    <row r="331" spans="1:149" x14ac:dyDescent="0.35">
      <c r="A331" s="77"/>
      <c r="B331" s="77">
        <v>729</v>
      </c>
      <c r="C331" s="77">
        <v>0.38119999999999998</v>
      </c>
      <c r="D331" s="77">
        <v>0.26926</v>
      </c>
      <c r="E331" s="77">
        <v>0.4128</v>
      </c>
      <c r="F331" s="77">
        <v>0.31151000000000001</v>
      </c>
      <c r="G331" s="77">
        <v>0.42412</v>
      </c>
      <c r="H331" s="77">
        <v>0.40195999999999998</v>
      </c>
      <c r="I331" s="77">
        <v>0.43724000000000002</v>
      </c>
      <c r="J331" s="77">
        <v>0.38897999999999999</v>
      </c>
      <c r="K331" s="77">
        <v>0.44341999999999998</v>
      </c>
      <c r="L331" s="77">
        <v>0.44002000000000002</v>
      </c>
      <c r="M331" s="77">
        <v>0.44756000000000001</v>
      </c>
      <c r="N331" s="77">
        <v>0.45845000000000002</v>
      </c>
      <c r="O331" s="77">
        <v>0.3846</v>
      </c>
      <c r="P331" s="77">
        <v>0.36887999999999999</v>
      </c>
      <c r="Q331" s="77">
        <v>0.35932999999999998</v>
      </c>
      <c r="R331" s="77">
        <v>0.39585999999999999</v>
      </c>
      <c r="T331">
        <v>729</v>
      </c>
      <c r="U331">
        <f t="shared" si="80"/>
        <v>0.76239999999999997</v>
      </c>
      <c r="V331">
        <f t="shared" si="81"/>
        <v>0.53852</v>
      </c>
      <c r="W331">
        <f t="shared" si="82"/>
        <v>0.8256</v>
      </c>
      <c r="X331">
        <f t="shared" si="83"/>
        <v>0.62302000000000002</v>
      </c>
      <c r="Y331">
        <f t="shared" si="84"/>
        <v>0.84823999999999999</v>
      </c>
      <c r="Z331">
        <f t="shared" si="85"/>
        <v>0.80391999999999997</v>
      </c>
      <c r="AA331">
        <f t="shared" si="86"/>
        <v>0.87448000000000004</v>
      </c>
      <c r="AB331">
        <f t="shared" si="87"/>
        <v>0.77795999999999998</v>
      </c>
      <c r="AC331">
        <f t="shared" si="88"/>
        <v>0.88683999999999996</v>
      </c>
      <c r="AD331">
        <f t="shared" si="89"/>
        <v>0.88004000000000004</v>
      </c>
      <c r="AE331">
        <f t="shared" si="90"/>
        <v>0.89512000000000003</v>
      </c>
      <c r="AF331">
        <f t="shared" si="91"/>
        <v>0.91690000000000005</v>
      </c>
      <c r="AG331">
        <f t="shared" si="92"/>
        <v>0.76919999999999999</v>
      </c>
      <c r="AH331">
        <f t="shared" si="93"/>
        <v>0.73775999999999997</v>
      </c>
      <c r="AI331">
        <f t="shared" si="94"/>
        <v>0.71865999999999997</v>
      </c>
      <c r="AJ331">
        <f t="shared" si="95"/>
        <v>0.79171999999999998</v>
      </c>
      <c r="EC331">
        <v>729</v>
      </c>
      <c r="ED331">
        <v>0.76239999999999997</v>
      </c>
      <c r="EE331">
        <v>0.53852</v>
      </c>
      <c r="EF331">
        <v>0.8256</v>
      </c>
      <c r="EG331">
        <v>0.62302000000000002</v>
      </c>
      <c r="EH331">
        <v>0.84823999999999999</v>
      </c>
      <c r="EI331">
        <v>0.80391999999999997</v>
      </c>
      <c r="EJ331">
        <v>0.87448000000000004</v>
      </c>
      <c r="EK331">
        <v>0.77795999999999998</v>
      </c>
      <c r="EL331">
        <v>0.88683999999999996</v>
      </c>
      <c r="EM331">
        <v>0.88004000000000004</v>
      </c>
      <c r="EN331">
        <v>0.89512000000000003</v>
      </c>
      <c r="EO331">
        <v>0.91690000000000005</v>
      </c>
      <c r="EP331">
        <v>0.76919999999999999</v>
      </c>
      <c r="EQ331">
        <v>0.73775999999999997</v>
      </c>
      <c r="ER331">
        <v>0.71865999999999997</v>
      </c>
      <c r="ES331">
        <v>0.79171999999999998</v>
      </c>
    </row>
    <row r="332" spans="1:149" x14ac:dyDescent="0.35">
      <c r="A332" s="77"/>
      <c r="B332" s="77">
        <v>730</v>
      </c>
      <c r="C332" s="77">
        <v>0.38024999999999998</v>
      </c>
      <c r="D332" s="77">
        <v>0.26854</v>
      </c>
      <c r="E332" s="77">
        <v>0.41161999999999999</v>
      </c>
      <c r="F332" s="77">
        <v>0.31064000000000003</v>
      </c>
      <c r="G332" s="77">
        <v>0.42354000000000003</v>
      </c>
      <c r="H332" s="77">
        <v>0.40128999999999998</v>
      </c>
      <c r="I332" s="77">
        <v>0.43663000000000002</v>
      </c>
      <c r="J332" s="77">
        <v>0.38836999999999999</v>
      </c>
      <c r="K332" s="77">
        <v>0.44284000000000001</v>
      </c>
      <c r="L332" s="77">
        <v>0.43941000000000002</v>
      </c>
      <c r="M332" s="77">
        <v>0.44685000000000002</v>
      </c>
      <c r="N332" s="77">
        <v>0.45772000000000002</v>
      </c>
      <c r="O332" s="77">
        <v>0.38396000000000002</v>
      </c>
      <c r="P332" s="77">
        <v>0.36837999999999999</v>
      </c>
      <c r="Q332" s="77">
        <v>0.35883999999999999</v>
      </c>
      <c r="R332" s="77">
        <v>0.39528000000000002</v>
      </c>
      <c r="T332">
        <v>730</v>
      </c>
      <c r="U332">
        <f t="shared" si="80"/>
        <v>0.76049999999999995</v>
      </c>
      <c r="V332">
        <f t="shared" si="81"/>
        <v>0.53708</v>
      </c>
      <c r="W332">
        <f t="shared" si="82"/>
        <v>0.82323999999999997</v>
      </c>
      <c r="X332">
        <f t="shared" si="83"/>
        <v>0.62128000000000005</v>
      </c>
      <c r="Y332">
        <f t="shared" si="84"/>
        <v>0.84708000000000006</v>
      </c>
      <c r="Z332">
        <f t="shared" si="85"/>
        <v>0.80257999999999996</v>
      </c>
      <c r="AA332">
        <f t="shared" si="86"/>
        <v>0.87326000000000004</v>
      </c>
      <c r="AB332">
        <f t="shared" si="87"/>
        <v>0.77673999999999999</v>
      </c>
      <c r="AC332">
        <f t="shared" si="88"/>
        <v>0.88568000000000002</v>
      </c>
      <c r="AD332">
        <f t="shared" si="89"/>
        <v>0.87882000000000005</v>
      </c>
      <c r="AE332">
        <f t="shared" si="90"/>
        <v>0.89370000000000005</v>
      </c>
      <c r="AF332">
        <f t="shared" si="91"/>
        <v>0.91544000000000003</v>
      </c>
      <c r="AG332">
        <f t="shared" si="92"/>
        <v>0.76792000000000005</v>
      </c>
      <c r="AH332">
        <f t="shared" si="93"/>
        <v>0.73675999999999997</v>
      </c>
      <c r="AI332">
        <f t="shared" si="94"/>
        <v>0.71767999999999998</v>
      </c>
      <c r="AJ332">
        <f t="shared" si="95"/>
        <v>0.79056000000000004</v>
      </c>
      <c r="EC332">
        <v>730</v>
      </c>
      <c r="ED332">
        <v>0.76049999999999995</v>
      </c>
      <c r="EE332">
        <v>0.53708</v>
      </c>
      <c r="EF332">
        <v>0.82323999999999997</v>
      </c>
      <c r="EG332">
        <v>0.62128000000000005</v>
      </c>
      <c r="EH332">
        <v>0.84708000000000006</v>
      </c>
      <c r="EI332">
        <v>0.80257999999999996</v>
      </c>
      <c r="EJ332">
        <v>0.87326000000000004</v>
      </c>
      <c r="EK332">
        <v>0.77673999999999999</v>
      </c>
      <c r="EL332">
        <v>0.88568000000000002</v>
      </c>
      <c r="EM332">
        <v>0.87882000000000005</v>
      </c>
      <c r="EN332">
        <v>0.89370000000000005</v>
      </c>
      <c r="EO332">
        <v>0.91544000000000003</v>
      </c>
      <c r="EP332">
        <v>0.76792000000000005</v>
      </c>
      <c r="EQ332">
        <v>0.73675999999999997</v>
      </c>
      <c r="ER332">
        <v>0.71767999999999998</v>
      </c>
      <c r="ES332">
        <v>0.79056000000000004</v>
      </c>
    </row>
    <row r="333" spans="1:149" x14ac:dyDescent="0.35">
      <c r="A333" s="77"/>
      <c r="B333" s="77">
        <v>731</v>
      </c>
      <c r="C333" s="77">
        <v>0.37909999999999999</v>
      </c>
      <c r="D333" s="77">
        <v>0.26772000000000001</v>
      </c>
      <c r="E333" s="77">
        <v>0.41044999999999998</v>
      </c>
      <c r="F333" s="77">
        <v>0.30965999999999999</v>
      </c>
      <c r="G333" s="77">
        <v>0.42287999999999998</v>
      </c>
      <c r="H333" s="77">
        <v>0.40050999999999998</v>
      </c>
      <c r="I333" s="77">
        <v>0.43607000000000001</v>
      </c>
      <c r="J333" s="77">
        <v>0.38779999999999998</v>
      </c>
      <c r="K333" s="77">
        <v>0.44219999999999998</v>
      </c>
      <c r="L333" s="77">
        <v>0.43876999999999999</v>
      </c>
      <c r="M333" s="77">
        <v>0.44618000000000002</v>
      </c>
      <c r="N333" s="77">
        <v>0.45707999999999999</v>
      </c>
      <c r="O333" s="77">
        <v>0.38340999999999997</v>
      </c>
      <c r="P333" s="77">
        <v>0.3679</v>
      </c>
      <c r="Q333" s="77">
        <v>0.35831000000000002</v>
      </c>
      <c r="R333" s="77">
        <v>0.39473000000000003</v>
      </c>
      <c r="T333">
        <v>731</v>
      </c>
      <c r="U333">
        <f t="shared" si="80"/>
        <v>0.75819999999999999</v>
      </c>
      <c r="V333">
        <f t="shared" si="81"/>
        <v>0.53544000000000003</v>
      </c>
      <c r="W333">
        <f t="shared" si="82"/>
        <v>0.82089999999999996</v>
      </c>
      <c r="X333">
        <f t="shared" si="83"/>
        <v>0.61931999999999998</v>
      </c>
      <c r="Y333">
        <f t="shared" si="84"/>
        <v>0.84575999999999996</v>
      </c>
      <c r="Z333">
        <f t="shared" si="85"/>
        <v>0.80101999999999995</v>
      </c>
      <c r="AA333">
        <f t="shared" si="86"/>
        <v>0.87214000000000003</v>
      </c>
      <c r="AB333">
        <f t="shared" si="87"/>
        <v>0.77559999999999996</v>
      </c>
      <c r="AC333">
        <f t="shared" si="88"/>
        <v>0.88439999999999996</v>
      </c>
      <c r="AD333">
        <f t="shared" si="89"/>
        <v>0.87753999999999999</v>
      </c>
      <c r="AE333">
        <f t="shared" si="90"/>
        <v>0.89236000000000004</v>
      </c>
      <c r="AF333">
        <f t="shared" si="91"/>
        <v>0.91415999999999997</v>
      </c>
      <c r="AG333">
        <f t="shared" si="92"/>
        <v>0.76681999999999995</v>
      </c>
      <c r="AH333">
        <f t="shared" si="93"/>
        <v>0.73580000000000001</v>
      </c>
      <c r="AI333">
        <f t="shared" si="94"/>
        <v>0.71662000000000003</v>
      </c>
      <c r="AJ333">
        <f t="shared" si="95"/>
        <v>0.78946000000000005</v>
      </c>
      <c r="EC333">
        <v>731</v>
      </c>
      <c r="ED333">
        <v>0.75819999999999999</v>
      </c>
      <c r="EE333">
        <v>0.53544000000000003</v>
      </c>
      <c r="EF333">
        <v>0.82089999999999996</v>
      </c>
      <c r="EG333">
        <v>0.61931999999999998</v>
      </c>
      <c r="EH333">
        <v>0.84575999999999996</v>
      </c>
      <c r="EI333">
        <v>0.80101999999999995</v>
      </c>
      <c r="EJ333">
        <v>0.87214000000000003</v>
      </c>
      <c r="EK333">
        <v>0.77559999999999996</v>
      </c>
      <c r="EL333">
        <v>0.88439999999999996</v>
      </c>
      <c r="EM333">
        <v>0.87753999999999999</v>
      </c>
      <c r="EN333">
        <v>0.89236000000000004</v>
      </c>
      <c r="EO333">
        <v>0.91415999999999997</v>
      </c>
      <c r="EP333">
        <v>0.76681999999999995</v>
      </c>
      <c r="EQ333">
        <v>0.73580000000000001</v>
      </c>
      <c r="ER333">
        <v>0.71662000000000003</v>
      </c>
      <c r="ES333">
        <v>0.78946000000000005</v>
      </c>
    </row>
    <row r="334" spans="1:149" x14ac:dyDescent="0.35">
      <c r="A334" s="77"/>
      <c r="B334" s="77">
        <v>732</v>
      </c>
      <c r="C334" s="77">
        <v>0.37809999999999999</v>
      </c>
      <c r="D334" s="77">
        <v>0.26696999999999999</v>
      </c>
      <c r="E334" s="77">
        <v>0.40933000000000003</v>
      </c>
      <c r="F334" s="77">
        <v>0.30878</v>
      </c>
      <c r="G334" s="77">
        <v>0.42226000000000002</v>
      </c>
      <c r="H334" s="77">
        <v>0.39985999999999999</v>
      </c>
      <c r="I334" s="77">
        <v>0.43547000000000002</v>
      </c>
      <c r="J334" s="77">
        <v>0.38721</v>
      </c>
      <c r="K334" s="77">
        <v>0.44159999999999999</v>
      </c>
      <c r="L334" s="77">
        <v>0.43813000000000002</v>
      </c>
      <c r="M334" s="77">
        <v>0.44551000000000002</v>
      </c>
      <c r="N334" s="77">
        <v>0.45645000000000002</v>
      </c>
      <c r="O334" s="77">
        <v>0.38289000000000001</v>
      </c>
      <c r="P334" s="77">
        <v>0.36751</v>
      </c>
      <c r="Q334" s="77">
        <v>0.35785</v>
      </c>
      <c r="R334" s="77">
        <v>0.39421</v>
      </c>
      <c r="T334">
        <v>732</v>
      </c>
      <c r="U334">
        <f t="shared" si="80"/>
        <v>0.75619999999999998</v>
      </c>
      <c r="V334">
        <f t="shared" si="81"/>
        <v>0.53393999999999997</v>
      </c>
      <c r="W334">
        <f t="shared" si="82"/>
        <v>0.81866000000000005</v>
      </c>
      <c r="X334">
        <f t="shared" si="83"/>
        <v>0.61756</v>
      </c>
      <c r="Y334">
        <f t="shared" si="84"/>
        <v>0.84452000000000005</v>
      </c>
      <c r="Z334">
        <f t="shared" si="85"/>
        <v>0.79971999999999999</v>
      </c>
      <c r="AA334">
        <f t="shared" si="86"/>
        <v>0.87094000000000005</v>
      </c>
      <c r="AB334">
        <f t="shared" si="87"/>
        <v>0.77442</v>
      </c>
      <c r="AC334">
        <f t="shared" si="88"/>
        <v>0.88319999999999999</v>
      </c>
      <c r="AD334">
        <f t="shared" si="89"/>
        <v>0.87626000000000004</v>
      </c>
      <c r="AE334">
        <f t="shared" si="90"/>
        <v>0.89102000000000003</v>
      </c>
      <c r="AF334">
        <f t="shared" si="91"/>
        <v>0.91290000000000004</v>
      </c>
      <c r="AG334">
        <f t="shared" si="92"/>
        <v>0.76578000000000002</v>
      </c>
      <c r="AH334">
        <f t="shared" si="93"/>
        <v>0.73502000000000001</v>
      </c>
      <c r="AI334">
        <f t="shared" si="94"/>
        <v>0.7157</v>
      </c>
      <c r="AJ334">
        <f t="shared" si="95"/>
        <v>0.78842000000000001</v>
      </c>
      <c r="EC334">
        <v>732</v>
      </c>
      <c r="ED334">
        <v>0.75619999999999998</v>
      </c>
      <c r="EE334">
        <v>0.53393999999999997</v>
      </c>
      <c r="EF334">
        <v>0.81866000000000005</v>
      </c>
      <c r="EG334">
        <v>0.61756</v>
      </c>
      <c r="EH334">
        <v>0.84452000000000005</v>
      </c>
      <c r="EI334">
        <v>0.79971999999999999</v>
      </c>
      <c r="EJ334">
        <v>0.87094000000000005</v>
      </c>
      <c r="EK334">
        <v>0.77442</v>
      </c>
      <c r="EL334">
        <v>0.88319999999999999</v>
      </c>
      <c r="EM334">
        <v>0.87626000000000004</v>
      </c>
      <c r="EN334">
        <v>0.89102000000000003</v>
      </c>
      <c r="EO334">
        <v>0.91290000000000004</v>
      </c>
      <c r="EP334">
        <v>0.76578000000000002</v>
      </c>
      <c r="EQ334">
        <v>0.73502000000000001</v>
      </c>
      <c r="ER334">
        <v>0.7157</v>
      </c>
      <c r="ES334">
        <v>0.78842000000000001</v>
      </c>
    </row>
    <row r="335" spans="1:149" x14ac:dyDescent="0.35">
      <c r="A335" s="77"/>
      <c r="B335" s="77">
        <v>733</v>
      </c>
      <c r="C335" s="77">
        <v>0.37703999999999999</v>
      </c>
      <c r="D335" s="77">
        <v>0.26627000000000001</v>
      </c>
      <c r="E335" s="77">
        <v>0.40826000000000001</v>
      </c>
      <c r="F335" s="77">
        <v>0.30789</v>
      </c>
      <c r="G335" s="77">
        <v>0.42168</v>
      </c>
      <c r="H335" s="77">
        <v>0.39917000000000002</v>
      </c>
      <c r="I335" s="77">
        <v>0.43493999999999999</v>
      </c>
      <c r="J335" s="77">
        <v>0.38666</v>
      </c>
      <c r="K335" s="77">
        <v>0.44097999999999998</v>
      </c>
      <c r="L335" s="77">
        <v>0.4375</v>
      </c>
      <c r="M335" s="77">
        <v>0.44479000000000002</v>
      </c>
      <c r="N335" s="77">
        <v>0.45587</v>
      </c>
      <c r="O335" s="77">
        <v>0.38229000000000002</v>
      </c>
      <c r="P335" s="77">
        <v>0.36697000000000002</v>
      </c>
      <c r="Q335" s="77">
        <v>0.35730000000000001</v>
      </c>
      <c r="R335" s="77">
        <v>0.39355000000000001</v>
      </c>
      <c r="T335">
        <v>733</v>
      </c>
      <c r="U335">
        <f t="shared" si="80"/>
        <v>0.75407999999999997</v>
      </c>
      <c r="V335">
        <f t="shared" si="81"/>
        <v>0.53254000000000001</v>
      </c>
      <c r="W335">
        <f t="shared" si="82"/>
        <v>0.81652000000000002</v>
      </c>
      <c r="X335">
        <f t="shared" si="83"/>
        <v>0.61577999999999999</v>
      </c>
      <c r="Y335">
        <f t="shared" si="84"/>
        <v>0.84336</v>
      </c>
      <c r="Z335">
        <f t="shared" si="85"/>
        <v>0.79834000000000005</v>
      </c>
      <c r="AA335">
        <f t="shared" si="86"/>
        <v>0.86987999999999999</v>
      </c>
      <c r="AB335">
        <f t="shared" si="87"/>
        <v>0.77332000000000001</v>
      </c>
      <c r="AC335">
        <f t="shared" si="88"/>
        <v>0.88195999999999997</v>
      </c>
      <c r="AD335">
        <f t="shared" si="89"/>
        <v>0.875</v>
      </c>
      <c r="AE335">
        <f t="shared" si="90"/>
        <v>0.88958000000000004</v>
      </c>
      <c r="AF335">
        <f t="shared" si="91"/>
        <v>0.91173999999999999</v>
      </c>
      <c r="AG335">
        <f t="shared" si="92"/>
        <v>0.76458000000000004</v>
      </c>
      <c r="AH335">
        <f t="shared" si="93"/>
        <v>0.73394000000000004</v>
      </c>
      <c r="AI335">
        <f t="shared" si="94"/>
        <v>0.71460000000000001</v>
      </c>
      <c r="AJ335">
        <f t="shared" si="95"/>
        <v>0.78710000000000002</v>
      </c>
      <c r="EC335">
        <v>733</v>
      </c>
      <c r="ED335">
        <v>0.75407999999999997</v>
      </c>
      <c r="EE335">
        <v>0.53254000000000001</v>
      </c>
      <c r="EF335">
        <v>0.81652000000000002</v>
      </c>
      <c r="EG335">
        <v>0.61577999999999999</v>
      </c>
      <c r="EH335">
        <v>0.84336</v>
      </c>
      <c r="EI335">
        <v>0.79834000000000005</v>
      </c>
      <c r="EJ335">
        <v>0.86987999999999999</v>
      </c>
      <c r="EK335">
        <v>0.77332000000000001</v>
      </c>
      <c r="EL335">
        <v>0.88195999999999997</v>
      </c>
      <c r="EM335">
        <v>0.875</v>
      </c>
      <c r="EN335">
        <v>0.88958000000000004</v>
      </c>
      <c r="EO335">
        <v>0.91173999999999999</v>
      </c>
      <c r="EP335">
        <v>0.76458000000000004</v>
      </c>
      <c r="EQ335">
        <v>0.73394000000000004</v>
      </c>
      <c r="ER335">
        <v>0.71460000000000001</v>
      </c>
      <c r="ES335">
        <v>0.78710000000000002</v>
      </c>
    </row>
    <row r="336" spans="1:149" x14ac:dyDescent="0.35">
      <c r="A336" s="77"/>
      <c r="B336" s="77">
        <v>734</v>
      </c>
      <c r="C336" s="77">
        <v>0.37597999999999998</v>
      </c>
      <c r="D336" s="77">
        <v>0.26552999999999999</v>
      </c>
      <c r="E336" s="77">
        <v>0.40715000000000001</v>
      </c>
      <c r="F336" s="77">
        <v>0.30702000000000002</v>
      </c>
      <c r="G336" s="77">
        <v>0.42102000000000001</v>
      </c>
      <c r="H336" s="77">
        <v>0.39845000000000003</v>
      </c>
      <c r="I336" s="77">
        <v>0.43436000000000002</v>
      </c>
      <c r="J336" s="77">
        <v>0.38612000000000002</v>
      </c>
      <c r="K336" s="77">
        <v>0.44031999999999999</v>
      </c>
      <c r="L336" s="77">
        <v>0.43684000000000001</v>
      </c>
      <c r="M336" s="77">
        <v>0.44406000000000001</v>
      </c>
      <c r="N336" s="77">
        <v>0.45517999999999997</v>
      </c>
      <c r="O336" s="77">
        <v>0.38168000000000002</v>
      </c>
      <c r="P336" s="77">
        <v>0.36637999999999998</v>
      </c>
      <c r="Q336" s="77">
        <v>0.35676999999999998</v>
      </c>
      <c r="R336" s="77">
        <v>0.39290999999999998</v>
      </c>
      <c r="T336">
        <v>734</v>
      </c>
      <c r="U336">
        <f t="shared" si="80"/>
        <v>0.75195999999999996</v>
      </c>
      <c r="V336">
        <f t="shared" si="81"/>
        <v>0.53105999999999998</v>
      </c>
      <c r="W336">
        <f t="shared" si="82"/>
        <v>0.81430000000000002</v>
      </c>
      <c r="X336">
        <f t="shared" si="83"/>
        <v>0.61404000000000003</v>
      </c>
      <c r="Y336">
        <f t="shared" si="84"/>
        <v>0.84204000000000001</v>
      </c>
      <c r="Z336">
        <f t="shared" si="85"/>
        <v>0.79690000000000005</v>
      </c>
      <c r="AA336">
        <f t="shared" si="86"/>
        <v>0.86872000000000005</v>
      </c>
      <c r="AB336">
        <f t="shared" si="87"/>
        <v>0.77224000000000004</v>
      </c>
      <c r="AC336">
        <f t="shared" si="88"/>
        <v>0.88063999999999998</v>
      </c>
      <c r="AD336">
        <f t="shared" si="89"/>
        <v>0.87368000000000001</v>
      </c>
      <c r="AE336">
        <f t="shared" si="90"/>
        <v>0.88812000000000002</v>
      </c>
      <c r="AF336">
        <f t="shared" si="91"/>
        <v>0.91035999999999995</v>
      </c>
      <c r="AG336">
        <f t="shared" si="92"/>
        <v>0.76336000000000004</v>
      </c>
      <c r="AH336">
        <f t="shared" si="93"/>
        <v>0.73275999999999997</v>
      </c>
      <c r="AI336">
        <f t="shared" si="94"/>
        <v>0.71353999999999995</v>
      </c>
      <c r="AJ336">
        <f t="shared" si="95"/>
        <v>0.78581999999999996</v>
      </c>
      <c r="EC336">
        <v>734</v>
      </c>
      <c r="ED336">
        <v>0.75195999999999996</v>
      </c>
      <c r="EE336">
        <v>0.53105999999999998</v>
      </c>
      <c r="EF336">
        <v>0.81430000000000002</v>
      </c>
      <c r="EG336">
        <v>0.61404000000000003</v>
      </c>
      <c r="EH336">
        <v>0.84204000000000001</v>
      </c>
      <c r="EI336">
        <v>0.79690000000000005</v>
      </c>
      <c r="EJ336">
        <v>0.86872000000000005</v>
      </c>
      <c r="EK336">
        <v>0.77224000000000004</v>
      </c>
      <c r="EL336">
        <v>0.88063999999999998</v>
      </c>
      <c r="EM336">
        <v>0.87368000000000001</v>
      </c>
      <c r="EN336">
        <v>0.88812000000000002</v>
      </c>
      <c r="EO336">
        <v>0.91035999999999995</v>
      </c>
      <c r="EP336">
        <v>0.76336000000000004</v>
      </c>
      <c r="EQ336">
        <v>0.73275999999999997</v>
      </c>
      <c r="ER336">
        <v>0.71353999999999995</v>
      </c>
      <c r="ES336">
        <v>0.78581999999999996</v>
      </c>
    </row>
    <row r="337" spans="1:149" x14ac:dyDescent="0.35">
      <c r="A337" s="77"/>
      <c r="B337" s="77">
        <v>735</v>
      </c>
      <c r="C337" s="77">
        <v>0.37502999999999997</v>
      </c>
      <c r="D337" s="77">
        <v>0.26483000000000001</v>
      </c>
      <c r="E337" s="77">
        <v>0.40608</v>
      </c>
      <c r="F337" s="77">
        <v>0.30620999999999998</v>
      </c>
      <c r="G337" s="77">
        <v>0.42035</v>
      </c>
      <c r="H337" s="77">
        <v>0.39779999999999999</v>
      </c>
      <c r="I337" s="77">
        <v>0.43378</v>
      </c>
      <c r="J337" s="77">
        <v>0.38552999999999998</v>
      </c>
      <c r="K337" s="77">
        <v>0.43969999999999998</v>
      </c>
      <c r="L337" s="77">
        <v>0.43625000000000003</v>
      </c>
      <c r="M337" s="77">
        <v>0.44336999999999999</v>
      </c>
      <c r="N337" s="77">
        <v>0.45454</v>
      </c>
      <c r="O337" s="77">
        <v>0.38108999999999998</v>
      </c>
      <c r="P337" s="77">
        <v>0.36587999999999998</v>
      </c>
      <c r="Q337" s="77">
        <v>0.35616999999999999</v>
      </c>
      <c r="R337" s="77">
        <v>0.39234999999999998</v>
      </c>
      <c r="T337">
        <v>735</v>
      </c>
      <c r="U337">
        <f t="shared" si="80"/>
        <v>0.75005999999999995</v>
      </c>
      <c r="V337">
        <f t="shared" si="81"/>
        <v>0.52966000000000002</v>
      </c>
      <c r="W337">
        <f t="shared" si="82"/>
        <v>0.81215999999999999</v>
      </c>
      <c r="X337">
        <f t="shared" si="83"/>
        <v>0.61241999999999996</v>
      </c>
      <c r="Y337">
        <f t="shared" si="84"/>
        <v>0.8407</v>
      </c>
      <c r="Z337">
        <f t="shared" si="85"/>
        <v>0.79559999999999997</v>
      </c>
      <c r="AA337">
        <f t="shared" si="86"/>
        <v>0.86756</v>
      </c>
      <c r="AB337">
        <f t="shared" si="87"/>
        <v>0.77105999999999997</v>
      </c>
      <c r="AC337">
        <f t="shared" si="88"/>
        <v>0.87939999999999996</v>
      </c>
      <c r="AD337">
        <f t="shared" si="89"/>
        <v>0.87250000000000005</v>
      </c>
      <c r="AE337">
        <f t="shared" si="90"/>
        <v>0.88673999999999997</v>
      </c>
      <c r="AF337">
        <f t="shared" si="91"/>
        <v>0.90908</v>
      </c>
      <c r="AG337">
        <f t="shared" si="92"/>
        <v>0.76217999999999997</v>
      </c>
      <c r="AH337">
        <f t="shared" si="93"/>
        <v>0.73175999999999997</v>
      </c>
      <c r="AI337">
        <f t="shared" si="94"/>
        <v>0.71233999999999997</v>
      </c>
      <c r="AJ337">
        <f t="shared" si="95"/>
        <v>0.78469999999999995</v>
      </c>
      <c r="EC337">
        <v>735</v>
      </c>
      <c r="ED337">
        <v>0.75005999999999995</v>
      </c>
      <c r="EE337">
        <v>0.52966000000000002</v>
      </c>
      <c r="EF337">
        <v>0.81215999999999999</v>
      </c>
      <c r="EG337">
        <v>0.61241999999999996</v>
      </c>
      <c r="EH337">
        <v>0.8407</v>
      </c>
      <c r="EI337">
        <v>0.79559999999999997</v>
      </c>
      <c r="EJ337">
        <v>0.86756</v>
      </c>
      <c r="EK337">
        <v>0.77105999999999997</v>
      </c>
      <c r="EL337">
        <v>0.87939999999999996</v>
      </c>
      <c r="EM337">
        <v>0.87250000000000005</v>
      </c>
      <c r="EN337">
        <v>0.88673999999999997</v>
      </c>
      <c r="EO337">
        <v>0.90908</v>
      </c>
      <c r="EP337">
        <v>0.76217999999999997</v>
      </c>
      <c r="EQ337">
        <v>0.73175999999999997</v>
      </c>
      <c r="ER337">
        <v>0.71233999999999997</v>
      </c>
      <c r="ES337">
        <v>0.78469999999999995</v>
      </c>
    </row>
    <row r="338" spans="1:149" x14ac:dyDescent="0.35">
      <c r="A338" s="77"/>
      <c r="B338" s="77">
        <v>736</v>
      </c>
      <c r="C338" s="77">
        <v>0.37390000000000001</v>
      </c>
      <c r="D338" s="77">
        <v>0.26399</v>
      </c>
      <c r="E338" s="77">
        <v>0.40488000000000002</v>
      </c>
      <c r="F338" s="77">
        <v>0.30524000000000001</v>
      </c>
      <c r="G338" s="77">
        <v>0.41968</v>
      </c>
      <c r="H338" s="77">
        <v>0.39701999999999998</v>
      </c>
      <c r="I338" s="77">
        <v>0.43310999999999999</v>
      </c>
      <c r="J338" s="77">
        <v>0.38492999999999999</v>
      </c>
      <c r="K338" s="77">
        <v>0.43895000000000001</v>
      </c>
      <c r="L338" s="77">
        <v>0.43556</v>
      </c>
      <c r="M338" s="77">
        <v>0.44261</v>
      </c>
      <c r="N338" s="77">
        <v>0.45383000000000001</v>
      </c>
      <c r="O338" s="77">
        <v>0.38052000000000002</v>
      </c>
      <c r="P338" s="77">
        <v>0.36534</v>
      </c>
      <c r="Q338" s="77">
        <v>0.35570000000000002</v>
      </c>
      <c r="R338" s="77">
        <v>0.39177000000000001</v>
      </c>
      <c r="T338">
        <v>736</v>
      </c>
      <c r="U338">
        <f t="shared" si="80"/>
        <v>0.74780000000000002</v>
      </c>
      <c r="V338">
        <f t="shared" si="81"/>
        <v>0.52798</v>
      </c>
      <c r="W338">
        <f t="shared" si="82"/>
        <v>0.80976000000000004</v>
      </c>
      <c r="X338">
        <f t="shared" si="83"/>
        <v>0.61048000000000002</v>
      </c>
      <c r="Y338">
        <f t="shared" si="84"/>
        <v>0.83935999999999999</v>
      </c>
      <c r="Z338">
        <f t="shared" si="85"/>
        <v>0.79403999999999997</v>
      </c>
      <c r="AA338">
        <f t="shared" si="86"/>
        <v>0.86621999999999999</v>
      </c>
      <c r="AB338">
        <f t="shared" si="87"/>
        <v>0.76985999999999999</v>
      </c>
      <c r="AC338">
        <f t="shared" si="88"/>
        <v>0.87790000000000001</v>
      </c>
      <c r="AD338">
        <f t="shared" si="89"/>
        <v>0.87112000000000001</v>
      </c>
      <c r="AE338">
        <f t="shared" si="90"/>
        <v>0.88522000000000001</v>
      </c>
      <c r="AF338">
        <f t="shared" si="91"/>
        <v>0.90766000000000002</v>
      </c>
      <c r="AG338">
        <f t="shared" si="92"/>
        <v>0.76104000000000005</v>
      </c>
      <c r="AH338">
        <f t="shared" si="93"/>
        <v>0.73068</v>
      </c>
      <c r="AI338">
        <f t="shared" si="94"/>
        <v>0.71140000000000003</v>
      </c>
      <c r="AJ338">
        <f t="shared" si="95"/>
        <v>0.78354000000000001</v>
      </c>
      <c r="EC338">
        <v>736</v>
      </c>
      <c r="ED338">
        <v>0.74780000000000002</v>
      </c>
      <c r="EE338">
        <v>0.52798</v>
      </c>
      <c r="EF338">
        <v>0.80976000000000004</v>
      </c>
      <c r="EG338">
        <v>0.61048000000000002</v>
      </c>
      <c r="EH338">
        <v>0.83935999999999999</v>
      </c>
      <c r="EI338">
        <v>0.79403999999999997</v>
      </c>
      <c r="EJ338">
        <v>0.86621999999999999</v>
      </c>
      <c r="EK338">
        <v>0.76985999999999999</v>
      </c>
      <c r="EL338">
        <v>0.87790000000000001</v>
      </c>
      <c r="EM338">
        <v>0.87112000000000001</v>
      </c>
      <c r="EN338">
        <v>0.88522000000000001</v>
      </c>
      <c r="EO338">
        <v>0.90766000000000002</v>
      </c>
      <c r="EP338">
        <v>0.76104000000000005</v>
      </c>
      <c r="EQ338">
        <v>0.73068</v>
      </c>
      <c r="ER338">
        <v>0.71140000000000003</v>
      </c>
      <c r="ES338">
        <v>0.78354000000000001</v>
      </c>
    </row>
    <row r="339" spans="1:149" x14ac:dyDescent="0.35">
      <c r="A339" s="77"/>
      <c r="B339" s="77">
        <v>737</v>
      </c>
      <c r="C339" s="77">
        <v>0.37289</v>
      </c>
      <c r="D339" s="77">
        <v>0.26329000000000002</v>
      </c>
      <c r="E339" s="77">
        <v>0.40375</v>
      </c>
      <c r="F339" s="77">
        <v>0.30434</v>
      </c>
      <c r="G339" s="77">
        <v>0.41900999999999999</v>
      </c>
      <c r="H339" s="77">
        <v>0.39638000000000001</v>
      </c>
      <c r="I339" s="77">
        <v>0.43257000000000001</v>
      </c>
      <c r="J339" s="77">
        <v>0.38431999999999999</v>
      </c>
      <c r="K339" s="77">
        <v>0.43834000000000001</v>
      </c>
      <c r="L339" s="77">
        <v>0.43486000000000002</v>
      </c>
      <c r="M339" s="77">
        <v>0.44196000000000002</v>
      </c>
      <c r="N339" s="77">
        <v>0.45319999999999999</v>
      </c>
      <c r="O339" s="77">
        <v>0.37996000000000002</v>
      </c>
      <c r="P339" s="77">
        <v>0.36484</v>
      </c>
      <c r="Q339" s="77">
        <v>0.35515999999999998</v>
      </c>
      <c r="R339" s="77">
        <v>0.39112999999999998</v>
      </c>
      <c r="T339">
        <v>737</v>
      </c>
      <c r="U339">
        <f t="shared" si="80"/>
        <v>0.74578</v>
      </c>
      <c r="V339">
        <f t="shared" si="81"/>
        <v>0.52658000000000005</v>
      </c>
      <c r="W339">
        <f t="shared" si="82"/>
        <v>0.8075</v>
      </c>
      <c r="X339">
        <f t="shared" si="83"/>
        <v>0.60868</v>
      </c>
      <c r="Y339">
        <f t="shared" si="84"/>
        <v>0.83801999999999999</v>
      </c>
      <c r="Z339">
        <f t="shared" si="85"/>
        <v>0.79276000000000002</v>
      </c>
      <c r="AA339">
        <f t="shared" si="86"/>
        <v>0.86514000000000002</v>
      </c>
      <c r="AB339">
        <f t="shared" si="87"/>
        <v>0.76863999999999999</v>
      </c>
      <c r="AC339">
        <f t="shared" si="88"/>
        <v>0.87668000000000001</v>
      </c>
      <c r="AD339">
        <f t="shared" si="89"/>
        <v>0.86972000000000005</v>
      </c>
      <c r="AE339">
        <f t="shared" si="90"/>
        <v>0.88392000000000004</v>
      </c>
      <c r="AF339">
        <f t="shared" si="91"/>
        <v>0.90639999999999998</v>
      </c>
      <c r="AG339">
        <f t="shared" si="92"/>
        <v>0.75992000000000004</v>
      </c>
      <c r="AH339">
        <f t="shared" si="93"/>
        <v>0.72968</v>
      </c>
      <c r="AI339">
        <f t="shared" si="94"/>
        <v>0.71031999999999995</v>
      </c>
      <c r="AJ339">
        <f t="shared" si="95"/>
        <v>0.78225999999999996</v>
      </c>
      <c r="EC339">
        <v>737</v>
      </c>
      <c r="ED339">
        <v>0.74578</v>
      </c>
      <c r="EE339">
        <v>0.52658000000000005</v>
      </c>
      <c r="EF339">
        <v>0.8075</v>
      </c>
      <c r="EG339">
        <v>0.60868</v>
      </c>
      <c r="EH339">
        <v>0.83801999999999999</v>
      </c>
      <c r="EI339">
        <v>0.79276000000000002</v>
      </c>
      <c r="EJ339">
        <v>0.86514000000000002</v>
      </c>
      <c r="EK339">
        <v>0.76863999999999999</v>
      </c>
      <c r="EL339">
        <v>0.87668000000000001</v>
      </c>
      <c r="EM339">
        <v>0.86972000000000005</v>
      </c>
      <c r="EN339">
        <v>0.88392000000000004</v>
      </c>
      <c r="EO339">
        <v>0.90639999999999998</v>
      </c>
      <c r="EP339">
        <v>0.75992000000000004</v>
      </c>
      <c r="EQ339">
        <v>0.72968</v>
      </c>
      <c r="ER339">
        <v>0.71031999999999995</v>
      </c>
      <c r="ES339">
        <v>0.78225999999999996</v>
      </c>
    </row>
    <row r="340" spans="1:149" x14ac:dyDescent="0.35">
      <c r="A340" s="77"/>
      <c r="B340" s="77">
        <v>738</v>
      </c>
      <c r="C340" s="77">
        <v>0.37186999999999998</v>
      </c>
      <c r="D340" s="77">
        <v>0.26254</v>
      </c>
      <c r="E340" s="77">
        <v>0.40266000000000002</v>
      </c>
      <c r="F340" s="77">
        <v>0.30343999999999999</v>
      </c>
      <c r="G340" s="77">
        <v>0.41839999999999999</v>
      </c>
      <c r="H340" s="77">
        <v>0.39568999999999999</v>
      </c>
      <c r="I340" s="77">
        <v>0.43202000000000002</v>
      </c>
      <c r="J340" s="77">
        <v>0.38374000000000003</v>
      </c>
      <c r="K340" s="77">
        <v>0.43764999999999998</v>
      </c>
      <c r="L340" s="77">
        <v>0.43425000000000002</v>
      </c>
      <c r="M340" s="77">
        <v>0.44124999999999998</v>
      </c>
      <c r="N340" s="77">
        <v>0.45256000000000002</v>
      </c>
      <c r="O340" s="77">
        <v>0.37935999999999998</v>
      </c>
      <c r="P340" s="77">
        <v>0.36429</v>
      </c>
      <c r="Q340" s="77">
        <v>0.35457</v>
      </c>
      <c r="R340" s="77">
        <v>0.39052999999999999</v>
      </c>
      <c r="T340">
        <v>738</v>
      </c>
      <c r="U340">
        <f t="shared" si="80"/>
        <v>0.74373999999999996</v>
      </c>
      <c r="V340">
        <f t="shared" si="81"/>
        <v>0.52507999999999999</v>
      </c>
      <c r="W340">
        <f t="shared" si="82"/>
        <v>0.80532000000000004</v>
      </c>
      <c r="X340">
        <f t="shared" si="83"/>
        <v>0.60687999999999998</v>
      </c>
      <c r="Y340">
        <f t="shared" si="84"/>
        <v>0.83679999999999999</v>
      </c>
      <c r="Z340">
        <f t="shared" si="85"/>
        <v>0.79137999999999997</v>
      </c>
      <c r="AA340">
        <f t="shared" si="86"/>
        <v>0.86404000000000003</v>
      </c>
      <c r="AB340">
        <f t="shared" si="87"/>
        <v>0.76748000000000005</v>
      </c>
      <c r="AC340">
        <f t="shared" si="88"/>
        <v>0.87529999999999997</v>
      </c>
      <c r="AD340">
        <f t="shared" si="89"/>
        <v>0.86850000000000005</v>
      </c>
      <c r="AE340">
        <f t="shared" si="90"/>
        <v>0.88249999999999995</v>
      </c>
      <c r="AF340">
        <f t="shared" si="91"/>
        <v>0.90512000000000004</v>
      </c>
      <c r="AG340">
        <f t="shared" si="92"/>
        <v>0.75871999999999995</v>
      </c>
      <c r="AH340">
        <f t="shared" si="93"/>
        <v>0.72858000000000001</v>
      </c>
      <c r="AI340">
        <f t="shared" si="94"/>
        <v>0.70913999999999999</v>
      </c>
      <c r="AJ340">
        <f t="shared" si="95"/>
        <v>0.78105999999999998</v>
      </c>
      <c r="EC340">
        <v>738</v>
      </c>
      <c r="ED340">
        <v>0.74373999999999996</v>
      </c>
      <c r="EE340">
        <v>0.52507999999999999</v>
      </c>
      <c r="EF340">
        <v>0.80532000000000004</v>
      </c>
      <c r="EG340">
        <v>0.60687999999999998</v>
      </c>
      <c r="EH340">
        <v>0.83679999999999999</v>
      </c>
      <c r="EI340">
        <v>0.79137999999999997</v>
      </c>
      <c r="EJ340">
        <v>0.86404000000000003</v>
      </c>
      <c r="EK340">
        <v>0.76748000000000005</v>
      </c>
      <c r="EL340">
        <v>0.87529999999999997</v>
      </c>
      <c r="EM340">
        <v>0.86850000000000005</v>
      </c>
      <c r="EN340">
        <v>0.88249999999999995</v>
      </c>
      <c r="EO340">
        <v>0.90512000000000004</v>
      </c>
      <c r="EP340">
        <v>0.75871999999999995</v>
      </c>
      <c r="EQ340">
        <v>0.72858000000000001</v>
      </c>
      <c r="ER340">
        <v>0.70913999999999999</v>
      </c>
      <c r="ES340">
        <v>0.78105999999999998</v>
      </c>
    </row>
    <row r="341" spans="1:149" x14ac:dyDescent="0.35">
      <c r="A341" s="77"/>
      <c r="B341" s="77">
        <v>739</v>
      </c>
      <c r="C341" s="77">
        <v>0.37097000000000002</v>
      </c>
      <c r="D341" s="77">
        <v>0.26189000000000001</v>
      </c>
      <c r="E341" s="77">
        <v>0.40168999999999999</v>
      </c>
      <c r="F341" s="77">
        <v>0.30264000000000002</v>
      </c>
      <c r="G341" s="77">
        <v>0.41785</v>
      </c>
      <c r="H341" s="77">
        <v>0.39506999999999998</v>
      </c>
      <c r="I341" s="77">
        <v>0.43154999999999999</v>
      </c>
      <c r="J341" s="77">
        <v>0.38318999999999998</v>
      </c>
      <c r="K341" s="77">
        <v>0.43708999999999998</v>
      </c>
      <c r="L341" s="77">
        <v>0.43378</v>
      </c>
      <c r="M341" s="77">
        <v>0.44061</v>
      </c>
      <c r="N341" s="77">
        <v>0.45191999999999999</v>
      </c>
      <c r="O341" s="77">
        <v>0.37885999999999997</v>
      </c>
      <c r="P341" s="77">
        <v>0.36386000000000002</v>
      </c>
      <c r="Q341" s="77">
        <v>0.35413</v>
      </c>
      <c r="R341" s="77">
        <v>0.39</v>
      </c>
      <c r="T341">
        <v>739</v>
      </c>
      <c r="U341">
        <f t="shared" si="80"/>
        <v>0.74194000000000004</v>
      </c>
      <c r="V341">
        <f t="shared" si="81"/>
        <v>0.52378000000000002</v>
      </c>
      <c r="W341">
        <f t="shared" si="82"/>
        <v>0.80337999999999998</v>
      </c>
      <c r="X341">
        <f t="shared" si="83"/>
        <v>0.60528000000000004</v>
      </c>
      <c r="Y341">
        <f t="shared" si="84"/>
        <v>0.8357</v>
      </c>
      <c r="Z341">
        <f t="shared" si="85"/>
        <v>0.79013999999999995</v>
      </c>
      <c r="AA341">
        <f t="shared" si="86"/>
        <v>0.86309999999999998</v>
      </c>
      <c r="AB341">
        <f t="shared" si="87"/>
        <v>0.76637999999999995</v>
      </c>
      <c r="AC341">
        <f t="shared" si="88"/>
        <v>0.87417999999999996</v>
      </c>
      <c r="AD341">
        <f t="shared" si="89"/>
        <v>0.86756</v>
      </c>
      <c r="AE341">
        <f t="shared" si="90"/>
        <v>0.88122</v>
      </c>
      <c r="AF341">
        <f t="shared" si="91"/>
        <v>0.90383999999999998</v>
      </c>
      <c r="AG341">
        <f t="shared" si="92"/>
        <v>0.75771999999999995</v>
      </c>
      <c r="AH341">
        <f t="shared" si="93"/>
        <v>0.72772000000000003</v>
      </c>
      <c r="AI341">
        <f t="shared" si="94"/>
        <v>0.70826</v>
      </c>
      <c r="AJ341">
        <f t="shared" si="95"/>
        <v>0.78</v>
      </c>
      <c r="EC341">
        <v>739</v>
      </c>
      <c r="ED341">
        <v>0.74194000000000004</v>
      </c>
      <c r="EE341">
        <v>0.52378000000000002</v>
      </c>
      <c r="EF341">
        <v>0.80337999999999998</v>
      </c>
      <c r="EG341">
        <v>0.60528000000000004</v>
      </c>
      <c r="EH341">
        <v>0.8357</v>
      </c>
      <c r="EI341">
        <v>0.79013999999999995</v>
      </c>
      <c r="EJ341">
        <v>0.86309999999999998</v>
      </c>
      <c r="EK341">
        <v>0.76637999999999995</v>
      </c>
      <c r="EL341">
        <v>0.87417999999999996</v>
      </c>
      <c r="EM341">
        <v>0.86756</v>
      </c>
      <c r="EN341">
        <v>0.88122</v>
      </c>
      <c r="EO341">
        <v>0.90383999999999998</v>
      </c>
      <c r="EP341">
        <v>0.75771999999999995</v>
      </c>
      <c r="EQ341">
        <v>0.72772000000000003</v>
      </c>
      <c r="ER341">
        <v>0.70826</v>
      </c>
      <c r="ES341">
        <v>0.78</v>
      </c>
    </row>
    <row r="342" spans="1:149" x14ac:dyDescent="0.35">
      <c r="A342" s="77"/>
      <c r="B342" s="77">
        <v>740</v>
      </c>
      <c r="C342" s="77">
        <v>0.37001000000000001</v>
      </c>
      <c r="D342" s="77">
        <v>0.26122000000000001</v>
      </c>
      <c r="E342" s="77">
        <v>0.40060000000000001</v>
      </c>
      <c r="F342" s="77">
        <v>0.30179</v>
      </c>
      <c r="G342" s="77">
        <v>0.41727999999999998</v>
      </c>
      <c r="H342" s="77">
        <v>0.39444000000000001</v>
      </c>
      <c r="I342" s="77">
        <v>0.43102000000000001</v>
      </c>
      <c r="J342" s="77">
        <v>0.38263999999999998</v>
      </c>
      <c r="K342" s="77">
        <v>0.43648999999999999</v>
      </c>
      <c r="L342" s="77">
        <v>0.43318000000000001</v>
      </c>
      <c r="M342" s="77">
        <v>0.43998999999999999</v>
      </c>
      <c r="N342" s="77">
        <v>0.45134000000000002</v>
      </c>
      <c r="O342" s="77">
        <v>0.37830999999999998</v>
      </c>
      <c r="P342" s="77">
        <v>0.36336000000000002</v>
      </c>
      <c r="Q342" s="77">
        <v>0.35366999999999998</v>
      </c>
      <c r="R342" s="77">
        <v>0.38945000000000002</v>
      </c>
      <c r="T342">
        <v>740</v>
      </c>
      <c r="U342">
        <f t="shared" si="80"/>
        <v>0.74002000000000001</v>
      </c>
      <c r="V342">
        <f t="shared" si="81"/>
        <v>0.52244000000000002</v>
      </c>
      <c r="W342">
        <f t="shared" si="82"/>
        <v>0.80120000000000002</v>
      </c>
      <c r="X342">
        <f t="shared" si="83"/>
        <v>0.60358000000000001</v>
      </c>
      <c r="Y342">
        <f t="shared" si="84"/>
        <v>0.83455999999999997</v>
      </c>
      <c r="Z342">
        <f t="shared" si="85"/>
        <v>0.78888000000000003</v>
      </c>
      <c r="AA342">
        <f t="shared" si="86"/>
        <v>0.86204000000000003</v>
      </c>
      <c r="AB342">
        <f t="shared" si="87"/>
        <v>0.76527999999999996</v>
      </c>
      <c r="AC342">
        <f t="shared" si="88"/>
        <v>0.87297999999999998</v>
      </c>
      <c r="AD342">
        <f t="shared" si="89"/>
        <v>0.86636000000000002</v>
      </c>
      <c r="AE342">
        <f t="shared" si="90"/>
        <v>0.87997999999999998</v>
      </c>
      <c r="AF342">
        <f t="shared" si="91"/>
        <v>0.90268000000000004</v>
      </c>
      <c r="AG342">
        <f t="shared" si="92"/>
        <v>0.75661999999999996</v>
      </c>
      <c r="AH342">
        <f t="shared" si="93"/>
        <v>0.72672000000000003</v>
      </c>
      <c r="AI342">
        <f t="shared" si="94"/>
        <v>0.70733999999999997</v>
      </c>
      <c r="AJ342">
        <f t="shared" si="95"/>
        <v>0.77890000000000004</v>
      </c>
      <c r="EC342">
        <v>740</v>
      </c>
      <c r="ED342">
        <v>0.74002000000000001</v>
      </c>
      <c r="EE342">
        <v>0.52244000000000002</v>
      </c>
      <c r="EF342">
        <v>0.80120000000000002</v>
      </c>
      <c r="EG342">
        <v>0.60358000000000001</v>
      </c>
      <c r="EH342">
        <v>0.83455999999999997</v>
      </c>
      <c r="EI342">
        <v>0.78888000000000003</v>
      </c>
      <c r="EJ342">
        <v>0.86204000000000003</v>
      </c>
      <c r="EK342">
        <v>0.76527999999999996</v>
      </c>
      <c r="EL342">
        <v>0.87297999999999998</v>
      </c>
      <c r="EM342">
        <v>0.86636000000000002</v>
      </c>
      <c r="EN342">
        <v>0.87997999999999998</v>
      </c>
      <c r="EO342">
        <v>0.90268000000000004</v>
      </c>
      <c r="EP342">
        <v>0.75661999999999996</v>
      </c>
      <c r="EQ342">
        <v>0.72672000000000003</v>
      </c>
      <c r="ER342">
        <v>0.70733999999999997</v>
      </c>
      <c r="ES342">
        <v>0.77890000000000004</v>
      </c>
    </row>
    <row r="343" spans="1:149" x14ac:dyDescent="0.35">
      <c r="A343" s="77"/>
      <c r="B343" s="77">
        <v>741</v>
      </c>
      <c r="C343" s="77">
        <v>0.36906</v>
      </c>
      <c r="D343" s="77">
        <v>0.26047999999999999</v>
      </c>
      <c r="E343" s="77">
        <v>0.39955000000000002</v>
      </c>
      <c r="F343" s="77">
        <v>0.30095</v>
      </c>
      <c r="G343" s="77">
        <v>0.41663</v>
      </c>
      <c r="H343" s="77">
        <v>0.39378000000000002</v>
      </c>
      <c r="I343" s="77">
        <v>0.43045</v>
      </c>
      <c r="J343" s="77">
        <v>0.38202000000000003</v>
      </c>
      <c r="K343" s="77">
        <v>0.43590000000000001</v>
      </c>
      <c r="L343" s="77">
        <v>0.43259999999999998</v>
      </c>
      <c r="M343" s="77">
        <v>0.43935000000000002</v>
      </c>
      <c r="N343" s="77">
        <v>0.45073000000000002</v>
      </c>
      <c r="O343" s="77">
        <v>0.37773000000000001</v>
      </c>
      <c r="P343" s="77">
        <v>0.36276000000000003</v>
      </c>
      <c r="Q343" s="77">
        <v>0.35310000000000002</v>
      </c>
      <c r="R343" s="77">
        <v>0.38890000000000002</v>
      </c>
      <c r="T343">
        <v>741</v>
      </c>
      <c r="U343">
        <f t="shared" si="80"/>
        <v>0.73812</v>
      </c>
      <c r="V343">
        <f t="shared" si="81"/>
        <v>0.52095999999999998</v>
      </c>
      <c r="W343">
        <f t="shared" si="82"/>
        <v>0.79910000000000003</v>
      </c>
      <c r="X343">
        <f t="shared" si="83"/>
        <v>0.60189999999999999</v>
      </c>
      <c r="Y343">
        <f t="shared" si="84"/>
        <v>0.83326</v>
      </c>
      <c r="Z343">
        <f t="shared" si="85"/>
        <v>0.78756000000000004</v>
      </c>
      <c r="AA343">
        <f t="shared" si="86"/>
        <v>0.8609</v>
      </c>
      <c r="AB343">
        <f t="shared" si="87"/>
        <v>0.76404000000000005</v>
      </c>
      <c r="AC343">
        <f t="shared" si="88"/>
        <v>0.87180000000000002</v>
      </c>
      <c r="AD343">
        <f t="shared" si="89"/>
        <v>0.86519999999999997</v>
      </c>
      <c r="AE343">
        <f t="shared" si="90"/>
        <v>0.87870000000000004</v>
      </c>
      <c r="AF343">
        <f t="shared" si="91"/>
        <v>0.90146000000000004</v>
      </c>
      <c r="AG343">
        <f t="shared" si="92"/>
        <v>0.75546000000000002</v>
      </c>
      <c r="AH343">
        <f t="shared" si="93"/>
        <v>0.72552000000000005</v>
      </c>
      <c r="AI343">
        <f t="shared" si="94"/>
        <v>0.70620000000000005</v>
      </c>
      <c r="AJ343">
        <f t="shared" si="95"/>
        <v>0.77780000000000005</v>
      </c>
      <c r="EC343">
        <v>741</v>
      </c>
      <c r="ED343">
        <v>0.73812</v>
      </c>
      <c r="EE343">
        <v>0.52095999999999998</v>
      </c>
      <c r="EF343">
        <v>0.79910000000000003</v>
      </c>
      <c r="EG343">
        <v>0.60189999999999999</v>
      </c>
      <c r="EH343">
        <v>0.83326</v>
      </c>
      <c r="EI343">
        <v>0.78756000000000004</v>
      </c>
      <c r="EJ343">
        <v>0.8609</v>
      </c>
      <c r="EK343">
        <v>0.76404000000000005</v>
      </c>
      <c r="EL343">
        <v>0.87180000000000002</v>
      </c>
      <c r="EM343">
        <v>0.86519999999999997</v>
      </c>
      <c r="EN343">
        <v>0.87870000000000004</v>
      </c>
      <c r="EO343">
        <v>0.90146000000000004</v>
      </c>
      <c r="EP343">
        <v>0.75546000000000002</v>
      </c>
      <c r="EQ343">
        <v>0.72552000000000005</v>
      </c>
      <c r="ER343">
        <v>0.70620000000000005</v>
      </c>
      <c r="ES343">
        <v>0.77780000000000005</v>
      </c>
    </row>
    <row r="344" spans="1:149" x14ac:dyDescent="0.35">
      <c r="A344" s="77"/>
      <c r="B344" s="77">
        <v>742</v>
      </c>
      <c r="C344" s="77">
        <v>0.36803999999999998</v>
      </c>
      <c r="D344" s="77">
        <v>0.25969999999999999</v>
      </c>
      <c r="E344" s="77">
        <v>0.39845000000000003</v>
      </c>
      <c r="F344" s="77">
        <v>0.30008000000000001</v>
      </c>
      <c r="G344" s="77">
        <v>0.41593999999999998</v>
      </c>
      <c r="H344" s="77">
        <v>0.39312999999999998</v>
      </c>
      <c r="I344" s="77">
        <v>0.42986000000000002</v>
      </c>
      <c r="J344" s="77">
        <v>0.38147999999999999</v>
      </c>
      <c r="K344" s="77">
        <v>0.43524000000000002</v>
      </c>
      <c r="L344" s="77">
        <v>0.43197999999999998</v>
      </c>
      <c r="M344" s="77">
        <v>0.43857000000000002</v>
      </c>
      <c r="N344" s="77">
        <v>0.45001000000000002</v>
      </c>
      <c r="O344" s="77">
        <v>0.37718000000000002</v>
      </c>
      <c r="P344" s="77">
        <v>0.36226999999999998</v>
      </c>
      <c r="Q344" s="77">
        <v>0.35254999999999997</v>
      </c>
      <c r="R344" s="77">
        <v>0.38832</v>
      </c>
      <c r="T344">
        <v>742</v>
      </c>
      <c r="U344">
        <f t="shared" si="80"/>
        <v>0.73607999999999996</v>
      </c>
      <c r="V344">
        <f t="shared" si="81"/>
        <v>0.51939999999999997</v>
      </c>
      <c r="W344">
        <f t="shared" si="82"/>
        <v>0.79690000000000005</v>
      </c>
      <c r="X344">
        <f t="shared" si="83"/>
        <v>0.60016000000000003</v>
      </c>
      <c r="Y344">
        <f t="shared" si="84"/>
        <v>0.83187999999999995</v>
      </c>
      <c r="Z344">
        <f t="shared" si="85"/>
        <v>0.78625999999999996</v>
      </c>
      <c r="AA344">
        <f t="shared" si="86"/>
        <v>0.85972000000000004</v>
      </c>
      <c r="AB344">
        <f t="shared" si="87"/>
        <v>0.76295999999999997</v>
      </c>
      <c r="AC344">
        <f t="shared" si="88"/>
        <v>0.87048000000000003</v>
      </c>
      <c r="AD344">
        <f t="shared" si="89"/>
        <v>0.86395999999999995</v>
      </c>
      <c r="AE344">
        <f t="shared" si="90"/>
        <v>0.87714000000000003</v>
      </c>
      <c r="AF344">
        <f t="shared" si="91"/>
        <v>0.90002000000000004</v>
      </c>
      <c r="AG344">
        <f t="shared" si="92"/>
        <v>0.75436000000000003</v>
      </c>
      <c r="AH344">
        <f t="shared" si="93"/>
        <v>0.72453999999999996</v>
      </c>
      <c r="AI344">
        <f t="shared" si="94"/>
        <v>0.70509999999999995</v>
      </c>
      <c r="AJ344">
        <f t="shared" si="95"/>
        <v>0.77664</v>
      </c>
      <c r="EC344">
        <v>742</v>
      </c>
      <c r="ED344">
        <v>0.73607999999999996</v>
      </c>
      <c r="EE344">
        <v>0.51939999999999997</v>
      </c>
      <c r="EF344">
        <v>0.79690000000000005</v>
      </c>
      <c r="EG344">
        <v>0.60016000000000003</v>
      </c>
      <c r="EH344">
        <v>0.83187999999999995</v>
      </c>
      <c r="EI344">
        <v>0.78625999999999996</v>
      </c>
      <c r="EJ344">
        <v>0.85972000000000004</v>
      </c>
      <c r="EK344">
        <v>0.76295999999999997</v>
      </c>
      <c r="EL344">
        <v>0.87048000000000003</v>
      </c>
      <c r="EM344">
        <v>0.86395999999999995</v>
      </c>
      <c r="EN344">
        <v>0.87714000000000003</v>
      </c>
      <c r="EO344">
        <v>0.90002000000000004</v>
      </c>
      <c r="EP344">
        <v>0.75436000000000003</v>
      </c>
      <c r="EQ344">
        <v>0.72453999999999996</v>
      </c>
      <c r="ER344">
        <v>0.70509999999999995</v>
      </c>
      <c r="ES344">
        <v>0.77664</v>
      </c>
    </row>
    <row r="345" spans="1:149" x14ac:dyDescent="0.35">
      <c r="A345" s="77"/>
      <c r="B345" s="77">
        <v>743</v>
      </c>
      <c r="C345" s="77">
        <v>0.36720000000000003</v>
      </c>
      <c r="D345" s="77">
        <v>0.25908999999999999</v>
      </c>
      <c r="E345" s="77">
        <v>0.39748</v>
      </c>
      <c r="F345" s="77">
        <v>0.29932999999999998</v>
      </c>
      <c r="G345" s="77">
        <v>0.41536000000000001</v>
      </c>
      <c r="H345" s="77">
        <v>0.39256000000000002</v>
      </c>
      <c r="I345" s="77">
        <v>0.42934</v>
      </c>
      <c r="J345" s="77">
        <v>0.38096999999999998</v>
      </c>
      <c r="K345" s="77">
        <v>0.43475000000000003</v>
      </c>
      <c r="L345" s="77">
        <v>0.43143999999999999</v>
      </c>
      <c r="M345" s="77">
        <v>0.43797000000000003</v>
      </c>
      <c r="N345" s="77">
        <v>0.44943</v>
      </c>
      <c r="O345" s="77">
        <v>0.37674999999999997</v>
      </c>
      <c r="P345" s="77">
        <v>0.36188999999999999</v>
      </c>
      <c r="Q345" s="77">
        <v>0.35226000000000002</v>
      </c>
      <c r="R345" s="77">
        <v>0.38782</v>
      </c>
      <c r="T345">
        <v>743</v>
      </c>
      <c r="U345">
        <f t="shared" si="80"/>
        <v>0.73440000000000005</v>
      </c>
      <c r="V345">
        <f t="shared" si="81"/>
        <v>0.51817999999999997</v>
      </c>
      <c r="W345">
        <f t="shared" si="82"/>
        <v>0.79496</v>
      </c>
      <c r="X345">
        <f t="shared" si="83"/>
        <v>0.59865999999999997</v>
      </c>
      <c r="Y345">
        <f t="shared" si="84"/>
        <v>0.83072000000000001</v>
      </c>
      <c r="Z345">
        <f t="shared" si="85"/>
        <v>0.78512000000000004</v>
      </c>
      <c r="AA345">
        <f t="shared" si="86"/>
        <v>0.85868</v>
      </c>
      <c r="AB345">
        <f t="shared" si="87"/>
        <v>0.76193999999999995</v>
      </c>
      <c r="AC345">
        <f t="shared" si="88"/>
        <v>0.86950000000000005</v>
      </c>
      <c r="AD345">
        <f t="shared" si="89"/>
        <v>0.86287999999999998</v>
      </c>
      <c r="AE345">
        <f t="shared" si="90"/>
        <v>0.87594000000000005</v>
      </c>
      <c r="AF345">
        <f t="shared" si="91"/>
        <v>0.89885999999999999</v>
      </c>
      <c r="AG345">
        <f t="shared" si="92"/>
        <v>0.75349999999999995</v>
      </c>
      <c r="AH345">
        <f t="shared" si="93"/>
        <v>0.72377999999999998</v>
      </c>
      <c r="AI345">
        <f t="shared" si="94"/>
        <v>0.70452000000000004</v>
      </c>
      <c r="AJ345">
        <f t="shared" si="95"/>
        <v>0.77564</v>
      </c>
      <c r="EC345">
        <v>743</v>
      </c>
      <c r="ED345">
        <v>0.73440000000000005</v>
      </c>
      <c r="EE345">
        <v>0.51817999999999997</v>
      </c>
      <c r="EF345">
        <v>0.79496</v>
      </c>
      <c r="EG345">
        <v>0.59865999999999997</v>
      </c>
      <c r="EH345">
        <v>0.83072000000000001</v>
      </c>
      <c r="EI345">
        <v>0.78512000000000004</v>
      </c>
      <c r="EJ345">
        <v>0.85868</v>
      </c>
      <c r="EK345">
        <v>0.76193999999999995</v>
      </c>
      <c r="EL345">
        <v>0.86950000000000005</v>
      </c>
      <c r="EM345">
        <v>0.86287999999999998</v>
      </c>
      <c r="EN345">
        <v>0.87594000000000005</v>
      </c>
      <c r="EO345">
        <v>0.89885999999999999</v>
      </c>
      <c r="EP345">
        <v>0.75349999999999995</v>
      </c>
      <c r="EQ345">
        <v>0.72377999999999998</v>
      </c>
      <c r="ER345">
        <v>0.70452000000000004</v>
      </c>
      <c r="ES345">
        <v>0.77564</v>
      </c>
    </row>
    <row r="346" spans="1:149" x14ac:dyDescent="0.35">
      <c r="A346" s="77"/>
      <c r="B346" s="77">
        <v>744</v>
      </c>
      <c r="C346" s="77">
        <v>0.36629</v>
      </c>
      <c r="D346" s="77">
        <v>0.25846999999999998</v>
      </c>
      <c r="E346" s="77">
        <v>0.39646999999999999</v>
      </c>
      <c r="F346" s="77">
        <v>0.29857</v>
      </c>
      <c r="G346" s="77">
        <v>0.41475000000000001</v>
      </c>
      <c r="H346" s="77">
        <v>0.39195000000000002</v>
      </c>
      <c r="I346" s="77">
        <v>0.42882999999999999</v>
      </c>
      <c r="J346" s="77">
        <v>0.38040000000000002</v>
      </c>
      <c r="K346" s="77">
        <v>0.43419999999999997</v>
      </c>
      <c r="L346" s="77">
        <v>0.43087999999999999</v>
      </c>
      <c r="M346" s="77">
        <v>0.43731999999999999</v>
      </c>
      <c r="N346" s="77">
        <v>0.44890000000000002</v>
      </c>
      <c r="O346" s="77">
        <v>0.37622</v>
      </c>
      <c r="P346" s="77">
        <v>0.36138999999999999</v>
      </c>
      <c r="Q346" s="77">
        <v>0.35167999999999999</v>
      </c>
      <c r="R346" s="77">
        <v>0.38728000000000001</v>
      </c>
      <c r="T346">
        <v>744</v>
      </c>
      <c r="U346">
        <f t="shared" si="80"/>
        <v>0.73258000000000001</v>
      </c>
      <c r="V346">
        <f t="shared" si="81"/>
        <v>0.51693999999999996</v>
      </c>
      <c r="W346">
        <f t="shared" si="82"/>
        <v>0.79293999999999998</v>
      </c>
      <c r="X346">
        <f t="shared" si="83"/>
        <v>0.59714</v>
      </c>
      <c r="Y346">
        <f t="shared" si="84"/>
        <v>0.82950000000000002</v>
      </c>
      <c r="Z346">
        <f t="shared" si="85"/>
        <v>0.78390000000000004</v>
      </c>
      <c r="AA346">
        <f t="shared" si="86"/>
        <v>0.85765999999999998</v>
      </c>
      <c r="AB346">
        <f t="shared" si="87"/>
        <v>0.76080000000000003</v>
      </c>
      <c r="AC346">
        <f t="shared" si="88"/>
        <v>0.86839999999999995</v>
      </c>
      <c r="AD346">
        <f t="shared" si="89"/>
        <v>0.86175999999999997</v>
      </c>
      <c r="AE346">
        <f t="shared" si="90"/>
        <v>0.87463999999999997</v>
      </c>
      <c r="AF346">
        <f t="shared" si="91"/>
        <v>0.89780000000000004</v>
      </c>
      <c r="AG346">
        <f t="shared" si="92"/>
        <v>0.75244</v>
      </c>
      <c r="AH346">
        <f t="shared" si="93"/>
        <v>0.72277999999999998</v>
      </c>
      <c r="AI346">
        <f t="shared" si="94"/>
        <v>0.70335999999999999</v>
      </c>
      <c r="AJ346">
        <f t="shared" si="95"/>
        <v>0.77456000000000003</v>
      </c>
      <c r="EC346">
        <v>744</v>
      </c>
      <c r="ED346">
        <v>0.73258000000000001</v>
      </c>
      <c r="EE346">
        <v>0.51693999999999996</v>
      </c>
      <c r="EF346">
        <v>0.79293999999999998</v>
      </c>
      <c r="EG346">
        <v>0.59714</v>
      </c>
      <c r="EH346">
        <v>0.82950000000000002</v>
      </c>
      <c r="EI346">
        <v>0.78390000000000004</v>
      </c>
      <c r="EJ346">
        <v>0.85765999999999998</v>
      </c>
      <c r="EK346">
        <v>0.76080000000000003</v>
      </c>
      <c r="EL346">
        <v>0.86839999999999995</v>
      </c>
      <c r="EM346">
        <v>0.86175999999999997</v>
      </c>
      <c r="EN346">
        <v>0.87463999999999997</v>
      </c>
      <c r="EO346">
        <v>0.89780000000000004</v>
      </c>
      <c r="EP346">
        <v>0.75244</v>
      </c>
      <c r="EQ346">
        <v>0.72277999999999998</v>
      </c>
      <c r="ER346">
        <v>0.70335999999999999</v>
      </c>
      <c r="ES346">
        <v>0.77456000000000003</v>
      </c>
    </row>
    <row r="347" spans="1:149" x14ac:dyDescent="0.35">
      <c r="A347" s="77"/>
      <c r="B347" s="77">
        <v>745</v>
      </c>
      <c r="C347" s="77">
        <v>0.3654</v>
      </c>
      <c r="D347" s="77">
        <v>0.25779999999999997</v>
      </c>
      <c r="E347" s="77">
        <v>0.39541999999999999</v>
      </c>
      <c r="F347" s="77">
        <v>0.29779</v>
      </c>
      <c r="G347" s="77">
        <v>0.41421999999999998</v>
      </c>
      <c r="H347" s="77">
        <v>0.39133000000000001</v>
      </c>
      <c r="I347" s="77">
        <v>0.42837999999999998</v>
      </c>
      <c r="J347" s="77">
        <v>0.37992999999999999</v>
      </c>
      <c r="K347" s="77">
        <v>0.43358000000000002</v>
      </c>
      <c r="L347" s="77">
        <v>0.43032999999999999</v>
      </c>
      <c r="M347" s="77">
        <v>0.43669000000000002</v>
      </c>
      <c r="N347" s="77">
        <v>0.44832</v>
      </c>
      <c r="O347" s="77">
        <v>0.37563000000000002</v>
      </c>
      <c r="P347" s="77">
        <v>0.36077999999999999</v>
      </c>
      <c r="Q347" s="77">
        <v>0.35114000000000001</v>
      </c>
      <c r="R347" s="77">
        <v>0.38669999999999999</v>
      </c>
      <c r="T347">
        <v>745</v>
      </c>
      <c r="U347">
        <f t="shared" si="80"/>
        <v>0.73080000000000001</v>
      </c>
      <c r="V347">
        <f t="shared" si="81"/>
        <v>0.51559999999999995</v>
      </c>
      <c r="W347">
        <f t="shared" si="82"/>
        <v>0.79083999999999999</v>
      </c>
      <c r="X347">
        <f t="shared" si="83"/>
        <v>0.59558</v>
      </c>
      <c r="Y347">
        <f t="shared" si="84"/>
        <v>0.82843999999999995</v>
      </c>
      <c r="Z347">
        <f t="shared" si="85"/>
        <v>0.78266000000000002</v>
      </c>
      <c r="AA347">
        <f t="shared" si="86"/>
        <v>0.85675999999999997</v>
      </c>
      <c r="AB347">
        <f t="shared" si="87"/>
        <v>0.75985999999999998</v>
      </c>
      <c r="AC347">
        <f t="shared" si="88"/>
        <v>0.86716000000000004</v>
      </c>
      <c r="AD347">
        <f t="shared" si="89"/>
        <v>0.86065999999999998</v>
      </c>
      <c r="AE347">
        <f t="shared" si="90"/>
        <v>0.87338000000000005</v>
      </c>
      <c r="AF347">
        <f t="shared" si="91"/>
        <v>0.89663999999999999</v>
      </c>
      <c r="AG347">
        <f t="shared" si="92"/>
        <v>0.75126000000000004</v>
      </c>
      <c r="AH347">
        <f t="shared" si="93"/>
        <v>0.72155999999999998</v>
      </c>
      <c r="AI347">
        <f t="shared" si="94"/>
        <v>0.70228000000000002</v>
      </c>
      <c r="AJ347">
        <f t="shared" si="95"/>
        <v>0.77339999999999998</v>
      </c>
      <c r="EC347">
        <v>745</v>
      </c>
      <c r="ED347">
        <v>0.73080000000000001</v>
      </c>
      <c r="EE347">
        <v>0.51559999999999995</v>
      </c>
      <c r="EF347">
        <v>0.79083999999999999</v>
      </c>
      <c r="EG347">
        <v>0.59558</v>
      </c>
      <c r="EH347">
        <v>0.82843999999999995</v>
      </c>
      <c r="EI347">
        <v>0.78266000000000002</v>
      </c>
      <c r="EJ347">
        <v>0.85675999999999997</v>
      </c>
      <c r="EK347">
        <v>0.75985999999999998</v>
      </c>
      <c r="EL347">
        <v>0.86716000000000004</v>
      </c>
      <c r="EM347">
        <v>0.86065999999999998</v>
      </c>
      <c r="EN347">
        <v>0.87338000000000005</v>
      </c>
      <c r="EO347">
        <v>0.89663999999999999</v>
      </c>
      <c r="EP347">
        <v>0.75126000000000004</v>
      </c>
      <c r="EQ347">
        <v>0.72155999999999998</v>
      </c>
      <c r="ER347">
        <v>0.70228000000000002</v>
      </c>
      <c r="ES347">
        <v>0.77339999999999998</v>
      </c>
    </row>
    <row r="348" spans="1:149" x14ac:dyDescent="0.35">
      <c r="A348" s="77"/>
      <c r="B348" s="77">
        <v>746</v>
      </c>
      <c r="C348" s="77">
        <v>0.36459000000000003</v>
      </c>
      <c r="D348" s="77">
        <v>0.25719999999999998</v>
      </c>
      <c r="E348" s="77">
        <v>0.39451999999999998</v>
      </c>
      <c r="F348" s="77">
        <v>0.29703000000000002</v>
      </c>
      <c r="G348" s="77">
        <v>0.41359000000000001</v>
      </c>
      <c r="H348" s="77">
        <v>0.39067000000000002</v>
      </c>
      <c r="I348" s="77">
        <v>0.42786000000000002</v>
      </c>
      <c r="J348" s="77">
        <v>0.37942999999999999</v>
      </c>
      <c r="K348" s="77">
        <v>0.433</v>
      </c>
      <c r="L348" s="77">
        <v>0.42971999999999999</v>
      </c>
      <c r="M348" s="77">
        <v>0.43613000000000002</v>
      </c>
      <c r="N348" s="77">
        <v>0.44771</v>
      </c>
      <c r="O348" s="77">
        <v>0.37513999999999997</v>
      </c>
      <c r="P348" s="77">
        <v>0.36031000000000002</v>
      </c>
      <c r="Q348" s="77">
        <v>0.35066000000000003</v>
      </c>
      <c r="R348" s="77">
        <v>0.38619999999999999</v>
      </c>
      <c r="T348">
        <v>746</v>
      </c>
      <c r="U348">
        <f t="shared" si="80"/>
        <v>0.72918000000000005</v>
      </c>
      <c r="V348">
        <f t="shared" si="81"/>
        <v>0.51439999999999997</v>
      </c>
      <c r="W348">
        <f t="shared" si="82"/>
        <v>0.78903999999999996</v>
      </c>
      <c r="X348">
        <f t="shared" si="83"/>
        <v>0.59406000000000003</v>
      </c>
      <c r="Y348">
        <f t="shared" si="84"/>
        <v>0.82718000000000003</v>
      </c>
      <c r="Z348">
        <f t="shared" si="85"/>
        <v>0.78134000000000003</v>
      </c>
      <c r="AA348">
        <f t="shared" si="86"/>
        <v>0.85572000000000004</v>
      </c>
      <c r="AB348">
        <f t="shared" si="87"/>
        <v>0.75885999999999998</v>
      </c>
      <c r="AC348">
        <f t="shared" si="88"/>
        <v>0.86599999999999999</v>
      </c>
      <c r="AD348">
        <f t="shared" si="89"/>
        <v>0.85943999999999998</v>
      </c>
      <c r="AE348">
        <f t="shared" si="90"/>
        <v>0.87226000000000004</v>
      </c>
      <c r="AF348">
        <f t="shared" si="91"/>
        <v>0.89541999999999999</v>
      </c>
      <c r="AG348">
        <f t="shared" si="92"/>
        <v>0.75027999999999995</v>
      </c>
      <c r="AH348">
        <f t="shared" si="93"/>
        <v>0.72062000000000004</v>
      </c>
      <c r="AI348">
        <f t="shared" si="94"/>
        <v>0.70132000000000005</v>
      </c>
      <c r="AJ348">
        <f t="shared" si="95"/>
        <v>0.77239999999999998</v>
      </c>
      <c r="EC348">
        <v>746</v>
      </c>
      <c r="ED348">
        <v>0.72918000000000005</v>
      </c>
      <c r="EE348">
        <v>0.51439999999999997</v>
      </c>
      <c r="EF348">
        <v>0.78903999999999996</v>
      </c>
      <c r="EG348">
        <v>0.59406000000000003</v>
      </c>
      <c r="EH348">
        <v>0.82718000000000003</v>
      </c>
      <c r="EI348">
        <v>0.78134000000000003</v>
      </c>
      <c r="EJ348">
        <v>0.85572000000000004</v>
      </c>
      <c r="EK348">
        <v>0.75885999999999998</v>
      </c>
      <c r="EL348">
        <v>0.86599999999999999</v>
      </c>
      <c r="EM348">
        <v>0.85943999999999998</v>
      </c>
      <c r="EN348">
        <v>0.87226000000000004</v>
      </c>
      <c r="EO348">
        <v>0.89541999999999999</v>
      </c>
      <c r="EP348">
        <v>0.75027999999999995</v>
      </c>
      <c r="EQ348">
        <v>0.72062000000000004</v>
      </c>
      <c r="ER348">
        <v>0.70132000000000005</v>
      </c>
      <c r="ES348">
        <v>0.77239999999999998</v>
      </c>
    </row>
    <row r="349" spans="1:149" x14ac:dyDescent="0.35">
      <c r="A349" s="77"/>
      <c r="B349" s="77">
        <v>747</v>
      </c>
      <c r="C349" s="77">
        <v>0.36363000000000001</v>
      </c>
      <c r="D349" s="77">
        <v>0.25652000000000003</v>
      </c>
      <c r="E349" s="77">
        <v>0.39355000000000001</v>
      </c>
      <c r="F349" s="77">
        <v>0.29622999999999999</v>
      </c>
      <c r="G349" s="77">
        <v>0.41309000000000001</v>
      </c>
      <c r="H349" s="77">
        <v>0.39006000000000002</v>
      </c>
      <c r="I349" s="77">
        <v>0.42731999999999998</v>
      </c>
      <c r="J349" s="77">
        <v>0.37885000000000002</v>
      </c>
      <c r="K349" s="77">
        <v>0.43239</v>
      </c>
      <c r="L349" s="77">
        <v>0.42918000000000001</v>
      </c>
      <c r="M349" s="77">
        <v>0.43552000000000002</v>
      </c>
      <c r="N349" s="77">
        <v>0.44713999999999998</v>
      </c>
      <c r="O349" s="77">
        <v>0.3745</v>
      </c>
      <c r="P349" s="77">
        <v>0.35987999999999998</v>
      </c>
      <c r="Q349" s="77">
        <v>0.35010999999999998</v>
      </c>
      <c r="R349" s="77">
        <v>0.38562000000000002</v>
      </c>
      <c r="T349">
        <v>747</v>
      </c>
      <c r="U349">
        <f t="shared" si="80"/>
        <v>0.72726000000000002</v>
      </c>
      <c r="V349">
        <f t="shared" si="81"/>
        <v>0.51304000000000005</v>
      </c>
      <c r="W349">
        <f t="shared" si="82"/>
        <v>0.78710000000000002</v>
      </c>
      <c r="X349">
        <f t="shared" si="83"/>
        <v>0.59245999999999999</v>
      </c>
      <c r="Y349">
        <f t="shared" si="84"/>
        <v>0.82618000000000003</v>
      </c>
      <c r="Z349">
        <f t="shared" si="85"/>
        <v>0.78012000000000004</v>
      </c>
      <c r="AA349">
        <f t="shared" si="86"/>
        <v>0.85463999999999996</v>
      </c>
      <c r="AB349">
        <f t="shared" si="87"/>
        <v>0.75770000000000004</v>
      </c>
      <c r="AC349">
        <f t="shared" si="88"/>
        <v>0.86477999999999999</v>
      </c>
      <c r="AD349">
        <f t="shared" si="89"/>
        <v>0.85836000000000001</v>
      </c>
      <c r="AE349">
        <f t="shared" si="90"/>
        <v>0.87104000000000004</v>
      </c>
      <c r="AF349">
        <f t="shared" si="91"/>
        <v>0.89427999999999996</v>
      </c>
      <c r="AG349">
        <f t="shared" si="92"/>
        <v>0.749</v>
      </c>
      <c r="AH349">
        <f t="shared" si="93"/>
        <v>0.71975999999999996</v>
      </c>
      <c r="AI349">
        <f t="shared" si="94"/>
        <v>0.70021999999999995</v>
      </c>
      <c r="AJ349">
        <f t="shared" si="95"/>
        <v>0.77124000000000004</v>
      </c>
      <c r="EC349">
        <v>747</v>
      </c>
      <c r="ED349">
        <v>0.72726000000000002</v>
      </c>
      <c r="EE349">
        <v>0.51304000000000005</v>
      </c>
      <c r="EF349">
        <v>0.78710000000000002</v>
      </c>
      <c r="EG349">
        <v>0.59245999999999999</v>
      </c>
      <c r="EH349">
        <v>0.82618000000000003</v>
      </c>
      <c r="EI349">
        <v>0.78012000000000004</v>
      </c>
      <c r="EJ349">
        <v>0.85463999999999996</v>
      </c>
      <c r="EK349">
        <v>0.75770000000000004</v>
      </c>
      <c r="EL349">
        <v>0.86477999999999999</v>
      </c>
      <c r="EM349">
        <v>0.85836000000000001</v>
      </c>
      <c r="EN349">
        <v>0.87104000000000004</v>
      </c>
      <c r="EO349">
        <v>0.89427999999999996</v>
      </c>
      <c r="EP349">
        <v>0.749</v>
      </c>
      <c r="EQ349">
        <v>0.71975999999999996</v>
      </c>
      <c r="ER349">
        <v>0.70021999999999995</v>
      </c>
      <c r="ES349">
        <v>0.77124000000000004</v>
      </c>
    </row>
    <row r="350" spans="1:149" x14ac:dyDescent="0.35">
      <c r="A350" s="77"/>
      <c r="B350" s="77">
        <v>748</v>
      </c>
      <c r="C350" s="77">
        <v>0.36276000000000003</v>
      </c>
      <c r="D350" s="77">
        <v>0.25586999999999999</v>
      </c>
      <c r="E350" s="77">
        <v>0.39262000000000002</v>
      </c>
      <c r="F350" s="77">
        <v>0.29549999999999998</v>
      </c>
      <c r="G350" s="77">
        <v>0.41260999999999998</v>
      </c>
      <c r="H350" s="77">
        <v>0.38954</v>
      </c>
      <c r="I350" s="77">
        <v>0.42679</v>
      </c>
      <c r="J350" s="77">
        <v>0.37836999999999998</v>
      </c>
      <c r="K350" s="77">
        <v>0.43192000000000003</v>
      </c>
      <c r="L350" s="77">
        <v>0.42864999999999998</v>
      </c>
      <c r="M350" s="77">
        <v>0.43495</v>
      </c>
      <c r="N350" s="77">
        <v>0.44657999999999998</v>
      </c>
      <c r="O350" s="77">
        <v>0.37404999999999999</v>
      </c>
      <c r="P350" s="77">
        <v>0.35947000000000001</v>
      </c>
      <c r="Q350" s="77">
        <v>0.34971999999999998</v>
      </c>
      <c r="R350" s="77">
        <v>0.38514999999999999</v>
      </c>
      <c r="T350">
        <v>748</v>
      </c>
      <c r="U350">
        <f t="shared" si="80"/>
        <v>0.72552000000000005</v>
      </c>
      <c r="V350">
        <f t="shared" si="81"/>
        <v>0.51173999999999997</v>
      </c>
      <c r="W350">
        <f t="shared" si="82"/>
        <v>0.78524000000000005</v>
      </c>
      <c r="X350">
        <f t="shared" si="83"/>
        <v>0.59099999999999997</v>
      </c>
      <c r="Y350">
        <f t="shared" si="84"/>
        <v>0.82521999999999995</v>
      </c>
      <c r="Z350">
        <f t="shared" si="85"/>
        <v>0.77907999999999999</v>
      </c>
      <c r="AA350">
        <f t="shared" si="86"/>
        <v>0.85358000000000001</v>
      </c>
      <c r="AB350">
        <f t="shared" si="87"/>
        <v>0.75673999999999997</v>
      </c>
      <c r="AC350">
        <f t="shared" si="88"/>
        <v>0.86384000000000005</v>
      </c>
      <c r="AD350">
        <f t="shared" si="89"/>
        <v>0.85729999999999995</v>
      </c>
      <c r="AE350">
        <f t="shared" si="90"/>
        <v>0.86990000000000001</v>
      </c>
      <c r="AF350">
        <f t="shared" si="91"/>
        <v>0.89315999999999995</v>
      </c>
      <c r="AG350">
        <f t="shared" si="92"/>
        <v>0.74809999999999999</v>
      </c>
      <c r="AH350">
        <f t="shared" si="93"/>
        <v>0.71894000000000002</v>
      </c>
      <c r="AI350">
        <f t="shared" si="94"/>
        <v>0.69943999999999995</v>
      </c>
      <c r="AJ350">
        <f t="shared" si="95"/>
        <v>0.77029999999999998</v>
      </c>
      <c r="EC350">
        <v>748</v>
      </c>
      <c r="ED350">
        <v>0.72552000000000005</v>
      </c>
      <c r="EE350">
        <v>0.51173999999999997</v>
      </c>
      <c r="EF350">
        <v>0.78524000000000005</v>
      </c>
      <c r="EG350">
        <v>0.59099999999999997</v>
      </c>
      <c r="EH350">
        <v>0.82521999999999995</v>
      </c>
      <c r="EI350">
        <v>0.77907999999999999</v>
      </c>
      <c r="EJ350">
        <v>0.85358000000000001</v>
      </c>
      <c r="EK350">
        <v>0.75673999999999997</v>
      </c>
      <c r="EL350">
        <v>0.86384000000000005</v>
      </c>
      <c r="EM350">
        <v>0.85729999999999995</v>
      </c>
      <c r="EN350">
        <v>0.86990000000000001</v>
      </c>
      <c r="EO350">
        <v>0.89315999999999995</v>
      </c>
      <c r="EP350">
        <v>0.74809999999999999</v>
      </c>
      <c r="EQ350">
        <v>0.71894000000000002</v>
      </c>
      <c r="ER350">
        <v>0.69943999999999995</v>
      </c>
      <c r="ES350">
        <v>0.77029999999999998</v>
      </c>
    </row>
    <row r="351" spans="1:149" x14ac:dyDescent="0.35">
      <c r="A351" s="77"/>
      <c r="B351" s="77">
        <v>749</v>
      </c>
      <c r="C351" s="77">
        <v>0.36191000000000001</v>
      </c>
      <c r="D351" s="77">
        <v>0.25522</v>
      </c>
      <c r="E351" s="77">
        <v>0.39162999999999998</v>
      </c>
      <c r="F351" s="77">
        <v>0.29471000000000003</v>
      </c>
      <c r="G351" s="77">
        <v>0.41193999999999997</v>
      </c>
      <c r="H351" s="77">
        <v>0.38895999999999997</v>
      </c>
      <c r="I351" s="77">
        <v>0.42625000000000002</v>
      </c>
      <c r="J351" s="77">
        <v>0.37773000000000001</v>
      </c>
      <c r="K351" s="77">
        <v>0.43125999999999998</v>
      </c>
      <c r="L351" s="77">
        <v>0.42803999999999998</v>
      </c>
      <c r="M351" s="77">
        <v>0.43423</v>
      </c>
      <c r="N351" s="77">
        <v>0.44597999999999999</v>
      </c>
      <c r="O351" s="77">
        <v>0.37357000000000001</v>
      </c>
      <c r="P351" s="77">
        <v>0.35898999999999998</v>
      </c>
      <c r="Q351" s="77">
        <v>0.34923999999999999</v>
      </c>
      <c r="R351" s="77">
        <v>0.38457999999999998</v>
      </c>
      <c r="T351">
        <v>749</v>
      </c>
      <c r="U351">
        <f t="shared" si="80"/>
        <v>0.72382000000000002</v>
      </c>
      <c r="V351">
        <f t="shared" si="81"/>
        <v>0.51044</v>
      </c>
      <c r="W351">
        <f t="shared" si="82"/>
        <v>0.78325999999999996</v>
      </c>
      <c r="X351">
        <f t="shared" si="83"/>
        <v>0.58942000000000005</v>
      </c>
      <c r="Y351">
        <f t="shared" si="84"/>
        <v>0.82387999999999995</v>
      </c>
      <c r="Z351">
        <f t="shared" si="85"/>
        <v>0.77791999999999994</v>
      </c>
      <c r="AA351">
        <f t="shared" si="86"/>
        <v>0.85250000000000004</v>
      </c>
      <c r="AB351">
        <f t="shared" si="87"/>
        <v>0.75546000000000002</v>
      </c>
      <c r="AC351">
        <f t="shared" si="88"/>
        <v>0.86251999999999995</v>
      </c>
      <c r="AD351">
        <f t="shared" si="89"/>
        <v>0.85607999999999995</v>
      </c>
      <c r="AE351">
        <f t="shared" si="90"/>
        <v>0.86846000000000001</v>
      </c>
      <c r="AF351">
        <f t="shared" si="91"/>
        <v>0.89195999999999998</v>
      </c>
      <c r="AG351">
        <f t="shared" si="92"/>
        <v>0.74714000000000003</v>
      </c>
      <c r="AH351">
        <f t="shared" si="93"/>
        <v>0.71797999999999995</v>
      </c>
      <c r="AI351">
        <f t="shared" si="94"/>
        <v>0.69847999999999999</v>
      </c>
      <c r="AJ351">
        <f t="shared" si="95"/>
        <v>0.76915999999999995</v>
      </c>
      <c r="EC351">
        <v>749</v>
      </c>
      <c r="ED351">
        <v>0.72382000000000002</v>
      </c>
      <c r="EE351">
        <v>0.51044</v>
      </c>
      <c r="EF351">
        <v>0.78325999999999996</v>
      </c>
      <c r="EG351">
        <v>0.58942000000000005</v>
      </c>
      <c r="EH351">
        <v>0.82387999999999995</v>
      </c>
      <c r="EI351">
        <v>0.77791999999999994</v>
      </c>
      <c r="EJ351">
        <v>0.85250000000000004</v>
      </c>
      <c r="EK351">
        <v>0.75546000000000002</v>
      </c>
      <c r="EL351">
        <v>0.86251999999999995</v>
      </c>
      <c r="EM351">
        <v>0.85607999999999995</v>
      </c>
      <c r="EN351">
        <v>0.86846000000000001</v>
      </c>
      <c r="EO351">
        <v>0.89195999999999998</v>
      </c>
      <c r="EP351">
        <v>0.74714000000000003</v>
      </c>
      <c r="EQ351">
        <v>0.71797999999999995</v>
      </c>
      <c r="ER351">
        <v>0.69847999999999999</v>
      </c>
      <c r="ES351">
        <v>0.76915999999999995</v>
      </c>
    </row>
    <row r="352" spans="1:149" x14ac:dyDescent="0.35">
      <c r="A352" s="77"/>
      <c r="B352" s="77">
        <v>750</v>
      </c>
      <c r="C352" s="77">
        <v>0.36107</v>
      </c>
      <c r="D352" s="77">
        <v>0.25462000000000001</v>
      </c>
      <c r="E352" s="77">
        <v>0.39074999999999999</v>
      </c>
      <c r="F352" s="77">
        <v>0.29398999999999997</v>
      </c>
      <c r="G352" s="77">
        <v>0.41141</v>
      </c>
      <c r="H352" s="77">
        <v>0.38838</v>
      </c>
      <c r="I352" s="77">
        <v>0.42570000000000002</v>
      </c>
      <c r="J352" s="77">
        <v>0.37720999999999999</v>
      </c>
      <c r="K352" s="77">
        <v>0.43068000000000001</v>
      </c>
      <c r="L352" s="77">
        <v>0.42746000000000001</v>
      </c>
      <c r="M352" s="77">
        <v>0.43362000000000001</v>
      </c>
      <c r="N352" s="77">
        <v>0.44542999999999999</v>
      </c>
      <c r="O352" s="77">
        <v>0.37302000000000002</v>
      </c>
      <c r="P352" s="77">
        <v>0.35860999999999998</v>
      </c>
      <c r="Q352" s="77">
        <v>0.34873999999999999</v>
      </c>
      <c r="R352" s="77">
        <v>0.38411000000000001</v>
      </c>
      <c r="T352">
        <v>750</v>
      </c>
      <c r="U352">
        <f t="shared" si="80"/>
        <v>0.72214</v>
      </c>
      <c r="V352">
        <f t="shared" si="81"/>
        <v>0.50924000000000003</v>
      </c>
      <c r="W352">
        <f t="shared" si="82"/>
        <v>0.78149999999999997</v>
      </c>
      <c r="X352">
        <f t="shared" si="83"/>
        <v>0.58797999999999995</v>
      </c>
      <c r="Y352">
        <f t="shared" si="84"/>
        <v>0.82282</v>
      </c>
      <c r="Z352">
        <f t="shared" si="85"/>
        <v>0.77676000000000001</v>
      </c>
      <c r="AA352">
        <f t="shared" si="86"/>
        <v>0.85140000000000005</v>
      </c>
      <c r="AB352">
        <f t="shared" si="87"/>
        <v>0.75441999999999998</v>
      </c>
      <c r="AC352">
        <f t="shared" si="88"/>
        <v>0.86136000000000001</v>
      </c>
      <c r="AD352">
        <f t="shared" si="89"/>
        <v>0.85492000000000001</v>
      </c>
      <c r="AE352">
        <f t="shared" si="90"/>
        <v>0.86724000000000001</v>
      </c>
      <c r="AF352">
        <f t="shared" si="91"/>
        <v>0.89085999999999999</v>
      </c>
      <c r="AG352">
        <f t="shared" si="92"/>
        <v>0.74604000000000004</v>
      </c>
      <c r="AH352">
        <f t="shared" si="93"/>
        <v>0.71721999999999997</v>
      </c>
      <c r="AI352">
        <f t="shared" si="94"/>
        <v>0.69747999999999999</v>
      </c>
      <c r="AJ352">
        <f t="shared" si="95"/>
        <v>0.76822000000000001</v>
      </c>
      <c r="EC352">
        <v>750</v>
      </c>
      <c r="ED352">
        <v>0.72214</v>
      </c>
      <c r="EE352">
        <v>0.50924000000000003</v>
      </c>
      <c r="EF352">
        <v>0.78149999999999997</v>
      </c>
      <c r="EG352">
        <v>0.58797999999999995</v>
      </c>
      <c r="EH352">
        <v>0.82282</v>
      </c>
      <c r="EI352">
        <v>0.77676000000000001</v>
      </c>
      <c r="EJ352">
        <v>0.85140000000000005</v>
      </c>
      <c r="EK352">
        <v>0.75441999999999998</v>
      </c>
      <c r="EL352">
        <v>0.86136000000000001</v>
      </c>
      <c r="EM352">
        <v>0.85492000000000001</v>
      </c>
      <c r="EN352">
        <v>0.86724000000000001</v>
      </c>
      <c r="EO352">
        <v>0.89085999999999999</v>
      </c>
      <c r="EP352">
        <v>0.74604000000000004</v>
      </c>
      <c r="EQ352">
        <v>0.71721999999999997</v>
      </c>
      <c r="ER352">
        <v>0.69747999999999999</v>
      </c>
      <c r="ES352">
        <v>0.76822000000000001</v>
      </c>
    </row>
    <row r="353" spans="1:149" x14ac:dyDescent="0.35">
      <c r="A353" s="77"/>
      <c r="B353" s="77">
        <v>751</v>
      </c>
      <c r="C353" s="77">
        <v>0.36016999999999999</v>
      </c>
      <c r="D353" s="77">
        <v>0.25394</v>
      </c>
      <c r="E353" s="77">
        <v>0.38977000000000001</v>
      </c>
      <c r="F353" s="77">
        <v>0.29326999999999998</v>
      </c>
      <c r="G353" s="77">
        <v>0.41075</v>
      </c>
      <c r="H353" s="77">
        <v>0.38783000000000001</v>
      </c>
      <c r="I353" s="77">
        <v>0.42516999999999999</v>
      </c>
      <c r="J353" s="77">
        <v>0.37664999999999998</v>
      </c>
      <c r="K353" s="77">
        <v>0.43004999999999999</v>
      </c>
      <c r="L353" s="77">
        <v>0.4269</v>
      </c>
      <c r="M353" s="77">
        <v>0.43297999999999998</v>
      </c>
      <c r="N353" s="77">
        <v>0.44486999999999999</v>
      </c>
      <c r="O353" s="77">
        <v>0.37245</v>
      </c>
      <c r="P353" s="77">
        <v>0.35805999999999999</v>
      </c>
      <c r="Q353" s="77">
        <v>0.34814000000000001</v>
      </c>
      <c r="R353" s="77">
        <v>0.38351000000000002</v>
      </c>
      <c r="T353">
        <v>751</v>
      </c>
      <c r="U353">
        <f t="shared" si="80"/>
        <v>0.72033999999999998</v>
      </c>
      <c r="V353">
        <f t="shared" si="81"/>
        <v>0.50788</v>
      </c>
      <c r="W353">
        <f t="shared" si="82"/>
        <v>0.77954000000000001</v>
      </c>
      <c r="X353">
        <f t="shared" si="83"/>
        <v>0.58653999999999995</v>
      </c>
      <c r="Y353">
        <f t="shared" si="84"/>
        <v>0.82150000000000001</v>
      </c>
      <c r="Z353">
        <f t="shared" si="85"/>
        <v>0.77566000000000002</v>
      </c>
      <c r="AA353">
        <f t="shared" si="86"/>
        <v>0.85033999999999998</v>
      </c>
      <c r="AB353">
        <f t="shared" si="87"/>
        <v>0.75329999999999997</v>
      </c>
      <c r="AC353">
        <f t="shared" si="88"/>
        <v>0.86009999999999998</v>
      </c>
      <c r="AD353">
        <f t="shared" si="89"/>
        <v>0.8538</v>
      </c>
      <c r="AE353">
        <f t="shared" si="90"/>
        <v>0.86595999999999995</v>
      </c>
      <c r="AF353">
        <f t="shared" si="91"/>
        <v>0.88973999999999998</v>
      </c>
      <c r="AG353">
        <f t="shared" si="92"/>
        <v>0.74490000000000001</v>
      </c>
      <c r="AH353">
        <f t="shared" si="93"/>
        <v>0.71611999999999998</v>
      </c>
      <c r="AI353">
        <f t="shared" si="94"/>
        <v>0.69628000000000001</v>
      </c>
      <c r="AJ353">
        <f t="shared" si="95"/>
        <v>0.76702000000000004</v>
      </c>
      <c r="EC353">
        <v>751</v>
      </c>
      <c r="ED353">
        <v>0.72033999999999998</v>
      </c>
      <c r="EE353">
        <v>0.50788</v>
      </c>
      <c r="EF353">
        <v>0.77954000000000001</v>
      </c>
      <c r="EG353">
        <v>0.58653999999999995</v>
      </c>
      <c r="EH353">
        <v>0.82150000000000001</v>
      </c>
      <c r="EI353">
        <v>0.77566000000000002</v>
      </c>
      <c r="EJ353">
        <v>0.85033999999999998</v>
      </c>
      <c r="EK353">
        <v>0.75329999999999997</v>
      </c>
      <c r="EL353">
        <v>0.86009999999999998</v>
      </c>
      <c r="EM353">
        <v>0.8538</v>
      </c>
      <c r="EN353">
        <v>0.86595999999999995</v>
      </c>
      <c r="EO353">
        <v>0.88973999999999998</v>
      </c>
      <c r="EP353">
        <v>0.74490000000000001</v>
      </c>
      <c r="EQ353">
        <v>0.71611999999999998</v>
      </c>
      <c r="ER353">
        <v>0.69628000000000001</v>
      </c>
      <c r="ES353">
        <v>0.76702000000000004</v>
      </c>
    </row>
    <row r="354" spans="1:149" x14ac:dyDescent="0.35">
      <c r="A354" s="77"/>
      <c r="B354" s="77">
        <v>752</v>
      </c>
      <c r="C354" s="77">
        <v>0.35933999999999999</v>
      </c>
      <c r="D354" s="77">
        <v>0.25334000000000001</v>
      </c>
      <c r="E354" s="77">
        <v>0.38889000000000001</v>
      </c>
      <c r="F354" s="77">
        <v>0.29250999999999999</v>
      </c>
      <c r="G354" s="77">
        <v>0.41022999999999998</v>
      </c>
      <c r="H354" s="77">
        <v>0.38733000000000001</v>
      </c>
      <c r="I354" s="77">
        <v>0.42473</v>
      </c>
      <c r="J354" s="77">
        <v>0.37626999999999999</v>
      </c>
      <c r="K354" s="77">
        <v>0.42963000000000001</v>
      </c>
      <c r="L354" s="77">
        <v>0.42642000000000002</v>
      </c>
      <c r="M354" s="77">
        <v>0.43242000000000003</v>
      </c>
      <c r="N354" s="77">
        <v>0.44427</v>
      </c>
      <c r="O354" s="77">
        <v>0.37196000000000001</v>
      </c>
      <c r="P354" s="77">
        <v>0.35757</v>
      </c>
      <c r="Q354" s="77">
        <v>0.34771999999999997</v>
      </c>
      <c r="R354" s="77">
        <v>0.38302999999999998</v>
      </c>
      <c r="T354">
        <v>752</v>
      </c>
      <c r="U354">
        <f t="shared" si="80"/>
        <v>0.71867999999999999</v>
      </c>
      <c r="V354">
        <f t="shared" si="81"/>
        <v>0.50668000000000002</v>
      </c>
      <c r="W354">
        <f t="shared" si="82"/>
        <v>0.77778000000000003</v>
      </c>
      <c r="X354">
        <f t="shared" si="83"/>
        <v>0.58501999999999998</v>
      </c>
      <c r="Y354">
        <f t="shared" si="84"/>
        <v>0.82045999999999997</v>
      </c>
      <c r="Z354">
        <f t="shared" si="85"/>
        <v>0.77466000000000002</v>
      </c>
      <c r="AA354">
        <f t="shared" si="86"/>
        <v>0.84945999999999999</v>
      </c>
      <c r="AB354">
        <f t="shared" si="87"/>
        <v>0.75253999999999999</v>
      </c>
      <c r="AC354">
        <f t="shared" si="88"/>
        <v>0.85926000000000002</v>
      </c>
      <c r="AD354">
        <f t="shared" si="89"/>
        <v>0.85284000000000004</v>
      </c>
      <c r="AE354">
        <f t="shared" si="90"/>
        <v>0.86484000000000005</v>
      </c>
      <c r="AF354">
        <f t="shared" si="91"/>
        <v>0.88854</v>
      </c>
      <c r="AG354">
        <f t="shared" si="92"/>
        <v>0.74392000000000003</v>
      </c>
      <c r="AH354">
        <f t="shared" si="93"/>
        <v>0.71514</v>
      </c>
      <c r="AI354">
        <f t="shared" si="94"/>
        <v>0.69543999999999995</v>
      </c>
      <c r="AJ354">
        <f t="shared" si="95"/>
        <v>0.76605999999999996</v>
      </c>
      <c r="EC354">
        <v>752</v>
      </c>
      <c r="ED354">
        <v>0.71867999999999999</v>
      </c>
      <c r="EE354">
        <v>0.50668000000000002</v>
      </c>
      <c r="EF354">
        <v>0.77778000000000003</v>
      </c>
      <c r="EG354">
        <v>0.58501999999999998</v>
      </c>
      <c r="EH354">
        <v>0.82045999999999997</v>
      </c>
      <c r="EI354">
        <v>0.77466000000000002</v>
      </c>
      <c r="EJ354">
        <v>0.84945999999999999</v>
      </c>
      <c r="EK354">
        <v>0.75253999999999999</v>
      </c>
      <c r="EL354">
        <v>0.85926000000000002</v>
      </c>
      <c r="EM354">
        <v>0.85284000000000004</v>
      </c>
      <c r="EN354">
        <v>0.86484000000000005</v>
      </c>
      <c r="EO354">
        <v>0.88854</v>
      </c>
      <c r="EP354">
        <v>0.74392000000000003</v>
      </c>
      <c r="EQ354">
        <v>0.71514</v>
      </c>
      <c r="ER354">
        <v>0.69543999999999995</v>
      </c>
      <c r="ES354">
        <v>0.76605999999999996</v>
      </c>
    </row>
    <row r="355" spans="1:149" x14ac:dyDescent="0.35">
      <c r="A355" s="77"/>
      <c r="B355" s="77">
        <v>753</v>
      </c>
      <c r="C355" s="77">
        <v>0.35857</v>
      </c>
      <c r="D355" s="77">
        <v>0.25278</v>
      </c>
      <c r="E355" s="77">
        <v>0.38800000000000001</v>
      </c>
      <c r="F355" s="77">
        <v>0.29187000000000002</v>
      </c>
      <c r="G355" s="77">
        <v>0.40973999999999999</v>
      </c>
      <c r="H355" s="77">
        <v>0.38680999999999999</v>
      </c>
      <c r="I355" s="77">
        <v>0.42432999999999998</v>
      </c>
      <c r="J355" s="77">
        <v>0.37574999999999997</v>
      </c>
      <c r="K355" s="77">
        <v>0.42914999999999998</v>
      </c>
      <c r="L355" s="77">
        <v>0.42596000000000001</v>
      </c>
      <c r="M355" s="77">
        <v>0.43187999999999999</v>
      </c>
      <c r="N355" s="77">
        <v>0.44381999999999999</v>
      </c>
      <c r="O355" s="77">
        <v>0.37146000000000001</v>
      </c>
      <c r="P355" s="77">
        <v>0.35707</v>
      </c>
      <c r="Q355" s="77">
        <v>0.34720000000000001</v>
      </c>
      <c r="R355" s="77">
        <v>0.38252000000000003</v>
      </c>
      <c r="T355">
        <v>753</v>
      </c>
      <c r="U355">
        <f t="shared" si="80"/>
        <v>0.71714</v>
      </c>
      <c r="V355">
        <f t="shared" si="81"/>
        <v>0.50556000000000001</v>
      </c>
      <c r="W355">
        <f t="shared" si="82"/>
        <v>0.77600000000000002</v>
      </c>
      <c r="X355">
        <f t="shared" si="83"/>
        <v>0.58374000000000004</v>
      </c>
      <c r="Y355">
        <f t="shared" si="84"/>
        <v>0.81947999999999999</v>
      </c>
      <c r="Z355">
        <f t="shared" si="85"/>
        <v>0.77361999999999997</v>
      </c>
      <c r="AA355">
        <f t="shared" si="86"/>
        <v>0.84865999999999997</v>
      </c>
      <c r="AB355">
        <f t="shared" si="87"/>
        <v>0.75149999999999995</v>
      </c>
      <c r="AC355">
        <f t="shared" si="88"/>
        <v>0.85829999999999995</v>
      </c>
      <c r="AD355">
        <f t="shared" si="89"/>
        <v>0.85192000000000001</v>
      </c>
      <c r="AE355">
        <f t="shared" si="90"/>
        <v>0.86375999999999997</v>
      </c>
      <c r="AF355">
        <f t="shared" si="91"/>
        <v>0.88763999999999998</v>
      </c>
      <c r="AG355">
        <f t="shared" si="92"/>
        <v>0.74292000000000002</v>
      </c>
      <c r="AH355">
        <f t="shared" si="93"/>
        <v>0.71414</v>
      </c>
      <c r="AI355">
        <f t="shared" si="94"/>
        <v>0.69440000000000002</v>
      </c>
      <c r="AJ355">
        <f t="shared" si="95"/>
        <v>0.76504000000000005</v>
      </c>
      <c r="EC355">
        <v>753</v>
      </c>
      <c r="ED355">
        <v>0.71714</v>
      </c>
      <c r="EE355">
        <v>0.50556000000000001</v>
      </c>
      <c r="EF355">
        <v>0.77600000000000002</v>
      </c>
      <c r="EG355">
        <v>0.58374000000000004</v>
      </c>
      <c r="EH355">
        <v>0.81947999999999999</v>
      </c>
      <c r="EI355">
        <v>0.77361999999999997</v>
      </c>
      <c r="EJ355">
        <v>0.84865999999999997</v>
      </c>
      <c r="EK355">
        <v>0.75149999999999995</v>
      </c>
      <c r="EL355">
        <v>0.85829999999999995</v>
      </c>
      <c r="EM355">
        <v>0.85192000000000001</v>
      </c>
      <c r="EN355">
        <v>0.86375999999999997</v>
      </c>
      <c r="EO355">
        <v>0.88763999999999998</v>
      </c>
      <c r="EP355">
        <v>0.74292000000000002</v>
      </c>
      <c r="EQ355">
        <v>0.71414</v>
      </c>
      <c r="ER355">
        <v>0.69440000000000002</v>
      </c>
      <c r="ES355">
        <v>0.76504000000000005</v>
      </c>
    </row>
    <row r="356" spans="1:149" x14ac:dyDescent="0.35">
      <c r="A356" s="77"/>
      <c r="B356" s="77">
        <v>754</v>
      </c>
      <c r="C356" s="77">
        <v>0.35780000000000001</v>
      </c>
      <c r="D356" s="77">
        <v>0.25220999999999999</v>
      </c>
      <c r="E356" s="77">
        <v>0.38714999999999999</v>
      </c>
      <c r="F356" s="77">
        <v>0.29114000000000001</v>
      </c>
      <c r="G356" s="77">
        <v>0.40921000000000002</v>
      </c>
      <c r="H356" s="77">
        <v>0.38622000000000001</v>
      </c>
      <c r="I356" s="77">
        <v>0.42382999999999998</v>
      </c>
      <c r="J356" s="77">
        <v>0.37531999999999999</v>
      </c>
      <c r="K356" s="77">
        <v>0.42864999999999998</v>
      </c>
      <c r="L356" s="77">
        <v>0.42548000000000002</v>
      </c>
      <c r="M356" s="77">
        <v>0.43134</v>
      </c>
      <c r="N356" s="77">
        <v>0.44330000000000003</v>
      </c>
      <c r="O356" s="77">
        <v>0.37090000000000001</v>
      </c>
      <c r="P356" s="77">
        <v>0.35663</v>
      </c>
      <c r="Q356" s="77">
        <v>0.34661999999999998</v>
      </c>
      <c r="R356" s="77">
        <v>0.38196000000000002</v>
      </c>
      <c r="T356">
        <v>754</v>
      </c>
      <c r="U356">
        <f t="shared" si="80"/>
        <v>0.71560000000000001</v>
      </c>
      <c r="V356">
        <f t="shared" si="81"/>
        <v>0.50441999999999998</v>
      </c>
      <c r="W356">
        <f t="shared" si="82"/>
        <v>0.77429999999999999</v>
      </c>
      <c r="X356">
        <f t="shared" si="83"/>
        <v>0.58228000000000002</v>
      </c>
      <c r="Y356">
        <f t="shared" si="84"/>
        <v>0.81842000000000004</v>
      </c>
      <c r="Z356">
        <f t="shared" si="85"/>
        <v>0.77244000000000002</v>
      </c>
      <c r="AA356">
        <f t="shared" si="86"/>
        <v>0.84765999999999997</v>
      </c>
      <c r="AB356">
        <f t="shared" si="87"/>
        <v>0.75063999999999997</v>
      </c>
      <c r="AC356">
        <f t="shared" si="88"/>
        <v>0.85729999999999995</v>
      </c>
      <c r="AD356">
        <f t="shared" si="89"/>
        <v>0.85096000000000005</v>
      </c>
      <c r="AE356">
        <f t="shared" si="90"/>
        <v>0.86268</v>
      </c>
      <c r="AF356">
        <f t="shared" si="91"/>
        <v>0.88660000000000005</v>
      </c>
      <c r="AG356">
        <f t="shared" si="92"/>
        <v>0.74180000000000001</v>
      </c>
      <c r="AH356">
        <f t="shared" si="93"/>
        <v>0.71326000000000001</v>
      </c>
      <c r="AI356">
        <f t="shared" si="94"/>
        <v>0.69323999999999997</v>
      </c>
      <c r="AJ356">
        <f t="shared" si="95"/>
        <v>0.76392000000000004</v>
      </c>
      <c r="EC356">
        <v>754</v>
      </c>
      <c r="ED356">
        <v>0.71560000000000001</v>
      </c>
      <c r="EE356">
        <v>0.50441999999999998</v>
      </c>
      <c r="EF356">
        <v>0.77429999999999999</v>
      </c>
      <c r="EG356">
        <v>0.58228000000000002</v>
      </c>
      <c r="EH356">
        <v>0.81842000000000004</v>
      </c>
      <c r="EI356">
        <v>0.77244000000000002</v>
      </c>
      <c r="EJ356">
        <v>0.84765999999999997</v>
      </c>
      <c r="EK356">
        <v>0.75063999999999997</v>
      </c>
      <c r="EL356">
        <v>0.85729999999999995</v>
      </c>
      <c r="EM356">
        <v>0.85096000000000005</v>
      </c>
      <c r="EN356">
        <v>0.86268</v>
      </c>
      <c r="EO356">
        <v>0.88660000000000005</v>
      </c>
      <c r="EP356">
        <v>0.74180000000000001</v>
      </c>
      <c r="EQ356">
        <v>0.71326000000000001</v>
      </c>
      <c r="ER356">
        <v>0.69323999999999997</v>
      </c>
      <c r="ES356">
        <v>0.76392000000000004</v>
      </c>
    </row>
    <row r="357" spans="1:149" x14ac:dyDescent="0.35">
      <c r="A357" s="77"/>
      <c r="B357" s="77">
        <v>755</v>
      </c>
      <c r="C357" s="77">
        <v>0.35693000000000003</v>
      </c>
      <c r="D357" s="77">
        <v>0.25163000000000002</v>
      </c>
      <c r="E357" s="77">
        <v>0.38622000000000001</v>
      </c>
      <c r="F357" s="77">
        <v>0.29043999999999998</v>
      </c>
      <c r="G357" s="77">
        <v>0.40866000000000002</v>
      </c>
      <c r="H357" s="77">
        <v>0.38568000000000002</v>
      </c>
      <c r="I357" s="77">
        <v>0.42331999999999997</v>
      </c>
      <c r="J357" s="77">
        <v>0.37483</v>
      </c>
      <c r="K357" s="77">
        <v>0.42813000000000001</v>
      </c>
      <c r="L357" s="77">
        <v>0.4249</v>
      </c>
      <c r="M357" s="77">
        <v>0.43079000000000001</v>
      </c>
      <c r="N357" s="77">
        <v>0.44273000000000001</v>
      </c>
      <c r="O357" s="77">
        <v>0.37036000000000002</v>
      </c>
      <c r="P357" s="77">
        <v>0.35615999999999998</v>
      </c>
      <c r="Q357" s="77">
        <v>0.34612999999999999</v>
      </c>
      <c r="R357" s="77">
        <v>0.38144</v>
      </c>
      <c r="T357">
        <v>755</v>
      </c>
      <c r="U357">
        <f t="shared" si="80"/>
        <v>0.71386000000000005</v>
      </c>
      <c r="V357">
        <f t="shared" si="81"/>
        <v>0.50326000000000004</v>
      </c>
      <c r="W357">
        <f t="shared" si="82"/>
        <v>0.77244000000000002</v>
      </c>
      <c r="X357">
        <f t="shared" si="83"/>
        <v>0.58087999999999995</v>
      </c>
      <c r="Y357">
        <f t="shared" si="84"/>
        <v>0.81732000000000005</v>
      </c>
      <c r="Z357">
        <f t="shared" si="85"/>
        <v>0.77136000000000005</v>
      </c>
      <c r="AA357">
        <f t="shared" si="86"/>
        <v>0.84663999999999995</v>
      </c>
      <c r="AB357">
        <f t="shared" si="87"/>
        <v>0.74965999999999999</v>
      </c>
      <c r="AC357">
        <f t="shared" si="88"/>
        <v>0.85626000000000002</v>
      </c>
      <c r="AD357">
        <f t="shared" si="89"/>
        <v>0.8498</v>
      </c>
      <c r="AE357">
        <f t="shared" si="90"/>
        <v>0.86158000000000001</v>
      </c>
      <c r="AF357">
        <f t="shared" si="91"/>
        <v>0.88546000000000002</v>
      </c>
      <c r="AG357">
        <f t="shared" si="92"/>
        <v>0.74072000000000005</v>
      </c>
      <c r="AH357">
        <f t="shared" si="93"/>
        <v>0.71231999999999995</v>
      </c>
      <c r="AI357">
        <f t="shared" si="94"/>
        <v>0.69225999999999999</v>
      </c>
      <c r="AJ357">
        <f t="shared" si="95"/>
        <v>0.76288</v>
      </c>
      <c r="EC357">
        <v>755</v>
      </c>
      <c r="ED357">
        <v>0.71386000000000005</v>
      </c>
      <c r="EE357">
        <v>0.50326000000000004</v>
      </c>
      <c r="EF357">
        <v>0.77244000000000002</v>
      </c>
      <c r="EG357">
        <v>0.58087999999999995</v>
      </c>
      <c r="EH357">
        <v>0.81732000000000005</v>
      </c>
      <c r="EI357">
        <v>0.77136000000000005</v>
      </c>
      <c r="EJ357">
        <v>0.84663999999999995</v>
      </c>
      <c r="EK357">
        <v>0.74965999999999999</v>
      </c>
      <c r="EL357">
        <v>0.85626000000000002</v>
      </c>
      <c r="EM357">
        <v>0.8498</v>
      </c>
      <c r="EN357">
        <v>0.86158000000000001</v>
      </c>
      <c r="EO357">
        <v>0.88546000000000002</v>
      </c>
      <c r="EP357">
        <v>0.74072000000000005</v>
      </c>
      <c r="EQ357">
        <v>0.71231999999999995</v>
      </c>
      <c r="ER357">
        <v>0.69225999999999999</v>
      </c>
      <c r="ES357">
        <v>0.76288</v>
      </c>
    </row>
    <row r="358" spans="1:149" x14ac:dyDescent="0.35">
      <c r="A358" s="77"/>
      <c r="B358" s="77">
        <v>756</v>
      </c>
      <c r="C358" s="77">
        <v>0.35605999999999999</v>
      </c>
      <c r="D358" s="77">
        <v>0.25095000000000001</v>
      </c>
      <c r="E358" s="77">
        <v>0.38529999999999998</v>
      </c>
      <c r="F358" s="77">
        <v>0.28966999999999998</v>
      </c>
      <c r="G358" s="77">
        <v>0.40801999999999999</v>
      </c>
      <c r="H358" s="77">
        <v>0.38514999999999999</v>
      </c>
      <c r="I358" s="77">
        <v>0.42281000000000002</v>
      </c>
      <c r="J358" s="77">
        <v>0.37422</v>
      </c>
      <c r="K358" s="77">
        <v>0.42752000000000001</v>
      </c>
      <c r="L358" s="77">
        <v>0.42426999999999998</v>
      </c>
      <c r="M358" s="77">
        <v>0.43007000000000001</v>
      </c>
      <c r="N358" s="77">
        <v>0.44212000000000001</v>
      </c>
      <c r="O358" s="77">
        <v>0.37</v>
      </c>
      <c r="P358" s="77">
        <v>0.35571000000000003</v>
      </c>
      <c r="Q358" s="77">
        <v>0.34581000000000001</v>
      </c>
      <c r="R358" s="77">
        <v>0.38094</v>
      </c>
      <c r="T358">
        <v>756</v>
      </c>
      <c r="U358">
        <f t="shared" si="80"/>
        <v>0.71211999999999998</v>
      </c>
      <c r="V358">
        <f t="shared" si="81"/>
        <v>0.50190000000000001</v>
      </c>
      <c r="W358">
        <f t="shared" si="82"/>
        <v>0.77059999999999995</v>
      </c>
      <c r="X358">
        <f t="shared" si="83"/>
        <v>0.57933999999999997</v>
      </c>
      <c r="Y358">
        <f t="shared" si="84"/>
        <v>0.81603999999999999</v>
      </c>
      <c r="Z358">
        <f t="shared" si="85"/>
        <v>0.77029999999999998</v>
      </c>
      <c r="AA358">
        <f t="shared" si="86"/>
        <v>0.84562000000000004</v>
      </c>
      <c r="AB358">
        <f t="shared" si="87"/>
        <v>0.74843999999999999</v>
      </c>
      <c r="AC358">
        <f t="shared" si="88"/>
        <v>0.85504000000000002</v>
      </c>
      <c r="AD358">
        <f t="shared" si="89"/>
        <v>0.84853999999999996</v>
      </c>
      <c r="AE358">
        <f t="shared" si="90"/>
        <v>0.86014000000000002</v>
      </c>
      <c r="AF358">
        <f t="shared" si="91"/>
        <v>0.88424000000000003</v>
      </c>
      <c r="AG358">
        <f t="shared" si="92"/>
        <v>0.74</v>
      </c>
      <c r="AH358">
        <f t="shared" si="93"/>
        <v>0.71142000000000005</v>
      </c>
      <c r="AI358">
        <f t="shared" si="94"/>
        <v>0.69162000000000001</v>
      </c>
      <c r="AJ358">
        <f t="shared" si="95"/>
        <v>0.76188</v>
      </c>
      <c r="EC358">
        <v>756</v>
      </c>
      <c r="ED358">
        <v>0.71211999999999998</v>
      </c>
      <c r="EE358">
        <v>0.50190000000000001</v>
      </c>
      <c r="EF358">
        <v>0.77059999999999995</v>
      </c>
      <c r="EG358">
        <v>0.57933999999999997</v>
      </c>
      <c r="EH358">
        <v>0.81603999999999999</v>
      </c>
      <c r="EI358">
        <v>0.77029999999999998</v>
      </c>
      <c r="EJ358">
        <v>0.84562000000000004</v>
      </c>
      <c r="EK358">
        <v>0.74843999999999999</v>
      </c>
      <c r="EL358">
        <v>0.85504000000000002</v>
      </c>
      <c r="EM358">
        <v>0.84853999999999996</v>
      </c>
      <c r="EN358">
        <v>0.86014000000000002</v>
      </c>
      <c r="EO358">
        <v>0.88424000000000003</v>
      </c>
      <c r="EP358">
        <v>0.74</v>
      </c>
      <c r="EQ358">
        <v>0.71142000000000005</v>
      </c>
      <c r="ER358">
        <v>0.69162000000000001</v>
      </c>
      <c r="ES358">
        <v>0.76188</v>
      </c>
    </row>
    <row r="359" spans="1:149" x14ac:dyDescent="0.35">
      <c r="A359" s="77"/>
      <c r="B359" s="77">
        <v>757</v>
      </c>
      <c r="C359" s="77">
        <v>0.3553</v>
      </c>
      <c r="D359" s="77">
        <v>0.25041000000000002</v>
      </c>
      <c r="E359" s="77">
        <v>0.38446000000000002</v>
      </c>
      <c r="F359" s="77">
        <v>0.28908</v>
      </c>
      <c r="G359" s="77">
        <v>0.40758</v>
      </c>
      <c r="H359" s="77">
        <v>0.38461000000000001</v>
      </c>
      <c r="I359" s="77">
        <v>0.42235</v>
      </c>
      <c r="J359" s="77">
        <v>0.37375999999999998</v>
      </c>
      <c r="K359" s="77">
        <v>0.42702000000000001</v>
      </c>
      <c r="L359" s="77">
        <v>0.42381000000000002</v>
      </c>
      <c r="M359" s="77">
        <v>0.42953000000000002</v>
      </c>
      <c r="N359" s="77">
        <v>0.44158999999999998</v>
      </c>
      <c r="O359" s="77">
        <v>0.36951000000000001</v>
      </c>
      <c r="P359" s="77">
        <v>0.35526999999999997</v>
      </c>
      <c r="Q359" s="77">
        <v>0.34526000000000001</v>
      </c>
      <c r="R359" s="77">
        <v>0.38039000000000001</v>
      </c>
      <c r="T359">
        <v>757</v>
      </c>
      <c r="U359">
        <f t="shared" si="80"/>
        <v>0.71060000000000001</v>
      </c>
      <c r="V359">
        <f t="shared" si="81"/>
        <v>0.50082000000000004</v>
      </c>
      <c r="W359">
        <f t="shared" si="82"/>
        <v>0.76892000000000005</v>
      </c>
      <c r="X359">
        <f t="shared" si="83"/>
        <v>0.57816000000000001</v>
      </c>
      <c r="Y359">
        <f t="shared" si="84"/>
        <v>0.81516</v>
      </c>
      <c r="Z359">
        <f t="shared" si="85"/>
        <v>0.76922000000000001</v>
      </c>
      <c r="AA359">
        <f t="shared" si="86"/>
        <v>0.84470000000000001</v>
      </c>
      <c r="AB359">
        <f t="shared" si="87"/>
        <v>0.74751999999999996</v>
      </c>
      <c r="AC359">
        <f t="shared" si="88"/>
        <v>0.85404000000000002</v>
      </c>
      <c r="AD359">
        <f t="shared" si="89"/>
        <v>0.84762000000000004</v>
      </c>
      <c r="AE359">
        <f t="shared" si="90"/>
        <v>0.85906000000000005</v>
      </c>
      <c r="AF359">
        <f t="shared" si="91"/>
        <v>0.88317999999999997</v>
      </c>
      <c r="AG359">
        <f t="shared" si="92"/>
        <v>0.73902000000000001</v>
      </c>
      <c r="AH359">
        <f t="shared" si="93"/>
        <v>0.71053999999999995</v>
      </c>
      <c r="AI359">
        <f t="shared" si="94"/>
        <v>0.69052000000000002</v>
      </c>
      <c r="AJ359">
        <f t="shared" si="95"/>
        <v>0.76078000000000001</v>
      </c>
      <c r="EC359">
        <v>757</v>
      </c>
      <c r="ED359">
        <v>0.71060000000000001</v>
      </c>
      <c r="EE359">
        <v>0.50082000000000004</v>
      </c>
      <c r="EF359">
        <v>0.76892000000000005</v>
      </c>
      <c r="EG359">
        <v>0.57816000000000001</v>
      </c>
      <c r="EH359">
        <v>0.81516</v>
      </c>
      <c r="EI359">
        <v>0.76922000000000001</v>
      </c>
      <c r="EJ359">
        <v>0.84470000000000001</v>
      </c>
      <c r="EK359">
        <v>0.74751999999999996</v>
      </c>
      <c r="EL359">
        <v>0.85404000000000002</v>
      </c>
      <c r="EM359">
        <v>0.84762000000000004</v>
      </c>
      <c r="EN359">
        <v>0.85906000000000005</v>
      </c>
      <c r="EO359">
        <v>0.88317999999999997</v>
      </c>
      <c r="EP359">
        <v>0.73902000000000001</v>
      </c>
      <c r="EQ359">
        <v>0.71053999999999995</v>
      </c>
      <c r="ER359">
        <v>0.69052000000000002</v>
      </c>
      <c r="ES359">
        <v>0.76078000000000001</v>
      </c>
    </row>
    <row r="360" spans="1:149" x14ac:dyDescent="0.35">
      <c r="A360" s="77"/>
      <c r="B360" s="77">
        <v>758</v>
      </c>
      <c r="C360" s="77">
        <v>0.35444999999999999</v>
      </c>
      <c r="D360" s="77">
        <v>0.24979000000000001</v>
      </c>
      <c r="E360" s="77">
        <v>0.38358999999999999</v>
      </c>
      <c r="F360" s="77">
        <v>0.28832999999999998</v>
      </c>
      <c r="G360" s="77">
        <v>0.40699999999999997</v>
      </c>
      <c r="H360" s="77">
        <v>0.38405</v>
      </c>
      <c r="I360" s="77">
        <v>0.42180000000000001</v>
      </c>
      <c r="J360" s="77">
        <v>0.37329000000000001</v>
      </c>
      <c r="K360" s="77">
        <v>0.42643999999999999</v>
      </c>
      <c r="L360" s="77">
        <v>0.42333999999999999</v>
      </c>
      <c r="M360" s="77">
        <v>0.42897000000000002</v>
      </c>
      <c r="N360" s="77">
        <v>0.44098999999999999</v>
      </c>
      <c r="O360" s="77">
        <v>0.36887999999999999</v>
      </c>
      <c r="P360" s="77">
        <v>0.35471999999999998</v>
      </c>
      <c r="Q360" s="77">
        <v>0.34473999999999999</v>
      </c>
      <c r="R360" s="77">
        <v>0.37988</v>
      </c>
      <c r="T360">
        <v>758</v>
      </c>
      <c r="U360">
        <f t="shared" si="80"/>
        <v>0.70889999999999997</v>
      </c>
      <c r="V360">
        <f t="shared" si="81"/>
        <v>0.49958000000000002</v>
      </c>
      <c r="W360">
        <f t="shared" si="82"/>
        <v>0.76717999999999997</v>
      </c>
      <c r="X360">
        <f t="shared" si="83"/>
        <v>0.57665999999999995</v>
      </c>
      <c r="Y360">
        <f t="shared" si="84"/>
        <v>0.81399999999999995</v>
      </c>
      <c r="Z360">
        <f t="shared" si="85"/>
        <v>0.7681</v>
      </c>
      <c r="AA360">
        <f t="shared" si="86"/>
        <v>0.84360000000000002</v>
      </c>
      <c r="AB360">
        <f t="shared" si="87"/>
        <v>0.74658000000000002</v>
      </c>
      <c r="AC360">
        <f t="shared" si="88"/>
        <v>0.85287999999999997</v>
      </c>
      <c r="AD360">
        <f t="shared" si="89"/>
        <v>0.84667999999999999</v>
      </c>
      <c r="AE360">
        <f t="shared" si="90"/>
        <v>0.85794000000000004</v>
      </c>
      <c r="AF360">
        <f t="shared" si="91"/>
        <v>0.88197999999999999</v>
      </c>
      <c r="AG360">
        <f t="shared" si="92"/>
        <v>0.73775999999999997</v>
      </c>
      <c r="AH360">
        <f t="shared" si="93"/>
        <v>0.70943999999999996</v>
      </c>
      <c r="AI360">
        <f t="shared" si="94"/>
        <v>0.68947999999999998</v>
      </c>
      <c r="AJ360">
        <f t="shared" si="95"/>
        <v>0.75975999999999999</v>
      </c>
      <c r="EC360">
        <v>758</v>
      </c>
      <c r="ED360">
        <v>0.70889999999999997</v>
      </c>
      <c r="EE360">
        <v>0.49958000000000002</v>
      </c>
      <c r="EF360">
        <v>0.76717999999999997</v>
      </c>
      <c r="EG360">
        <v>0.57665999999999995</v>
      </c>
      <c r="EH360">
        <v>0.81399999999999995</v>
      </c>
      <c r="EI360">
        <v>0.7681</v>
      </c>
      <c r="EJ360">
        <v>0.84360000000000002</v>
      </c>
      <c r="EK360">
        <v>0.74658000000000002</v>
      </c>
      <c r="EL360">
        <v>0.85287999999999997</v>
      </c>
      <c r="EM360">
        <v>0.84667999999999999</v>
      </c>
      <c r="EN360">
        <v>0.85794000000000004</v>
      </c>
      <c r="EO360">
        <v>0.88197999999999999</v>
      </c>
      <c r="EP360">
        <v>0.73775999999999997</v>
      </c>
      <c r="EQ360">
        <v>0.70943999999999996</v>
      </c>
      <c r="ER360">
        <v>0.68947999999999998</v>
      </c>
      <c r="ES360">
        <v>0.75975999999999999</v>
      </c>
    </row>
    <row r="361" spans="1:149" x14ac:dyDescent="0.35">
      <c r="A361" s="77"/>
      <c r="B361" s="77">
        <v>759</v>
      </c>
      <c r="C361" s="77">
        <v>0.35365000000000002</v>
      </c>
      <c r="D361" s="77">
        <v>0.24918999999999999</v>
      </c>
      <c r="E361" s="77">
        <v>0.38268000000000002</v>
      </c>
      <c r="F361" s="77">
        <v>0.28760000000000002</v>
      </c>
      <c r="G361" s="77">
        <v>0.40644999999999998</v>
      </c>
      <c r="H361" s="77">
        <v>0.38353999999999999</v>
      </c>
      <c r="I361" s="77">
        <v>0.42137000000000002</v>
      </c>
      <c r="J361" s="77">
        <v>0.37280000000000002</v>
      </c>
      <c r="K361" s="77">
        <v>0.42588999999999999</v>
      </c>
      <c r="L361" s="77">
        <v>0.42285</v>
      </c>
      <c r="M361" s="77">
        <v>0.42836000000000002</v>
      </c>
      <c r="N361" s="77">
        <v>0.44051000000000001</v>
      </c>
      <c r="O361" s="77">
        <v>0.36835000000000001</v>
      </c>
      <c r="P361" s="77">
        <v>0.35422999999999999</v>
      </c>
      <c r="Q361" s="77">
        <v>0.34421000000000002</v>
      </c>
      <c r="R361" s="77">
        <v>0.37931999999999999</v>
      </c>
      <c r="T361">
        <v>759</v>
      </c>
      <c r="U361">
        <f t="shared" si="80"/>
        <v>0.70730000000000004</v>
      </c>
      <c r="V361">
        <f t="shared" si="81"/>
        <v>0.49837999999999999</v>
      </c>
      <c r="W361">
        <f t="shared" si="82"/>
        <v>0.76536000000000004</v>
      </c>
      <c r="X361">
        <f t="shared" si="83"/>
        <v>0.57520000000000004</v>
      </c>
      <c r="Y361">
        <f t="shared" si="84"/>
        <v>0.81289999999999996</v>
      </c>
      <c r="Z361">
        <f t="shared" si="85"/>
        <v>0.76707999999999998</v>
      </c>
      <c r="AA361">
        <f t="shared" si="86"/>
        <v>0.84274000000000004</v>
      </c>
      <c r="AB361">
        <f t="shared" si="87"/>
        <v>0.74560000000000004</v>
      </c>
      <c r="AC361">
        <f t="shared" si="88"/>
        <v>0.85177999999999998</v>
      </c>
      <c r="AD361">
        <f t="shared" si="89"/>
        <v>0.84570000000000001</v>
      </c>
      <c r="AE361">
        <f t="shared" si="90"/>
        <v>0.85672000000000004</v>
      </c>
      <c r="AF361">
        <f t="shared" si="91"/>
        <v>0.88102000000000003</v>
      </c>
      <c r="AG361">
        <f t="shared" si="92"/>
        <v>0.73670000000000002</v>
      </c>
      <c r="AH361">
        <f t="shared" si="93"/>
        <v>0.70845999999999998</v>
      </c>
      <c r="AI361">
        <f t="shared" si="94"/>
        <v>0.68842000000000003</v>
      </c>
      <c r="AJ361">
        <f t="shared" si="95"/>
        <v>0.75863999999999998</v>
      </c>
      <c r="EC361">
        <v>759</v>
      </c>
      <c r="ED361">
        <v>0.70730000000000004</v>
      </c>
      <c r="EE361">
        <v>0.49837999999999999</v>
      </c>
      <c r="EF361">
        <v>0.76536000000000004</v>
      </c>
      <c r="EG361">
        <v>0.57520000000000004</v>
      </c>
      <c r="EH361">
        <v>0.81289999999999996</v>
      </c>
      <c r="EI361">
        <v>0.76707999999999998</v>
      </c>
      <c r="EJ361">
        <v>0.84274000000000004</v>
      </c>
      <c r="EK361">
        <v>0.74560000000000004</v>
      </c>
      <c r="EL361">
        <v>0.85177999999999998</v>
      </c>
      <c r="EM361">
        <v>0.84570000000000001</v>
      </c>
      <c r="EN361">
        <v>0.85672000000000004</v>
      </c>
      <c r="EO361">
        <v>0.88102000000000003</v>
      </c>
      <c r="EP361">
        <v>0.73670000000000002</v>
      </c>
      <c r="EQ361">
        <v>0.70845999999999998</v>
      </c>
      <c r="ER361">
        <v>0.68842000000000003</v>
      </c>
      <c r="ES361">
        <v>0.75863999999999998</v>
      </c>
    </row>
    <row r="362" spans="1:149" x14ac:dyDescent="0.35">
      <c r="A362" s="77"/>
      <c r="B362" s="77">
        <v>760</v>
      </c>
      <c r="C362" s="77">
        <v>0.35286000000000001</v>
      </c>
      <c r="D362" s="77">
        <v>0.24865999999999999</v>
      </c>
      <c r="E362" s="77">
        <v>0.38185000000000002</v>
      </c>
      <c r="F362" s="77">
        <v>0.28695999999999999</v>
      </c>
      <c r="G362" s="77">
        <v>0.40583999999999998</v>
      </c>
      <c r="H362" s="77">
        <v>0.38303999999999999</v>
      </c>
      <c r="I362" s="77">
        <v>0.42083999999999999</v>
      </c>
      <c r="J362" s="77">
        <v>0.37225000000000003</v>
      </c>
      <c r="K362" s="77">
        <v>0.42537000000000003</v>
      </c>
      <c r="L362" s="77">
        <v>0.42237999999999998</v>
      </c>
      <c r="M362" s="77">
        <v>0.42769000000000001</v>
      </c>
      <c r="N362" s="77">
        <v>0.43985000000000002</v>
      </c>
      <c r="O362" s="77">
        <v>0.36786999999999997</v>
      </c>
      <c r="P362" s="77">
        <v>0.35381000000000001</v>
      </c>
      <c r="Q362" s="77">
        <v>0.34369</v>
      </c>
      <c r="R362" s="77">
        <v>0.37880999999999998</v>
      </c>
      <c r="T362">
        <v>760</v>
      </c>
      <c r="U362">
        <f t="shared" si="80"/>
        <v>0.70572000000000001</v>
      </c>
      <c r="V362">
        <f t="shared" si="81"/>
        <v>0.49731999999999998</v>
      </c>
      <c r="W362">
        <f t="shared" si="82"/>
        <v>0.76370000000000005</v>
      </c>
      <c r="X362">
        <f t="shared" si="83"/>
        <v>0.57391999999999999</v>
      </c>
      <c r="Y362">
        <f t="shared" si="84"/>
        <v>0.81167999999999996</v>
      </c>
      <c r="Z362">
        <f t="shared" si="85"/>
        <v>0.76607999999999998</v>
      </c>
      <c r="AA362">
        <f t="shared" si="86"/>
        <v>0.84167999999999998</v>
      </c>
      <c r="AB362">
        <f t="shared" si="87"/>
        <v>0.74450000000000005</v>
      </c>
      <c r="AC362">
        <f t="shared" si="88"/>
        <v>0.85074000000000005</v>
      </c>
      <c r="AD362">
        <f t="shared" si="89"/>
        <v>0.84475999999999996</v>
      </c>
      <c r="AE362">
        <f t="shared" si="90"/>
        <v>0.85538000000000003</v>
      </c>
      <c r="AF362">
        <f t="shared" si="91"/>
        <v>0.87970000000000004</v>
      </c>
      <c r="AG362">
        <f t="shared" si="92"/>
        <v>0.73573999999999995</v>
      </c>
      <c r="AH362">
        <f t="shared" si="93"/>
        <v>0.70762000000000003</v>
      </c>
      <c r="AI362">
        <f t="shared" si="94"/>
        <v>0.68737999999999999</v>
      </c>
      <c r="AJ362">
        <f t="shared" si="95"/>
        <v>0.75761999999999996</v>
      </c>
      <c r="EC362">
        <v>760</v>
      </c>
      <c r="ED362">
        <v>0.70572000000000001</v>
      </c>
      <c r="EE362">
        <v>0.49731999999999998</v>
      </c>
      <c r="EF362">
        <v>0.76370000000000005</v>
      </c>
      <c r="EG362">
        <v>0.57391999999999999</v>
      </c>
      <c r="EH362">
        <v>0.81167999999999996</v>
      </c>
      <c r="EI362">
        <v>0.76607999999999998</v>
      </c>
      <c r="EJ362">
        <v>0.84167999999999998</v>
      </c>
      <c r="EK362">
        <v>0.74450000000000005</v>
      </c>
      <c r="EL362">
        <v>0.85074000000000005</v>
      </c>
      <c r="EM362">
        <v>0.84475999999999996</v>
      </c>
      <c r="EN362">
        <v>0.85538000000000003</v>
      </c>
      <c r="EO362">
        <v>0.87970000000000004</v>
      </c>
      <c r="EP362">
        <v>0.73573999999999995</v>
      </c>
      <c r="EQ362">
        <v>0.70762000000000003</v>
      </c>
      <c r="ER362">
        <v>0.68737999999999999</v>
      </c>
      <c r="ES362">
        <v>0.75761999999999996</v>
      </c>
    </row>
    <row r="363" spans="1:149" x14ac:dyDescent="0.35">
      <c r="A363" s="77"/>
      <c r="B363" s="77">
        <v>761</v>
      </c>
      <c r="C363" s="77">
        <v>0.35225000000000001</v>
      </c>
      <c r="D363" s="77">
        <v>0.24817</v>
      </c>
      <c r="E363" s="77">
        <v>0.38109999999999999</v>
      </c>
      <c r="F363" s="77">
        <v>0.2863</v>
      </c>
      <c r="G363" s="77">
        <v>0.40544000000000002</v>
      </c>
      <c r="H363" s="77">
        <v>0.38268999999999997</v>
      </c>
      <c r="I363" s="77">
        <v>0.42059000000000002</v>
      </c>
      <c r="J363" s="77">
        <v>0.37190000000000001</v>
      </c>
      <c r="K363" s="77">
        <v>0.42502000000000001</v>
      </c>
      <c r="L363" s="77">
        <v>0.42207</v>
      </c>
      <c r="M363" s="77">
        <v>0.42731999999999998</v>
      </c>
      <c r="N363" s="77">
        <v>0.43947999999999998</v>
      </c>
      <c r="O363" s="77">
        <v>0.36757000000000001</v>
      </c>
      <c r="P363" s="77">
        <v>0.35354999999999998</v>
      </c>
      <c r="Q363" s="77">
        <v>0.34328999999999998</v>
      </c>
      <c r="R363" s="77">
        <v>0.37841999999999998</v>
      </c>
      <c r="T363">
        <v>761</v>
      </c>
      <c r="U363">
        <f t="shared" si="80"/>
        <v>0.70450000000000002</v>
      </c>
      <c r="V363">
        <f t="shared" si="81"/>
        <v>0.49634</v>
      </c>
      <c r="W363">
        <f t="shared" si="82"/>
        <v>0.76219999999999999</v>
      </c>
      <c r="X363">
        <f t="shared" si="83"/>
        <v>0.5726</v>
      </c>
      <c r="Y363">
        <f t="shared" si="84"/>
        <v>0.81088000000000005</v>
      </c>
      <c r="Z363">
        <f t="shared" si="85"/>
        <v>0.76537999999999995</v>
      </c>
      <c r="AA363">
        <f t="shared" si="86"/>
        <v>0.84118000000000004</v>
      </c>
      <c r="AB363">
        <f t="shared" si="87"/>
        <v>0.74380000000000002</v>
      </c>
      <c r="AC363">
        <f t="shared" si="88"/>
        <v>0.85004000000000002</v>
      </c>
      <c r="AD363">
        <f t="shared" si="89"/>
        <v>0.84414</v>
      </c>
      <c r="AE363">
        <f t="shared" si="90"/>
        <v>0.85463999999999996</v>
      </c>
      <c r="AF363">
        <f t="shared" si="91"/>
        <v>0.87895999999999996</v>
      </c>
      <c r="AG363">
        <f t="shared" si="92"/>
        <v>0.73514000000000002</v>
      </c>
      <c r="AH363">
        <f t="shared" si="93"/>
        <v>0.70709999999999995</v>
      </c>
      <c r="AI363">
        <f t="shared" si="94"/>
        <v>0.68657999999999997</v>
      </c>
      <c r="AJ363">
        <f t="shared" si="95"/>
        <v>0.75683999999999996</v>
      </c>
      <c r="EC363">
        <v>761</v>
      </c>
      <c r="ED363">
        <v>0.70450000000000002</v>
      </c>
      <c r="EE363">
        <v>0.49634</v>
      </c>
      <c r="EF363">
        <v>0.76219999999999999</v>
      </c>
      <c r="EG363">
        <v>0.5726</v>
      </c>
      <c r="EH363">
        <v>0.81088000000000005</v>
      </c>
      <c r="EI363">
        <v>0.76537999999999995</v>
      </c>
      <c r="EJ363">
        <v>0.84118000000000004</v>
      </c>
      <c r="EK363">
        <v>0.74380000000000002</v>
      </c>
      <c r="EL363">
        <v>0.85004000000000002</v>
      </c>
      <c r="EM363">
        <v>0.84414</v>
      </c>
      <c r="EN363">
        <v>0.85463999999999996</v>
      </c>
      <c r="EO363">
        <v>0.87895999999999996</v>
      </c>
      <c r="EP363">
        <v>0.73514000000000002</v>
      </c>
      <c r="EQ363">
        <v>0.70709999999999995</v>
      </c>
      <c r="ER363">
        <v>0.68657999999999997</v>
      </c>
      <c r="ES363">
        <v>0.75683999999999996</v>
      </c>
    </row>
    <row r="364" spans="1:149" x14ac:dyDescent="0.35">
      <c r="A364" s="77"/>
      <c r="B364" s="77">
        <v>762</v>
      </c>
      <c r="C364" s="77">
        <v>0.35143999999999997</v>
      </c>
      <c r="D364" s="77">
        <v>0.24757000000000001</v>
      </c>
      <c r="E364" s="77">
        <v>0.38028000000000001</v>
      </c>
      <c r="F364" s="77">
        <v>0.28560999999999998</v>
      </c>
      <c r="G364" s="77">
        <v>0.40490999999999999</v>
      </c>
      <c r="H364" s="77">
        <v>0.38224999999999998</v>
      </c>
      <c r="I364" s="77">
        <v>0.42014000000000001</v>
      </c>
      <c r="J364" s="77">
        <v>0.37143999999999999</v>
      </c>
      <c r="K364" s="77">
        <v>0.42464000000000002</v>
      </c>
      <c r="L364" s="77">
        <v>0.42159000000000002</v>
      </c>
      <c r="M364" s="77">
        <v>0.42682999999999999</v>
      </c>
      <c r="N364" s="77">
        <v>0.43902999999999998</v>
      </c>
      <c r="O364" s="77">
        <v>0.36703000000000002</v>
      </c>
      <c r="P364" s="77">
        <v>0.35305999999999998</v>
      </c>
      <c r="Q364" s="77">
        <v>0.34278999999999998</v>
      </c>
      <c r="R364" s="77">
        <v>0.37784000000000001</v>
      </c>
      <c r="T364">
        <v>762</v>
      </c>
      <c r="U364">
        <f t="shared" si="80"/>
        <v>0.70287999999999995</v>
      </c>
      <c r="V364">
        <f t="shared" si="81"/>
        <v>0.49514000000000002</v>
      </c>
      <c r="W364">
        <f t="shared" si="82"/>
        <v>0.76056000000000001</v>
      </c>
      <c r="X364">
        <f t="shared" si="83"/>
        <v>0.57121999999999995</v>
      </c>
      <c r="Y364">
        <f t="shared" si="84"/>
        <v>0.80981999999999998</v>
      </c>
      <c r="Z364">
        <f t="shared" si="85"/>
        <v>0.76449999999999996</v>
      </c>
      <c r="AA364">
        <f t="shared" si="86"/>
        <v>0.84028000000000003</v>
      </c>
      <c r="AB364">
        <f t="shared" si="87"/>
        <v>0.74287999999999998</v>
      </c>
      <c r="AC364">
        <f t="shared" si="88"/>
        <v>0.84928000000000003</v>
      </c>
      <c r="AD364">
        <f t="shared" si="89"/>
        <v>0.84318000000000004</v>
      </c>
      <c r="AE364">
        <f t="shared" si="90"/>
        <v>0.85365999999999997</v>
      </c>
      <c r="AF364">
        <f t="shared" si="91"/>
        <v>0.87805999999999995</v>
      </c>
      <c r="AG364">
        <f t="shared" si="92"/>
        <v>0.73406000000000005</v>
      </c>
      <c r="AH364">
        <f t="shared" si="93"/>
        <v>0.70611999999999997</v>
      </c>
      <c r="AI364">
        <f t="shared" si="94"/>
        <v>0.68557999999999997</v>
      </c>
      <c r="AJ364">
        <f t="shared" si="95"/>
        <v>0.75568000000000002</v>
      </c>
      <c r="EC364">
        <v>762</v>
      </c>
      <c r="ED364">
        <v>0.70287999999999995</v>
      </c>
      <c r="EE364">
        <v>0.49514000000000002</v>
      </c>
      <c r="EF364">
        <v>0.76056000000000001</v>
      </c>
      <c r="EG364">
        <v>0.57121999999999995</v>
      </c>
      <c r="EH364">
        <v>0.80981999999999998</v>
      </c>
      <c r="EI364">
        <v>0.76449999999999996</v>
      </c>
      <c r="EJ364">
        <v>0.84028000000000003</v>
      </c>
      <c r="EK364">
        <v>0.74287999999999998</v>
      </c>
      <c r="EL364">
        <v>0.84928000000000003</v>
      </c>
      <c r="EM364">
        <v>0.84318000000000004</v>
      </c>
      <c r="EN364">
        <v>0.85365999999999997</v>
      </c>
      <c r="EO364">
        <v>0.87805999999999995</v>
      </c>
      <c r="EP364">
        <v>0.73406000000000005</v>
      </c>
      <c r="EQ364">
        <v>0.70611999999999997</v>
      </c>
      <c r="ER364">
        <v>0.68557999999999997</v>
      </c>
      <c r="ES364">
        <v>0.75568000000000002</v>
      </c>
    </row>
    <row r="365" spans="1:149" x14ac:dyDescent="0.35">
      <c r="A365" s="77"/>
      <c r="B365" s="77">
        <v>763</v>
      </c>
      <c r="C365" s="77">
        <v>0.35061999999999999</v>
      </c>
      <c r="D365" s="77">
        <v>0.24704000000000001</v>
      </c>
      <c r="E365" s="77">
        <v>0.37939000000000001</v>
      </c>
      <c r="F365" s="77">
        <v>0.28495999999999999</v>
      </c>
      <c r="G365" s="77">
        <v>0.40433999999999998</v>
      </c>
      <c r="H365" s="77">
        <v>0.38168000000000002</v>
      </c>
      <c r="I365" s="77">
        <v>0.41965000000000002</v>
      </c>
      <c r="J365" s="77">
        <v>0.37091000000000002</v>
      </c>
      <c r="K365" s="77">
        <v>0.42405999999999999</v>
      </c>
      <c r="L365" s="77">
        <v>0.42108000000000001</v>
      </c>
      <c r="M365" s="77">
        <v>0.42624000000000001</v>
      </c>
      <c r="N365" s="77">
        <v>0.43847999999999998</v>
      </c>
      <c r="O365" s="77">
        <v>0.36653000000000002</v>
      </c>
      <c r="P365" s="77">
        <v>0.35256999999999999</v>
      </c>
      <c r="Q365" s="77">
        <v>0.34228999999999998</v>
      </c>
      <c r="R365" s="77">
        <v>0.37735000000000002</v>
      </c>
      <c r="T365">
        <v>763</v>
      </c>
      <c r="U365">
        <f t="shared" si="80"/>
        <v>0.70123999999999997</v>
      </c>
      <c r="V365">
        <f t="shared" si="81"/>
        <v>0.49408000000000002</v>
      </c>
      <c r="W365">
        <f t="shared" si="82"/>
        <v>0.75878000000000001</v>
      </c>
      <c r="X365">
        <f t="shared" si="83"/>
        <v>0.56991999999999998</v>
      </c>
      <c r="Y365">
        <f t="shared" si="84"/>
        <v>0.80867999999999995</v>
      </c>
      <c r="Z365">
        <f t="shared" si="85"/>
        <v>0.76336000000000004</v>
      </c>
      <c r="AA365">
        <f t="shared" si="86"/>
        <v>0.83930000000000005</v>
      </c>
      <c r="AB365">
        <f t="shared" si="87"/>
        <v>0.74182000000000003</v>
      </c>
      <c r="AC365">
        <f t="shared" si="88"/>
        <v>0.84811999999999999</v>
      </c>
      <c r="AD365">
        <f t="shared" si="89"/>
        <v>0.84216000000000002</v>
      </c>
      <c r="AE365">
        <f t="shared" si="90"/>
        <v>0.85248000000000002</v>
      </c>
      <c r="AF365">
        <f t="shared" si="91"/>
        <v>0.87695999999999996</v>
      </c>
      <c r="AG365">
        <f t="shared" si="92"/>
        <v>0.73306000000000004</v>
      </c>
      <c r="AH365">
        <f t="shared" si="93"/>
        <v>0.70513999999999999</v>
      </c>
      <c r="AI365">
        <f t="shared" si="94"/>
        <v>0.68457999999999997</v>
      </c>
      <c r="AJ365">
        <f t="shared" si="95"/>
        <v>0.75470000000000004</v>
      </c>
      <c r="EC365">
        <v>763</v>
      </c>
      <c r="ED365">
        <v>0.70123999999999997</v>
      </c>
      <c r="EE365">
        <v>0.49408000000000002</v>
      </c>
      <c r="EF365">
        <v>0.75878000000000001</v>
      </c>
      <c r="EG365">
        <v>0.56991999999999998</v>
      </c>
      <c r="EH365">
        <v>0.80867999999999995</v>
      </c>
      <c r="EI365">
        <v>0.76336000000000004</v>
      </c>
      <c r="EJ365">
        <v>0.83930000000000005</v>
      </c>
      <c r="EK365">
        <v>0.74182000000000003</v>
      </c>
      <c r="EL365">
        <v>0.84811999999999999</v>
      </c>
      <c r="EM365">
        <v>0.84216000000000002</v>
      </c>
      <c r="EN365">
        <v>0.85248000000000002</v>
      </c>
      <c r="EO365">
        <v>0.87695999999999996</v>
      </c>
      <c r="EP365">
        <v>0.73306000000000004</v>
      </c>
      <c r="EQ365">
        <v>0.70513999999999999</v>
      </c>
      <c r="ER365">
        <v>0.68457999999999997</v>
      </c>
      <c r="ES365">
        <v>0.75470000000000004</v>
      </c>
    </row>
    <row r="366" spans="1:149" x14ac:dyDescent="0.35">
      <c r="A366" s="77"/>
      <c r="B366" s="77">
        <v>764</v>
      </c>
      <c r="C366" s="77">
        <v>0.34988000000000002</v>
      </c>
      <c r="D366" s="77">
        <v>0.24640999999999999</v>
      </c>
      <c r="E366" s="77">
        <v>0.37857000000000002</v>
      </c>
      <c r="F366" s="77">
        <v>0.28427000000000002</v>
      </c>
      <c r="G366" s="77">
        <v>0.40377999999999997</v>
      </c>
      <c r="H366" s="77">
        <v>0.38116</v>
      </c>
      <c r="I366" s="77">
        <v>0.41914000000000001</v>
      </c>
      <c r="J366" s="77">
        <v>0.37035000000000001</v>
      </c>
      <c r="K366" s="77">
        <v>0.42354999999999998</v>
      </c>
      <c r="L366" s="77">
        <v>0.42058000000000001</v>
      </c>
      <c r="M366" s="77">
        <v>0.42566999999999999</v>
      </c>
      <c r="N366" s="77">
        <v>0.43790000000000001</v>
      </c>
      <c r="O366" s="77">
        <v>0.36603999999999998</v>
      </c>
      <c r="P366" s="77">
        <v>0.35215999999999997</v>
      </c>
      <c r="Q366" s="77">
        <v>0.34177999999999997</v>
      </c>
      <c r="R366" s="77">
        <v>0.37674999999999997</v>
      </c>
      <c r="T366">
        <v>764</v>
      </c>
      <c r="U366">
        <f t="shared" si="80"/>
        <v>0.69976000000000005</v>
      </c>
      <c r="V366">
        <f t="shared" si="81"/>
        <v>0.49281999999999998</v>
      </c>
      <c r="W366">
        <f t="shared" si="82"/>
        <v>0.75714000000000004</v>
      </c>
      <c r="X366">
        <f t="shared" si="83"/>
        <v>0.56854000000000005</v>
      </c>
      <c r="Y366">
        <f t="shared" si="84"/>
        <v>0.80755999999999994</v>
      </c>
      <c r="Z366">
        <f t="shared" si="85"/>
        <v>0.76232</v>
      </c>
      <c r="AA366">
        <f t="shared" si="86"/>
        <v>0.83828000000000003</v>
      </c>
      <c r="AB366">
        <f t="shared" si="87"/>
        <v>0.74070000000000003</v>
      </c>
      <c r="AC366">
        <f t="shared" si="88"/>
        <v>0.84709999999999996</v>
      </c>
      <c r="AD366">
        <f t="shared" si="89"/>
        <v>0.84116000000000002</v>
      </c>
      <c r="AE366">
        <f t="shared" si="90"/>
        <v>0.85133999999999999</v>
      </c>
      <c r="AF366">
        <f t="shared" si="91"/>
        <v>0.87580000000000002</v>
      </c>
      <c r="AG366">
        <f t="shared" si="92"/>
        <v>0.73207999999999995</v>
      </c>
      <c r="AH366">
        <f t="shared" si="93"/>
        <v>0.70431999999999995</v>
      </c>
      <c r="AI366">
        <f t="shared" si="94"/>
        <v>0.68355999999999995</v>
      </c>
      <c r="AJ366">
        <f t="shared" si="95"/>
        <v>0.75349999999999995</v>
      </c>
      <c r="EC366">
        <v>764</v>
      </c>
      <c r="ED366">
        <v>0.69976000000000005</v>
      </c>
      <c r="EE366">
        <v>0.49281999999999998</v>
      </c>
      <c r="EF366">
        <v>0.75714000000000004</v>
      </c>
      <c r="EG366">
        <v>0.56854000000000005</v>
      </c>
      <c r="EH366">
        <v>0.80755999999999994</v>
      </c>
      <c r="EI366">
        <v>0.76232</v>
      </c>
      <c r="EJ366">
        <v>0.83828000000000003</v>
      </c>
      <c r="EK366">
        <v>0.74070000000000003</v>
      </c>
      <c r="EL366">
        <v>0.84709999999999996</v>
      </c>
      <c r="EM366">
        <v>0.84116000000000002</v>
      </c>
      <c r="EN366">
        <v>0.85133999999999999</v>
      </c>
      <c r="EO366">
        <v>0.87580000000000002</v>
      </c>
      <c r="EP366">
        <v>0.73207999999999995</v>
      </c>
      <c r="EQ366">
        <v>0.70431999999999995</v>
      </c>
      <c r="ER366">
        <v>0.68355999999999995</v>
      </c>
      <c r="ES366">
        <v>0.75349999999999995</v>
      </c>
    </row>
    <row r="367" spans="1:149" x14ac:dyDescent="0.35">
      <c r="A367" s="77"/>
      <c r="B367" s="77">
        <v>765</v>
      </c>
      <c r="C367" s="77">
        <v>0.34910999999999998</v>
      </c>
      <c r="D367" s="77">
        <v>0.24582999999999999</v>
      </c>
      <c r="E367" s="77">
        <v>0.37767000000000001</v>
      </c>
      <c r="F367" s="77">
        <v>0.28356999999999999</v>
      </c>
      <c r="G367" s="77">
        <v>0.40331</v>
      </c>
      <c r="H367" s="77">
        <v>0.38066</v>
      </c>
      <c r="I367" s="77">
        <v>0.41869000000000001</v>
      </c>
      <c r="J367" s="77">
        <v>0.36992000000000003</v>
      </c>
      <c r="K367" s="77">
        <v>0.42298999999999998</v>
      </c>
      <c r="L367" s="77">
        <v>0.42009000000000002</v>
      </c>
      <c r="M367" s="77">
        <v>0.42508000000000001</v>
      </c>
      <c r="N367" s="77">
        <v>0.43736000000000003</v>
      </c>
      <c r="O367" s="77">
        <v>0.36551</v>
      </c>
      <c r="P367" s="77">
        <v>0.35164000000000001</v>
      </c>
      <c r="Q367" s="77">
        <v>0.34126000000000001</v>
      </c>
      <c r="R367" s="77">
        <v>0.37626999999999999</v>
      </c>
      <c r="T367">
        <v>765</v>
      </c>
      <c r="U367">
        <f t="shared" si="80"/>
        <v>0.69821999999999995</v>
      </c>
      <c r="V367">
        <f t="shared" si="81"/>
        <v>0.49165999999999999</v>
      </c>
      <c r="W367">
        <f t="shared" si="82"/>
        <v>0.75534000000000001</v>
      </c>
      <c r="X367">
        <f t="shared" si="83"/>
        <v>0.56713999999999998</v>
      </c>
      <c r="Y367">
        <f t="shared" si="84"/>
        <v>0.80662</v>
      </c>
      <c r="Z367">
        <f t="shared" si="85"/>
        <v>0.76132</v>
      </c>
      <c r="AA367">
        <f t="shared" si="86"/>
        <v>0.83738000000000001</v>
      </c>
      <c r="AB367">
        <f t="shared" si="87"/>
        <v>0.73984000000000005</v>
      </c>
      <c r="AC367">
        <f t="shared" si="88"/>
        <v>0.84597999999999995</v>
      </c>
      <c r="AD367">
        <f t="shared" si="89"/>
        <v>0.84018000000000004</v>
      </c>
      <c r="AE367">
        <f t="shared" si="90"/>
        <v>0.85016000000000003</v>
      </c>
      <c r="AF367">
        <f t="shared" si="91"/>
        <v>0.87472000000000005</v>
      </c>
      <c r="AG367">
        <f t="shared" si="92"/>
        <v>0.73102</v>
      </c>
      <c r="AH367">
        <f t="shared" si="93"/>
        <v>0.70328000000000002</v>
      </c>
      <c r="AI367">
        <f t="shared" si="94"/>
        <v>0.68252000000000002</v>
      </c>
      <c r="AJ367">
        <f t="shared" si="95"/>
        <v>0.75253999999999999</v>
      </c>
      <c r="EC367">
        <v>765</v>
      </c>
      <c r="ED367">
        <v>0.69821999999999995</v>
      </c>
      <c r="EE367">
        <v>0.49165999999999999</v>
      </c>
      <c r="EF367">
        <v>0.75534000000000001</v>
      </c>
      <c r="EG367">
        <v>0.56713999999999998</v>
      </c>
      <c r="EH367">
        <v>0.80662</v>
      </c>
      <c r="EI367">
        <v>0.76132</v>
      </c>
      <c r="EJ367">
        <v>0.83738000000000001</v>
      </c>
      <c r="EK367">
        <v>0.73984000000000005</v>
      </c>
      <c r="EL367">
        <v>0.84597999999999995</v>
      </c>
      <c r="EM367">
        <v>0.84018000000000004</v>
      </c>
      <c r="EN367">
        <v>0.85016000000000003</v>
      </c>
      <c r="EO367">
        <v>0.87472000000000005</v>
      </c>
      <c r="EP367">
        <v>0.73102</v>
      </c>
      <c r="EQ367">
        <v>0.70328000000000002</v>
      </c>
      <c r="ER367">
        <v>0.68252000000000002</v>
      </c>
      <c r="ES367">
        <v>0.75253999999999999</v>
      </c>
    </row>
    <row r="368" spans="1:149" x14ac:dyDescent="0.35">
      <c r="A368" s="77"/>
      <c r="B368" s="77">
        <v>766</v>
      </c>
      <c r="C368" s="77">
        <v>0.34836</v>
      </c>
      <c r="D368" s="77">
        <v>0.24525</v>
      </c>
      <c r="E368" s="77">
        <v>0.37683</v>
      </c>
      <c r="F368" s="77">
        <v>0.28294000000000002</v>
      </c>
      <c r="G368" s="77">
        <v>0.40277000000000002</v>
      </c>
      <c r="H368" s="77">
        <v>0.38018999999999997</v>
      </c>
      <c r="I368" s="77">
        <v>0.41826000000000002</v>
      </c>
      <c r="J368" s="77">
        <v>0.36951000000000001</v>
      </c>
      <c r="K368" s="77">
        <v>0.42252000000000001</v>
      </c>
      <c r="L368" s="77">
        <v>0.41971000000000003</v>
      </c>
      <c r="M368" s="77">
        <v>0.42460999999999999</v>
      </c>
      <c r="N368" s="77">
        <v>0.43686000000000003</v>
      </c>
      <c r="O368" s="77">
        <v>0.36501</v>
      </c>
      <c r="P368" s="77">
        <v>0.35120000000000001</v>
      </c>
      <c r="Q368" s="77">
        <v>0.34082000000000001</v>
      </c>
      <c r="R368" s="77">
        <v>0.37579000000000001</v>
      </c>
      <c r="T368">
        <v>766</v>
      </c>
      <c r="U368">
        <f t="shared" si="80"/>
        <v>0.69672000000000001</v>
      </c>
      <c r="V368">
        <f t="shared" si="81"/>
        <v>0.49049999999999999</v>
      </c>
      <c r="W368">
        <f t="shared" si="82"/>
        <v>0.75366</v>
      </c>
      <c r="X368">
        <f t="shared" si="83"/>
        <v>0.56588000000000005</v>
      </c>
      <c r="Y368">
        <f t="shared" si="84"/>
        <v>0.80554000000000003</v>
      </c>
      <c r="Z368">
        <f t="shared" si="85"/>
        <v>0.76037999999999994</v>
      </c>
      <c r="AA368">
        <f t="shared" si="86"/>
        <v>0.83652000000000004</v>
      </c>
      <c r="AB368">
        <f t="shared" si="87"/>
        <v>0.73902000000000001</v>
      </c>
      <c r="AC368">
        <f t="shared" si="88"/>
        <v>0.84504000000000001</v>
      </c>
      <c r="AD368">
        <f t="shared" si="89"/>
        <v>0.83942000000000005</v>
      </c>
      <c r="AE368">
        <f t="shared" si="90"/>
        <v>0.84921999999999997</v>
      </c>
      <c r="AF368">
        <f t="shared" si="91"/>
        <v>0.87372000000000005</v>
      </c>
      <c r="AG368">
        <f t="shared" si="92"/>
        <v>0.73002</v>
      </c>
      <c r="AH368">
        <f t="shared" si="93"/>
        <v>0.70240000000000002</v>
      </c>
      <c r="AI368">
        <f t="shared" si="94"/>
        <v>0.68164000000000002</v>
      </c>
      <c r="AJ368">
        <f t="shared" si="95"/>
        <v>0.75158000000000003</v>
      </c>
      <c r="EC368">
        <v>766</v>
      </c>
      <c r="ED368">
        <v>0.69672000000000001</v>
      </c>
      <c r="EE368">
        <v>0.49049999999999999</v>
      </c>
      <c r="EF368">
        <v>0.75366</v>
      </c>
      <c r="EG368">
        <v>0.56588000000000005</v>
      </c>
      <c r="EH368">
        <v>0.80554000000000003</v>
      </c>
      <c r="EI368">
        <v>0.76037999999999994</v>
      </c>
      <c r="EJ368">
        <v>0.83652000000000004</v>
      </c>
      <c r="EK368">
        <v>0.73902000000000001</v>
      </c>
      <c r="EL368">
        <v>0.84504000000000001</v>
      </c>
      <c r="EM368">
        <v>0.83942000000000005</v>
      </c>
      <c r="EN368">
        <v>0.84921999999999997</v>
      </c>
      <c r="EO368">
        <v>0.87372000000000005</v>
      </c>
      <c r="EP368">
        <v>0.73002</v>
      </c>
      <c r="EQ368">
        <v>0.70240000000000002</v>
      </c>
      <c r="ER368">
        <v>0.68164000000000002</v>
      </c>
      <c r="ES368">
        <v>0.75158000000000003</v>
      </c>
    </row>
    <row r="369" spans="1:149" x14ac:dyDescent="0.35">
      <c r="A369" s="77"/>
      <c r="B369" s="77">
        <v>767</v>
      </c>
      <c r="C369" s="77">
        <v>0.34755000000000003</v>
      </c>
      <c r="D369" s="77">
        <v>0.24460999999999999</v>
      </c>
      <c r="E369" s="77">
        <v>0.37605</v>
      </c>
      <c r="F369" s="77">
        <v>0.28223999999999999</v>
      </c>
      <c r="G369" s="77">
        <v>0.40223999999999999</v>
      </c>
      <c r="H369" s="77">
        <v>0.37967000000000001</v>
      </c>
      <c r="I369" s="77">
        <v>0.4178</v>
      </c>
      <c r="J369" s="77">
        <v>0.36904999999999999</v>
      </c>
      <c r="K369" s="77">
        <v>0.42199999999999999</v>
      </c>
      <c r="L369" s="77">
        <v>0.41915999999999998</v>
      </c>
      <c r="M369" s="77">
        <v>0.42399999999999999</v>
      </c>
      <c r="N369" s="77">
        <v>0.43629000000000001</v>
      </c>
      <c r="O369" s="77">
        <v>0.36456</v>
      </c>
      <c r="P369" s="77">
        <v>0.35067999999999999</v>
      </c>
      <c r="Q369" s="77">
        <v>0.34028999999999998</v>
      </c>
      <c r="R369" s="77">
        <v>0.37525999999999998</v>
      </c>
      <c r="T369">
        <v>767</v>
      </c>
      <c r="U369">
        <f t="shared" si="80"/>
        <v>0.69510000000000005</v>
      </c>
      <c r="V369">
        <f t="shared" si="81"/>
        <v>0.48921999999999999</v>
      </c>
      <c r="W369">
        <f t="shared" si="82"/>
        <v>0.75209999999999999</v>
      </c>
      <c r="X369">
        <f t="shared" si="83"/>
        <v>0.56447999999999998</v>
      </c>
      <c r="Y369">
        <f t="shared" si="84"/>
        <v>0.80447999999999997</v>
      </c>
      <c r="Z369">
        <f t="shared" si="85"/>
        <v>0.75934000000000001</v>
      </c>
      <c r="AA369">
        <f t="shared" si="86"/>
        <v>0.83560000000000001</v>
      </c>
      <c r="AB369">
        <f t="shared" si="87"/>
        <v>0.73809999999999998</v>
      </c>
      <c r="AC369">
        <f t="shared" si="88"/>
        <v>0.84399999999999997</v>
      </c>
      <c r="AD369">
        <f t="shared" si="89"/>
        <v>0.83831999999999995</v>
      </c>
      <c r="AE369">
        <f t="shared" si="90"/>
        <v>0.84799999999999998</v>
      </c>
      <c r="AF369">
        <f t="shared" si="91"/>
        <v>0.87258000000000002</v>
      </c>
      <c r="AG369">
        <f t="shared" si="92"/>
        <v>0.72911999999999999</v>
      </c>
      <c r="AH369">
        <f t="shared" si="93"/>
        <v>0.70135999999999998</v>
      </c>
      <c r="AI369">
        <f t="shared" si="94"/>
        <v>0.68057999999999996</v>
      </c>
      <c r="AJ369">
        <f t="shared" si="95"/>
        <v>0.75051999999999996</v>
      </c>
      <c r="EC369">
        <v>767</v>
      </c>
      <c r="ED369">
        <v>0.69510000000000005</v>
      </c>
      <c r="EE369">
        <v>0.48921999999999999</v>
      </c>
      <c r="EF369">
        <v>0.75209999999999999</v>
      </c>
      <c r="EG369">
        <v>0.56447999999999998</v>
      </c>
      <c r="EH369">
        <v>0.80447999999999997</v>
      </c>
      <c r="EI369">
        <v>0.75934000000000001</v>
      </c>
      <c r="EJ369">
        <v>0.83560000000000001</v>
      </c>
      <c r="EK369">
        <v>0.73809999999999998</v>
      </c>
      <c r="EL369">
        <v>0.84399999999999997</v>
      </c>
      <c r="EM369">
        <v>0.83831999999999995</v>
      </c>
      <c r="EN369">
        <v>0.84799999999999998</v>
      </c>
      <c r="EO369">
        <v>0.87258000000000002</v>
      </c>
      <c r="EP369">
        <v>0.72911999999999999</v>
      </c>
      <c r="EQ369">
        <v>0.70135999999999998</v>
      </c>
      <c r="ER369">
        <v>0.68057999999999996</v>
      </c>
      <c r="ES369">
        <v>0.75051999999999996</v>
      </c>
    </row>
    <row r="370" spans="1:149" x14ac:dyDescent="0.35">
      <c r="A370" s="77"/>
      <c r="B370" s="77">
        <v>768</v>
      </c>
      <c r="C370" s="77">
        <v>0.34683000000000003</v>
      </c>
      <c r="D370" s="77">
        <v>0.24407999999999999</v>
      </c>
      <c r="E370" s="77">
        <v>0.37526999999999999</v>
      </c>
      <c r="F370" s="77">
        <v>0.28159000000000001</v>
      </c>
      <c r="G370" s="77">
        <v>0.40172000000000002</v>
      </c>
      <c r="H370" s="77">
        <v>0.37918000000000002</v>
      </c>
      <c r="I370" s="77">
        <v>0.41726999999999997</v>
      </c>
      <c r="J370" s="77">
        <v>0.36853000000000002</v>
      </c>
      <c r="K370" s="77">
        <v>0.42142000000000002</v>
      </c>
      <c r="L370" s="77">
        <v>0.41869000000000001</v>
      </c>
      <c r="M370" s="77">
        <v>0.42344999999999999</v>
      </c>
      <c r="N370" s="77">
        <v>0.43573000000000001</v>
      </c>
      <c r="O370" s="77">
        <v>0.36409000000000002</v>
      </c>
      <c r="P370" s="77">
        <v>0.35031000000000001</v>
      </c>
      <c r="Q370" s="77">
        <v>0.33989000000000003</v>
      </c>
      <c r="R370" s="77">
        <v>0.37474000000000002</v>
      </c>
      <c r="T370">
        <v>768</v>
      </c>
      <c r="U370">
        <f t="shared" si="80"/>
        <v>0.69366000000000005</v>
      </c>
      <c r="V370">
        <f t="shared" si="81"/>
        <v>0.48815999999999998</v>
      </c>
      <c r="W370">
        <f t="shared" si="82"/>
        <v>0.75053999999999998</v>
      </c>
      <c r="X370">
        <f t="shared" si="83"/>
        <v>0.56318000000000001</v>
      </c>
      <c r="Y370">
        <f t="shared" si="84"/>
        <v>0.80344000000000004</v>
      </c>
      <c r="Z370">
        <f t="shared" si="85"/>
        <v>0.75836000000000003</v>
      </c>
      <c r="AA370">
        <f t="shared" si="86"/>
        <v>0.83453999999999995</v>
      </c>
      <c r="AB370">
        <f t="shared" si="87"/>
        <v>0.73706000000000005</v>
      </c>
      <c r="AC370">
        <f t="shared" si="88"/>
        <v>0.84284000000000003</v>
      </c>
      <c r="AD370">
        <f t="shared" si="89"/>
        <v>0.83738000000000001</v>
      </c>
      <c r="AE370">
        <f t="shared" si="90"/>
        <v>0.84689999999999999</v>
      </c>
      <c r="AF370">
        <f t="shared" si="91"/>
        <v>0.87146000000000001</v>
      </c>
      <c r="AG370">
        <f t="shared" si="92"/>
        <v>0.72818000000000005</v>
      </c>
      <c r="AH370">
        <f t="shared" si="93"/>
        <v>0.70062000000000002</v>
      </c>
      <c r="AI370">
        <f t="shared" si="94"/>
        <v>0.67978000000000005</v>
      </c>
      <c r="AJ370">
        <f t="shared" si="95"/>
        <v>0.74948000000000004</v>
      </c>
      <c r="EC370">
        <v>768</v>
      </c>
      <c r="ED370">
        <v>0.69366000000000005</v>
      </c>
      <c r="EE370">
        <v>0.48815999999999998</v>
      </c>
      <c r="EF370">
        <v>0.75053999999999998</v>
      </c>
      <c r="EG370">
        <v>0.56318000000000001</v>
      </c>
      <c r="EH370">
        <v>0.80344000000000004</v>
      </c>
      <c r="EI370">
        <v>0.75836000000000003</v>
      </c>
      <c r="EJ370">
        <v>0.83453999999999995</v>
      </c>
      <c r="EK370">
        <v>0.73706000000000005</v>
      </c>
      <c r="EL370">
        <v>0.84284000000000003</v>
      </c>
      <c r="EM370">
        <v>0.83738000000000001</v>
      </c>
      <c r="EN370">
        <v>0.84689999999999999</v>
      </c>
      <c r="EO370">
        <v>0.87146000000000001</v>
      </c>
      <c r="EP370">
        <v>0.72818000000000005</v>
      </c>
      <c r="EQ370">
        <v>0.70062000000000002</v>
      </c>
      <c r="ER370">
        <v>0.67978000000000005</v>
      </c>
      <c r="ES370">
        <v>0.74948000000000004</v>
      </c>
    </row>
    <row r="371" spans="1:149" x14ac:dyDescent="0.35">
      <c r="A371" s="77"/>
      <c r="B371" s="77">
        <v>769</v>
      </c>
      <c r="C371" s="77">
        <v>0.34610000000000002</v>
      </c>
      <c r="D371" s="77">
        <v>0.24356</v>
      </c>
      <c r="E371" s="77">
        <v>0.37452999999999997</v>
      </c>
      <c r="F371" s="77">
        <v>0.28100999999999998</v>
      </c>
      <c r="G371" s="77">
        <v>0.40125</v>
      </c>
      <c r="H371" s="77">
        <v>0.37870999999999999</v>
      </c>
      <c r="I371" s="77">
        <v>0.41682000000000002</v>
      </c>
      <c r="J371" s="77">
        <v>0.36812</v>
      </c>
      <c r="K371" s="77">
        <v>0.42093999999999998</v>
      </c>
      <c r="L371" s="77">
        <v>0.41818</v>
      </c>
      <c r="M371" s="77">
        <v>0.42283999999999999</v>
      </c>
      <c r="N371" s="77">
        <v>0.43519999999999998</v>
      </c>
      <c r="O371" s="77">
        <v>0.36362</v>
      </c>
      <c r="P371" s="77">
        <v>0.34982000000000002</v>
      </c>
      <c r="Q371" s="77">
        <v>0.33933999999999997</v>
      </c>
      <c r="R371" s="77">
        <v>0.37419000000000002</v>
      </c>
      <c r="T371">
        <v>769</v>
      </c>
      <c r="U371">
        <f t="shared" si="80"/>
        <v>0.69220000000000004</v>
      </c>
      <c r="V371">
        <f t="shared" si="81"/>
        <v>0.48712</v>
      </c>
      <c r="W371">
        <f t="shared" si="82"/>
        <v>0.74905999999999995</v>
      </c>
      <c r="X371">
        <f t="shared" si="83"/>
        <v>0.56201999999999996</v>
      </c>
      <c r="Y371">
        <f t="shared" si="84"/>
        <v>0.80249999999999999</v>
      </c>
      <c r="Z371">
        <f t="shared" si="85"/>
        <v>0.75741999999999998</v>
      </c>
      <c r="AA371">
        <f t="shared" si="86"/>
        <v>0.83364000000000005</v>
      </c>
      <c r="AB371">
        <f t="shared" si="87"/>
        <v>0.73624000000000001</v>
      </c>
      <c r="AC371">
        <f t="shared" si="88"/>
        <v>0.84187999999999996</v>
      </c>
      <c r="AD371">
        <f t="shared" si="89"/>
        <v>0.83635999999999999</v>
      </c>
      <c r="AE371">
        <f t="shared" si="90"/>
        <v>0.84567999999999999</v>
      </c>
      <c r="AF371">
        <f t="shared" si="91"/>
        <v>0.87039999999999995</v>
      </c>
      <c r="AG371">
        <f t="shared" si="92"/>
        <v>0.72724</v>
      </c>
      <c r="AH371">
        <f t="shared" si="93"/>
        <v>0.69964000000000004</v>
      </c>
      <c r="AI371">
        <f t="shared" si="94"/>
        <v>0.67867999999999995</v>
      </c>
      <c r="AJ371">
        <f t="shared" si="95"/>
        <v>0.74838000000000005</v>
      </c>
      <c r="EC371">
        <v>769</v>
      </c>
      <c r="ED371">
        <v>0.69220000000000004</v>
      </c>
      <c r="EE371">
        <v>0.48712</v>
      </c>
      <c r="EF371">
        <v>0.74905999999999995</v>
      </c>
      <c r="EG371">
        <v>0.56201999999999996</v>
      </c>
      <c r="EH371">
        <v>0.80249999999999999</v>
      </c>
      <c r="EI371">
        <v>0.75741999999999998</v>
      </c>
      <c r="EJ371">
        <v>0.83364000000000005</v>
      </c>
      <c r="EK371">
        <v>0.73624000000000001</v>
      </c>
      <c r="EL371">
        <v>0.84187999999999996</v>
      </c>
      <c r="EM371">
        <v>0.83635999999999999</v>
      </c>
      <c r="EN371">
        <v>0.84567999999999999</v>
      </c>
      <c r="EO371">
        <v>0.87039999999999995</v>
      </c>
      <c r="EP371">
        <v>0.72724</v>
      </c>
      <c r="EQ371">
        <v>0.69964000000000004</v>
      </c>
      <c r="ER371">
        <v>0.67867999999999995</v>
      </c>
      <c r="ES371">
        <v>0.74838000000000005</v>
      </c>
    </row>
    <row r="372" spans="1:149" x14ac:dyDescent="0.35">
      <c r="A372" s="77"/>
      <c r="B372" s="77">
        <v>770</v>
      </c>
      <c r="C372" s="77">
        <v>0.34543000000000001</v>
      </c>
      <c r="D372" s="77">
        <v>0.24301</v>
      </c>
      <c r="E372" s="77">
        <v>0.37373000000000001</v>
      </c>
      <c r="F372" s="77">
        <v>0.28038000000000002</v>
      </c>
      <c r="G372" s="77">
        <v>0.4007</v>
      </c>
      <c r="H372" s="77">
        <v>0.37817000000000001</v>
      </c>
      <c r="I372" s="77">
        <v>0.41637000000000002</v>
      </c>
      <c r="J372" s="77">
        <v>0.36764999999999998</v>
      </c>
      <c r="K372" s="77">
        <v>0.42043000000000003</v>
      </c>
      <c r="L372" s="77">
        <v>0.41768</v>
      </c>
      <c r="M372" s="77">
        <v>0.42238999999999999</v>
      </c>
      <c r="N372" s="77">
        <v>0.43463000000000002</v>
      </c>
      <c r="O372" s="77">
        <v>0.36310999999999999</v>
      </c>
      <c r="P372" s="77">
        <v>0.34939999999999999</v>
      </c>
      <c r="Q372" s="77">
        <v>0.33889999999999998</v>
      </c>
      <c r="R372" s="77">
        <v>0.37369000000000002</v>
      </c>
      <c r="T372">
        <v>770</v>
      </c>
      <c r="U372">
        <f t="shared" si="80"/>
        <v>0.69086000000000003</v>
      </c>
      <c r="V372">
        <f t="shared" si="81"/>
        <v>0.48602000000000001</v>
      </c>
      <c r="W372">
        <f t="shared" si="82"/>
        <v>0.74746000000000001</v>
      </c>
      <c r="X372">
        <f t="shared" si="83"/>
        <v>0.56076000000000004</v>
      </c>
      <c r="Y372">
        <f t="shared" si="84"/>
        <v>0.8014</v>
      </c>
      <c r="Z372">
        <f t="shared" si="85"/>
        <v>0.75634000000000001</v>
      </c>
      <c r="AA372">
        <f t="shared" si="86"/>
        <v>0.83274000000000004</v>
      </c>
      <c r="AB372">
        <f t="shared" si="87"/>
        <v>0.73529999999999995</v>
      </c>
      <c r="AC372">
        <f t="shared" si="88"/>
        <v>0.84086000000000005</v>
      </c>
      <c r="AD372">
        <f t="shared" si="89"/>
        <v>0.83535999999999999</v>
      </c>
      <c r="AE372">
        <f t="shared" si="90"/>
        <v>0.84477999999999998</v>
      </c>
      <c r="AF372">
        <f t="shared" si="91"/>
        <v>0.86926000000000003</v>
      </c>
      <c r="AG372">
        <f t="shared" si="92"/>
        <v>0.72621999999999998</v>
      </c>
      <c r="AH372">
        <f t="shared" si="93"/>
        <v>0.69879999999999998</v>
      </c>
      <c r="AI372">
        <f t="shared" si="94"/>
        <v>0.67779999999999996</v>
      </c>
      <c r="AJ372">
        <f t="shared" si="95"/>
        <v>0.74738000000000004</v>
      </c>
      <c r="EC372">
        <v>770</v>
      </c>
      <c r="ED372">
        <v>0.69086000000000003</v>
      </c>
      <c r="EE372">
        <v>0.48602000000000001</v>
      </c>
      <c r="EF372">
        <v>0.74746000000000001</v>
      </c>
      <c r="EG372">
        <v>0.56076000000000004</v>
      </c>
      <c r="EH372">
        <v>0.8014</v>
      </c>
      <c r="EI372">
        <v>0.75634000000000001</v>
      </c>
      <c r="EJ372">
        <v>0.83274000000000004</v>
      </c>
      <c r="EK372">
        <v>0.73529999999999995</v>
      </c>
      <c r="EL372">
        <v>0.84086000000000005</v>
      </c>
      <c r="EM372">
        <v>0.83535999999999999</v>
      </c>
      <c r="EN372">
        <v>0.84477999999999998</v>
      </c>
      <c r="EO372">
        <v>0.86926000000000003</v>
      </c>
      <c r="EP372">
        <v>0.72621999999999998</v>
      </c>
      <c r="EQ372">
        <v>0.69879999999999998</v>
      </c>
      <c r="ER372">
        <v>0.67779999999999996</v>
      </c>
      <c r="ES372">
        <v>0.74738000000000004</v>
      </c>
    </row>
    <row r="373" spans="1:149" x14ac:dyDescent="0.35">
      <c r="A373" s="77"/>
      <c r="B373" s="77">
        <v>771</v>
      </c>
      <c r="C373" s="77">
        <v>0.34467999999999999</v>
      </c>
      <c r="D373" s="77">
        <v>0.24248</v>
      </c>
      <c r="E373" s="77">
        <v>0.37293999999999999</v>
      </c>
      <c r="F373" s="77">
        <v>0.27972000000000002</v>
      </c>
      <c r="G373" s="77">
        <v>0.40015000000000001</v>
      </c>
      <c r="H373" s="77">
        <v>0.37774999999999997</v>
      </c>
      <c r="I373" s="77">
        <v>0.41586000000000001</v>
      </c>
      <c r="J373" s="77">
        <v>0.36719000000000002</v>
      </c>
      <c r="K373" s="77">
        <v>0.41988999999999999</v>
      </c>
      <c r="L373" s="77">
        <v>0.41719000000000001</v>
      </c>
      <c r="M373" s="77">
        <v>0.42188999999999999</v>
      </c>
      <c r="N373" s="77">
        <v>0.43413000000000002</v>
      </c>
      <c r="O373" s="77">
        <v>0.36269000000000001</v>
      </c>
      <c r="P373" s="77">
        <v>0.34898000000000001</v>
      </c>
      <c r="Q373" s="77">
        <v>0.33845999999999998</v>
      </c>
      <c r="R373" s="77">
        <v>0.37323000000000001</v>
      </c>
      <c r="T373">
        <v>771</v>
      </c>
      <c r="U373">
        <f t="shared" si="80"/>
        <v>0.68935999999999997</v>
      </c>
      <c r="V373">
        <f t="shared" si="81"/>
        <v>0.48496</v>
      </c>
      <c r="W373">
        <f t="shared" si="82"/>
        <v>0.74587999999999999</v>
      </c>
      <c r="X373">
        <f t="shared" si="83"/>
        <v>0.55944000000000005</v>
      </c>
      <c r="Y373">
        <f t="shared" si="84"/>
        <v>0.80030000000000001</v>
      </c>
      <c r="Z373">
        <f t="shared" si="85"/>
        <v>0.75549999999999995</v>
      </c>
      <c r="AA373">
        <f t="shared" si="86"/>
        <v>0.83172000000000001</v>
      </c>
      <c r="AB373">
        <f t="shared" si="87"/>
        <v>0.73438000000000003</v>
      </c>
      <c r="AC373">
        <f t="shared" si="88"/>
        <v>0.83977999999999997</v>
      </c>
      <c r="AD373">
        <f t="shared" si="89"/>
        <v>0.83438000000000001</v>
      </c>
      <c r="AE373">
        <f t="shared" si="90"/>
        <v>0.84377999999999997</v>
      </c>
      <c r="AF373">
        <f t="shared" si="91"/>
        <v>0.86826000000000003</v>
      </c>
      <c r="AG373">
        <f t="shared" si="92"/>
        <v>0.72538000000000002</v>
      </c>
      <c r="AH373">
        <f t="shared" si="93"/>
        <v>0.69796000000000002</v>
      </c>
      <c r="AI373">
        <f t="shared" si="94"/>
        <v>0.67691999999999997</v>
      </c>
      <c r="AJ373">
        <f t="shared" si="95"/>
        <v>0.74646000000000001</v>
      </c>
      <c r="EC373">
        <v>771</v>
      </c>
      <c r="ED373">
        <v>0.68935999999999997</v>
      </c>
      <c r="EE373">
        <v>0.48496</v>
      </c>
      <c r="EF373">
        <v>0.74587999999999999</v>
      </c>
      <c r="EG373">
        <v>0.55944000000000005</v>
      </c>
      <c r="EH373">
        <v>0.80030000000000001</v>
      </c>
      <c r="EI373">
        <v>0.75549999999999995</v>
      </c>
      <c r="EJ373">
        <v>0.83172000000000001</v>
      </c>
      <c r="EK373">
        <v>0.73438000000000003</v>
      </c>
      <c r="EL373">
        <v>0.83977999999999997</v>
      </c>
      <c r="EM373">
        <v>0.83438000000000001</v>
      </c>
      <c r="EN373">
        <v>0.84377999999999997</v>
      </c>
      <c r="EO373">
        <v>0.86826000000000003</v>
      </c>
      <c r="EP373">
        <v>0.72538000000000002</v>
      </c>
      <c r="EQ373">
        <v>0.69796000000000002</v>
      </c>
      <c r="ER373">
        <v>0.67691999999999997</v>
      </c>
      <c r="ES373">
        <v>0.74646000000000001</v>
      </c>
    </row>
    <row r="374" spans="1:149" x14ac:dyDescent="0.35">
      <c r="A374" s="77"/>
      <c r="B374" s="77">
        <v>772</v>
      </c>
      <c r="C374" s="77">
        <v>0.34394999999999998</v>
      </c>
      <c r="D374" s="77">
        <v>0.24196000000000001</v>
      </c>
      <c r="E374" s="77">
        <v>0.37214999999999998</v>
      </c>
      <c r="F374" s="77">
        <v>0.27914</v>
      </c>
      <c r="G374" s="77">
        <v>0.39964</v>
      </c>
      <c r="H374" s="77">
        <v>0.37723000000000001</v>
      </c>
      <c r="I374" s="77">
        <v>0.41544999999999999</v>
      </c>
      <c r="J374" s="77">
        <v>0.36670000000000003</v>
      </c>
      <c r="K374" s="77">
        <v>0.41938999999999999</v>
      </c>
      <c r="L374" s="77">
        <v>0.41671999999999998</v>
      </c>
      <c r="M374" s="77">
        <v>0.42142000000000002</v>
      </c>
      <c r="N374" s="77">
        <v>0.43354999999999999</v>
      </c>
      <c r="O374" s="77">
        <v>0.36223</v>
      </c>
      <c r="P374" s="77">
        <v>0.34850999999999999</v>
      </c>
      <c r="Q374" s="77">
        <v>0.33804000000000001</v>
      </c>
      <c r="R374" s="77">
        <v>0.37275999999999998</v>
      </c>
      <c r="T374">
        <v>772</v>
      </c>
      <c r="U374">
        <f t="shared" si="80"/>
        <v>0.68789999999999996</v>
      </c>
      <c r="V374">
        <f t="shared" si="81"/>
        <v>0.48392000000000002</v>
      </c>
      <c r="W374">
        <f t="shared" si="82"/>
        <v>0.74429999999999996</v>
      </c>
      <c r="X374">
        <f t="shared" si="83"/>
        <v>0.55828</v>
      </c>
      <c r="Y374">
        <f t="shared" si="84"/>
        <v>0.79927999999999999</v>
      </c>
      <c r="Z374">
        <f t="shared" si="85"/>
        <v>0.75446000000000002</v>
      </c>
      <c r="AA374">
        <f t="shared" si="86"/>
        <v>0.83089999999999997</v>
      </c>
      <c r="AB374">
        <f t="shared" si="87"/>
        <v>0.73340000000000005</v>
      </c>
      <c r="AC374">
        <f t="shared" si="88"/>
        <v>0.83877999999999997</v>
      </c>
      <c r="AD374">
        <f t="shared" si="89"/>
        <v>0.83343999999999996</v>
      </c>
      <c r="AE374">
        <f t="shared" si="90"/>
        <v>0.84284000000000003</v>
      </c>
      <c r="AF374">
        <f t="shared" si="91"/>
        <v>0.86709999999999998</v>
      </c>
      <c r="AG374">
        <f t="shared" si="92"/>
        <v>0.72445999999999999</v>
      </c>
      <c r="AH374">
        <f t="shared" si="93"/>
        <v>0.69701999999999997</v>
      </c>
      <c r="AI374">
        <f t="shared" si="94"/>
        <v>0.67608000000000001</v>
      </c>
      <c r="AJ374">
        <f t="shared" si="95"/>
        <v>0.74551999999999996</v>
      </c>
      <c r="EC374">
        <v>772</v>
      </c>
      <c r="ED374">
        <v>0.68789999999999996</v>
      </c>
      <c r="EE374">
        <v>0.48392000000000002</v>
      </c>
      <c r="EF374">
        <v>0.74429999999999996</v>
      </c>
      <c r="EG374">
        <v>0.55828</v>
      </c>
      <c r="EH374">
        <v>0.79927999999999999</v>
      </c>
      <c r="EI374">
        <v>0.75446000000000002</v>
      </c>
      <c r="EJ374">
        <v>0.83089999999999997</v>
      </c>
      <c r="EK374">
        <v>0.73340000000000005</v>
      </c>
      <c r="EL374">
        <v>0.83877999999999997</v>
      </c>
      <c r="EM374">
        <v>0.83343999999999996</v>
      </c>
      <c r="EN374">
        <v>0.84284000000000003</v>
      </c>
      <c r="EO374">
        <v>0.86709999999999998</v>
      </c>
      <c r="EP374">
        <v>0.72445999999999999</v>
      </c>
      <c r="EQ374">
        <v>0.69701999999999997</v>
      </c>
      <c r="ER374">
        <v>0.67608000000000001</v>
      </c>
      <c r="ES374">
        <v>0.74551999999999996</v>
      </c>
    </row>
    <row r="375" spans="1:149" x14ac:dyDescent="0.35">
      <c r="A375" s="77"/>
      <c r="B375" s="77">
        <v>773</v>
      </c>
      <c r="C375" s="77">
        <v>0.34327999999999997</v>
      </c>
      <c r="D375" s="77">
        <v>0.24138000000000001</v>
      </c>
      <c r="E375" s="77">
        <v>0.37136999999999998</v>
      </c>
      <c r="F375" s="77">
        <v>0.27853</v>
      </c>
      <c r="G375" s="77">
        <v>0.39918999999999999</v>
      </c>
      <c r="H375" s="77">
        <v>0.37683</v>
      </c>
      <c r="I375" s="77">
        <v>0.41502</v>
      </c>
      <c r="J375" s="77">
        <v>0.36631999999999998</v>
      </c>
      <c r="K375" s="77">
        <v>0.41893000000000002</v>
      </c>
      <c r="L375" s="77">
        <v>0.41626000000000002</v>
      </c>
      <c r="M375" s="77">
        <v>0.42091000000000001</v>
      </c>
      <c r="N375" s="77">
        <v>0.43303000000000003</v>
      </c>
      <c r="O375" s="77">
        <v>0.36165999999999998</v>
      </c>
      <c r="P375" s="77">
        <v>0.34802</v>
      </c>
      <c r="Q375" s="77">
        <v>0.33756999999999998</v>
      </c>
      <c r="R375" s="77">
        <v>0.37230000000000002</v>
      </c>
      <c r="T375">
        <v>773</v>
      </c>
      <c r="U375">
        <f t="shared" si="80"/>
        <v>0.68655999999999995</v>
      </c>
      <c r="V375">
        <f t="shared" si="81"/>
        <v>0.48276000000000002</v>
      </c>
      <c r="W375">
        <f t="shared" si="82"/>
        <v>0.74273999999999996</v>
      </c>
      <c r="X375">
        <f t="shared" si="83"/>
        <v>0.55706</v>
      </c>
      <c r="Y375">
        <f t="shared" si="84"/>
        <v>0.79837999999999998</v>
      </c>
      <c r="Z375">
        <f t="shared" si="85"/>
        <v>0.75366</v>
      </c>
      <c r="AA375">
        <f t="shared" si="86"/>
        <v>0.83004</v>
      </c>
      <c r="AB375">
        <f t="shared" si="87"/>
        <v>0.73263999999999996</v>
      </c>
      <c r="AC375">
        <f t="shared" si="88"/>
        <v>0.83786000000000005</v>
      </c>
      <c r="AD375">
        <f t="shared" si="89"/>
        <v>0.83252000000000004</v>
      </c>
      <c r="AE375">
        <f t="shared" si="90"/>
        <v>0.84182000000000001</v>
      </c>
      <c r="AF375">
        <f t="shared" si="91"/>
        <v>0.86606000000000005</v>
      </c>
      <c r="AG375">
        <f t="shared" si="92"/>
        <v>0.72331999999999996</v>
      </c>
      <c r="AH375">
        <f t="shared" si="93"/>
        <v>0.69603999999999999</v>
      </c>
      <c r="AI375">
        <f t="shared" si="94"/>
        <v>0.67513999999999996</v>
      </c>
      <c r="AJ375">
        <f t="shared" si="95"/>
        <v>0.74460000000000004</v>
      </c>
      <c r="EC375">
        <v>773</v>
      </c>
      <c r="ED375">
        <v>0.68655999999999995</v>
      </c>
      <c r="EE375">
        <v>0.48276000000000002</v>
      </c>
      <c r="EF375">
        <v>0.74273999999999996</v>
      </c>
      <c r="EG375">
        <v>0.55706</v>
      </c>
      <c r="EH375">
        <v>0.79837999999999998</v>
      </c>
      <c r="EI375">
        <v>0.75366</v>
      </c>
      <c r="EJ375">
        <v>0.83004</v>
      </c>
      <c r="EK375">
        <v>0.73263999999999996</v>
      </c>
      <c r="EL375">
        <v>0.83786000000000005</v>
      </c>
      <c r="EM375">
        <v>0.83252000000000004</v>
      </c>
      <c r="EN375">
        <v>0.84182000000000001</v>
      </c>
      <c r="EO375">
        <v>0.86606000000000005</v>
      </c>
      <c r="EP375">
        <v>0.72331999999999996</v>
      </c>
      <c r="EQ375">
        <v>0.69603999999999999</v>
      </c>
      <c r="ER375">
        <v>0.67513999999999996</v>
      </c>
      <c r="ES375">
        <v>0.74460000000000004</v>
      </c>
    </row>
    <row r="376" spans="1:149" x14ac:dyDescent="0.35">
      <c r="A376" s="77"/>
      <c r="B376" s="77">
        <v>774</v>
      </c>
      <c r="C376" s="77">
        <v>0.34259000000000001</v>
      </c>
      <c r="D376" s="77">
        <v>0.24088000000000001</v>
      </c>
      <c r="E376" s="77">
        <v>0.37067</v>
      </c>
      <c r="F376" s="77">
        <v>0.27792</v>
      </c>
      <c r="G376" s="77">
        <v>0.39873999999999998</v>
      </c>
      <c r="H376" s="77">
        <v>0.37636999999999998</v>
      </c>
      <c r="I376" s="77">
        <v>0.41460000000000002</v>
      </c>
      <c r="J376" s="77">
        <v>0.36586000000000002</v>
      </c>
      <c r="K376" s="77">
        <v>0.41843000000000002</v>
      </c>
      <c r="L376" s="77">
        <v>0.41582000000000002</v>
      </c>
      <c r="M376" s="77">
        <v>0.42043000000000003</v>
      </c>
      <c r="N376" s="77">
        <v>0.43247999999999998</v>
      </c>
      <c r="O376" s="77">
        <v>0.36115000000000003</v>
      </c>
      <c r="P376" s="77">
        <v>0.34758</v>
      </c>
      <c r="Q376" s="77">
        <v>0.33700999999999998</v>
      </c>
      <c r="R376" s="77">
        <v>0.37182999999999999</v>
      </c>
      <c r="T376">
        <v>774</v>
      </c>
      <c r="U376">
        <f t="shared" si="80"/>
        <v>0.68518000000000001</v>
      </c>
      <c r="V376">
        <f t="shared" si="81"/>
        <v>0.48176000000000002</v>
      </c>
      <c r="W376">
        <f t="shared" si="82"/>
        <v>0.74134</v>
      </c>
      <c r="X376">
        <f t="shared" si="83"/>
        <v>0.55584</v>
      </c>
      <c r="Y376">
        <f t="shared" si="84"/>
        <v>0.79747999999999997</v>
      </c>
      <c r="Z376">
        <f t="shared" si="85"/>
        <v>0.75273999999999996</v>
      </c>
      <c r="AA376">
        <f t="shared" si="86"/>
        <v>0.82920000000000005</v>
      </c>
      <c r="AB376">
        <f t="shared" si="87"/>
        <v>0.73172000000000004</v>
      </c>
      <c r="AC376">
        <f t="shared" si="88"/>
        <v>0.83686000000000005</v>
      </c>
      <c r="AD376">
        <f t="shared" si="89"/>
        <v>0.83164000000000005</v>
      </c>
      <c r="AE376">
        <f t="shared" si="90"/>
        <v>0.84086000000000005</v>
      </c>
      <c r="AF376">
        <f t="shared" si="91"/>
        <v>0.86495999999999995</v>
      </c>
      <c r="AG376">
        <f t="shared" si="92"/>
        <v>0.72230000000000005</v>
      </c>
      <c r="AH376">
        <f t="shared" si="93"/>
        <v>0.69516</v>
      </c>
      <c r="AI376">
        <f t="shared" si="94"/>
        <v>0.67401999999999995</v>
      </c>
      <c r="AJ376">
        <f t="shared" si="95"/>
        <v>0.74365999999999999</v>
      </c>
      <c r="EC376">
        <v>774</v>
      </c>
      <c r="ED376">
        <v>0.68518000000000001</v>
      </c>
      <c r="EE376">
        <v>0.48176000000000002</v>
      </c>
      <c r="EF376">
        <v>0.74134</v>
      </c>
      <c r="EG376">
        <v>0.55584</v>
      </c>
      <c r="EH376">
        <v>0.79747999999999997</v>
      </c>
      <c r="EI376">
        <v>0.75273999999999996</v>
      </c>
      <c r="EJ376">
        <v>0.82920000000000005</v>
      </c>
      <c r="EK376">
        <v>0.73172000000000004</v>
      </c>
      <c r="EL376">
        <v>0.83686000000000005</v>
      </c>
      <c r="EM376">
        <v>0.83164000000000005</v>
      </c>
      <c r="EN376">
        <v>0.84086000000000005</v>
      </c>
      <c r="EO376">
        <v>0.86495999999999995</v>
      </c>
      <c r="EP376">
        <v>0.72230000000000005</v>
      </c>
      <c r="EQ376">
        <v>0.69516</v>
      </c>
      <c r="ER376">
        <v>0.67401999999999995</v>
      </c>
      <c r="ES376">
        <v>0.74365999999999999</v>
      </c>
    </row>
    <row r="377" spans="1:149" x14ac:dyDescent="0.35">
      <c r="A377" s="77"/>
      <c r="B377" s="77">
        <v>775</v>
      </c>
      <c r="C377" s="77">
        <v>0.34186</v>
      </c>
      <c r="D377" s="77">
        <v>0.24034</v>
      </c>
      <c r="E377" s="77">
        <v>0.36989</v>
      </c>
      <c r="F377" s="77">
        <v>0.27737000000000001</v>
      </c>
      <c r="G377" s="77">
        <v>0.39821000000000001</v>
      </c>
      <c r="H377" s="77">
        <v>0.37586999999999998</v>
      </c>
      <c r="I377" s="77">
        <v>0.41411999999999999</v>
      </c>
      <c r="J377" s="77">
        <v>0.36542999999999998</v>
      </c>
      <c r="K377" s="77">
        <v>0.41791</v>
      </c>
      <c r="L377" s="77">
        <v>0.41531000000000001</v>
      </c>
      <c r="M377" s="77">
        <v>0.41992000000000002</v>
      </c>
      <c r="N377" s="77">
        <v>0.43197999999999998</v>
      </c>
      <c r="O377" s="77">
        <v>0.36071999999999999</v>
      </c>
      <c r="P377" s="77">
        <v>0.34723999999999999</v>
      </c>
      <c r="Q377" s="77">
        <v>0.33661000000000002</v>
      </c>
      <c r="R377" s="77">
        <v>0.37128</v>
      </c>
      <c r="T377">
        <v>775</v>
      </c>
      <c r="U377">
        <f t="shared" si="80"/>
        <v>0.68371999999999999</v>
      </c>
      <c r="V377">
        <f t="shared" si="81"/>
        <v>0.48068</v>
      </c>
      <c r="W377">
        <f t="shared" si="82"/>
        <v>0.73977999999999999</v>
      </c>
      <c r="X377">
        <f t="shared" si="83"/>
        <v>0.55474000000000001</v>
      </c>
      <c r="Y377">
        <f t="shared" si="84"/>
        <v>0.79642000000000002</v>
      </c>
      <c r="Z377">
        <f t="shared" si="85"/>
        <v>0.75173999999999996</v>
      </c>
      <c r="AA377">
        <f t="shared" si="86"/>
        <v>0.82823999999999998</v>
      </c>
      <c r="AB377">
        <f t="shared" si="87"/>
        <v>0.73085999999999995</v>
      </c>
      <c r="AC377">
        <f t="shared" si="88"/>
        <v>0.83582000000000001</v>
      </c>
      <c r="AD377">
        <f t="shared" si="89"/>
        <v>0.83062000000000002</v>
      </c>
      <c r="AE377">
        <f t="shared" si="90"/>
        <v>0.83984000000000003</v>
      </c>
      <c r="AF377">
        <f t="shared" si="91"/>
        <v>0.86395999999999995</v>
      </c>
      <c r="AG377">
        <f t="shared" si="92"/>
        <v>0.72143999999999997</v>
      </c>
      <c r="AH377">
        <f t="shared" si="93"/>
        <v>0.69447999999999999</v>
      </c>
      <c r="AI377">
        <f t="shared" si="94"/>
        <v>0.67322000000000004</v>
      </c>
      <c r="AJ377">
        <f t="shared" si="95"/>
        <v>0.74256</v>
      </c>
      <c r="EC377">
        <v>775</v>
      </c>
      <c r="ED377">
        <v>0.68371999999999999</v>
      </c>
      <c r="EE377">
        <v>0.48068</v>
      </c>
      <c r="EF377">
        <v>0.73977999999999999</v>
      </c>
      <c r="EG377">
        <v>0.55474000000000001</v>
      </c>
      <c r="EH377">
        <v>0.79642000000000002</v>
      </c>
      <c r="EI377">
        <v>0.75173999999999996</v>
      </c>
      <c r="EJ377">
        <v>0.82823999999999998</v>
      </c>
      <c r="EK377">
        <v>0.73085999999999995</v>
      </c>
      <c r="EL377">
        <v>0.83582000000000001</v>
      </c>
      <c r="EM377">
        <v>0.83062000000000002</v>
      </c>
      <c r="EN377">
        <v>0.83984000000000003</v>
      </c>
      <c r="EO377">
        <v>0.86395999999999995</v>
      </c>
      <c r="EP377">
        <v>0.72143999999999997</v>
      </c>
      <c r="EQ377">
        <v>0.69447999999999999</v>
      </c>
      <c r="ER377">
        <v>0.67322000000000004</v>
      </c>
      <c r="ES377">
        <v>0.74256</v>
      </c>
    </row>
    <row r="378" spans="1:149" x14ac:dyDescent="0.35">
      <c r="A378" s="77"/>
      <c r="B378" s="77">
        <v>776</v>
      </c>
      <c r="C378" s="77">
        <v>0.34114</v>
      </c>
      <c r="D378" s="77">
        <v>0.23979</v>
      </c>
      <c r="E378" s="77">
        <v>0.36908000000000002</v>
      </c>
      <c r="F378" s="77">
        <v>0.27667000000000003</v>
      </c>
      <c r="G378" s="77">
        <v>0.39766000000000001</v>
      </c>
      <c r="H378" s="77">
        <v>0.37536999999999998</v>
      </c>
      <c r="I378" s="77">
        <v>0.41359000000000001</v>
      </c>
      <c r="J378" s="77">
        <v>0.36498999999999998</v>
      </c>
      <c r="K378" s="77">
        <v>0.41733999999999999</v>
      </c>
      <c r="L378" s="77">
        <v>0.41486000000000001</v>
      </c>
      <c r="M378" s="77">
        <v>0.41936000000000001</v>
      </c>
      <c r="N378" s="77">
        <v>0.43134</v>
      </c>
      <c r="O378" s="77">
        <v>0.36026000000000002</v>
      </c>
      <c r="P378" s="77">
        <v>0.34683000000000003</v>
      </c>
      <c r="Q378" s="77">
        <v>0.33613999999999999</v>
      </c>
      <c r="R378" s="77">
        <v>0.37081999999999998</v>
      </c>
      <c r="T378">
        <v>776</v>
      </c>
      <c r="U378">
        <f t="shared" si="80"/>
        <v>0.68228</v>
      </c>
      <c r="V378">
        <f t="shared" si="81"/>
        <v>0.47958000000000001</v>
      </c>
      <c r="W378">
        <f t="shared" si="82"/>
        <v>0.73816000000000004</v>
      </c>
      <c r="X378">
        <f t="shared" si="83"/>
        <v>0.55334000000000005</v>
      </c>
      <c r="Y378">
        <f t="shared" si="84"/>
        <v>0.79532000000000003</v>
      </c>
      <c r="Z378">
        <f t="shared" si="85"/>
        <v>0.75073999999999996</v>
      </c>
      <c r="AA378">
        <f t="shared" si="86"/>
        <v>0.82718000000000003</v>
      </c>
      <c r="AB378">
        <f t="shared" si="87"/>
        <v>0.72997999999999996</v>
      </c>
      <c r="AC378">
        <f t="shared" si="88"/>
        <v>0.83467999999999998</v>
      </c>
      <c r="AD378">
        <f t="shared" si="89"/>
        <v>0.82972000000000001</v>
      </c>
      <c r="AE378">
        <f t="shared" si="90"/>
        <v>0.83872000000000002</v>
      </c>
      <c r="AF378">
        <f t="shared" si="91"/>
        <v>0.86268</v>
      </c>
      <c r="AG378">
        <f t="shared" si="92"/>
        <v>0.72052000000000005</v>
      </c>
      <c r="AH378">
        <f t="shared" si="93"/>
        <v>0.69366000000000005</v>
      </c>
      <c r="AI378">
        <f t="shared" si="94"/>
        <v>0.67227999999999999</v>
      </c>
      <c r="AJ378">
        <f t="shared" si="95"/>
        <v>0.74163999999999997</v>
      </c>
      <c r="EC378">
        <v>776</v>
      </c>
      <c r="ED378">
        <v>0.68228</v>
      </c>
      <c r="EE378">
        <v>0.47958000000000001</v>
      </c>
      <c r="EF378">
        <v>0.73816000000000004</v>
      </c>
      <c r="EG378">
        <v>0.55334000000000005</v>
      </c>
      <c r="EH378">
        <v>0.79532000000000003</v>
      </c>
      <c r="EI378">
        <v>0.75073999999999996</v>
      </c>
      <c r="EJ378">
        <v>0.82718000000000003</v>
      </c>
      <c r="EK378">
        <v>0.72997999999999996</v>
      </c>
      <c r="EL378">
        <v>0.83467999999999998</v>
      </c>
      <c r="EM378">
        <v>0.82972000000000001</v>
      </c>
      <c r="EN378">
        <v>0.83872000000000002</v>
      </c>
      <c r="EO378">
        <v>0.86268</v>
      </c>
      <c r="EP378">
        <v>0.72052000000000005</v>
      </c>
      <c r="EQ378">
        <v>0.69366000000000005</v>
      </c>
      <c r="ER378">
        <v>0.67227999999999999</v>
      </c>
      <c r="ES378">
        <v>0.74163999999999997</v>
      </c>
    </row>
    <row r="379" spans="1:149" x14ac:dyDescent="0.35">
      <c r="A379" s="77"/>
      <c r="B379" s="77">
        <v>777</v>
      </c>
      <c r="C379" s="77">
        <v>0.34050000000000002</v>
      </c>
      <c r="D379" s="77">
        <v>0.23930000000000001</v>
      </c>
      <c r="E379" s="77">
        <v>0.36832999999999999</v>
      </c>
      <c r="F379" s="77">
        <v>0.27609</v>
      </c>
      <c r="G379" s="77">
        <v>0.39718999999999999</v>
      </c>
      <c r="H379" s="77">
        <v>0.37495000000000001</v>
      </c>
      <c r="I379" s="77">
        <v>0.41310000000000002</v>
      </c>
      <c r="J379" s="77">
        <v>0.36447000000000002</v>
      </c>
      <c r="K379" s="77">
        <v>0.41687000000000002</v>
      </c>
      <c r="L379" s="77">
        <v>0.41433999999999999</v>
      </c>
      <c r="M379" s="77">
        <v>0.41891</v>
      </c>
      <c r="N379" s="77">
        <v>0.43081999999999998</v>
      </c>
      <c r="O379" s="77">
        <v>0.35980000000000001</v>
      </c>
      <c r="P379" s="77">
        <v>0.34637000000000001</v>
      </c>
      <c r="Q379" s="77">
        <v>0.33567999999999998</v>
      </c>
      <c r="R379" s="77">
        <v>0.37042000000000003</v>
      </c>
      <c r="T379">
        <v>777</v>
      </c>
      <c r="U379">
        <f t="shared" si="80"/>
        <v>0.68100000000000005</v>
      </c>
      <c r="V379">
        <f t="shared" si="81"/>
        <v>0.47860000000000003</v>
      </c>
      <c r="W379">
        <f t="shared" si="82"/>
        <v>0.73665999999999998</v>
      </c>
      <c r="X379">
        <f t="shared" si="83"/>
        <v>0.55218</v>
      </c>
      <c r="Y379">
        <f t="shared" si="84"/>
        <v>0.79437999999999998</v>
      </c>
      <c r="Z379">
        <f t="shared" si="85"/>
        <v>0.74990000000000001</v>
      </c>
      <c r="AA379">
        <f t="shared" si="86"/>
        <v>0.82620000000000005</v>
      </c>
      <c r="AB379">
        <f t="shared" si="87"/>
        <v>0.72894000000000003</v>
      </c>
      <c r="AC379">
        <f t="shared" si="88"/>
        <v>0.83374000000000004</v>
      </c>
      <c r="AD379">
        <f t="shared" si="89"/>
        <v>0.82867999999999997</v>
      </c>
      <c r="AE379">
        <f t="shared" si="90"/>
        <v>0.83782000000000001</v>
      </c>
      <c r="AF379">
        <f t="shared" si="91"/>
        <v>0.86163999999999996</v>
      </c>
      <c r="AG379">
        <f t="shared" si="92"/>
        <v>0.71960000000000002</v>
      </c>
      <c r="AH379">
        <f t="shared" si="93"/>
        <v>0.69274000000000002</v>
      </c>
      <c r="AI379">
        <f t="shared" si="94"/>
        <v>0.67135999999999996</v>
      </c>
      <c r="AJ379">
        <f t="shared" si="95"/>
        <v>0.74084000000000005</v>
      </c>
      <c r="EC379">
        <v>777</v>
      </c>
      <c r="ED379">
        <v>0.68100000000000005</v>
      </c>
      <c r="EE379">
        <v>0.47860000000000003</v>
      </c>
      <c r="EF379">
        <v>0.73665999999999998</v>
      </c>
      <c r="EG379">
        <v>0.55218</v>
      </c>
      <c r="EH379">
        <v>0.79437999999999998</v>
      </c>
      <c r="EI379">
        <v>0.74990000000000001</v>
      </c>
      <c r="EJ379">
        <v>0.82620000000000005</v>
      </c>
      <c r="EK379">
        <v>0.72894000000000003</v>
      </c>
      <c r="EL379">
        <v>0.83374000000000004</v>
      </c>
      <c r="EM379">
        <v>0.82867999999999997</v>
      </c>
      <c r="EN379">
        <v>0.83782000000000001</v>
      </c>
      <c r="EO379">
        <v>0.86163999999999996</v>
      </c>
      <c r="EP379">
        <v>0.71960000000000002</v>
      </c>
      <c r="EQ379">
        <v>0.69274000000000002</v>
      </c>
      <c r="ER379">
        <v>0.67135999999999996</v>
      </c>
      <c r="ES379">
        <v>0.74084000000000005</v>
      </c>
    </row>
    <row r="380" spans="1:149" x14ac:dyDescent="0.35">
      <c r="A380" s="77"/>
      <c r="B380" s="77">
        <v>778</v>
      </c>
      <c r="C380" s="77">
        <v>0.33978000000000003</v>
      </c>
      <c r="D380" s="77">
        <v>0.23885000000000001</v>
      </c>
      <c r="E380" s="77">
        <v>0.36754999999999999</v>
      </c>
      <c r="F380" s="77">
        <v>0.27554000000000001</v>
      </c>
      <c r="G380" s="77">
        <v>0.39665</v>
      </c>
      <c r="H380" s="77">
        <v>0.37451000000000001</v>
      </c>
      <c r="I380" s="77">
        <v>0.41266000000000003</v>
      </c>
      <c r="J380" s="77">
        <v>0.36405999999999999</v>
      </c>
      <c r="K380" s="77">
        <v>0.41643000000000002</v>
      </c>
      <c r="L380" s="77">
        <v>0.41397</v>
      </c>
      <c r="M380" s="77">
        <v>0.41846</v>
      </c>
      <c r="N380" s="77">
        <v>0.43024000000000001</v>
      </c>
      <c r="O380" s="77">
        <v>0.35925000000000001</v>
      </c>
      <c r="P380" s="77">
        <v>0.34586</v>
      </c>
      <c r="Q380" s="77">
        <v>0.33527000000000001</v>
      </c>
      <c r="R380" s="77">
        <v>0.36986000000000002</v>
      </c>
      <c r="T380">
        <v>778</v>
      </c>
      <c r="U380">
        <f t="shared" si="80"/>
        <v>0.67956000000000005</v>
      </c>
      <c r="V380">
        <f t="shared" si="81"/>
        <v>0.47770000000000001</v>
      </c>
      <c r="W380">
        <f t="shared" si="82"/>
        <v>0.73509999999999998</v>
      </c>
      <c r="X380">
        <f t="shared" si="83"/>
        <v>0.55108000000000001</v>
      </c>
      <c r="Y380">
        <f t="shared" si="84"/>
        <v>0.79330000000000001</v>
      </c>
      <c r="Z380">
        <f t="shared" si="85"/>
        <v>0.74902000000000002</v>
      </c>
      <c r="AA380">
        <f t="shared" si="86"/>
        <v>0.82532000000000005</v>
      </c>
      <c r="AB380">
        <f t="shared" si="87"/>
        <v>0.72811999999999999</v>
      </c>
      <c r="AC380">
        <f t="shared" si="88"/>
        <v>0.83286000000000004</v>
      </c>
      <c r="AD380">
        <f t="shared" si="89"/>
        <v>0.82794000000000001</v>
      </c>
      <c r="AE380">
        <f t="shared" si="90"/>
        <v>0.83692</v>
      </c>
      <c r="AF380">
        <f t="shared" si="91"/>
        <v>0.86048000000000002</v>
      </c>
      <c r="AG380">
        <f t="shared" si="92"/>
        <v>0.71850000000000003</v>
      </c>
      <c r="AH380">
        <f t="shared" si="93"/>
        <v>0.69172</v>
      </c>
      <c r="AI380">
        <f t="shared" si="94"/>
        <v>0.67054000000000002</v>
      </c>
      <c r="AJ380">
        <f t="shared" si="95"/>
        <v>0.73972000000000004</v>
      </c>
      <c r="EC380">
        <v>778</v>
      </c>
      <c r="ED380">
        <v>0.67956000000000005</v>
      </c>
      <c r="EE380">
        <v>0.47770000000000001</v>
      </c>
      <c r="EF380">
        <v>0.73509999999999998</v>
      </c>
      <c r="EG380">
        <v>0.55108000000000001</v>
      </c>
      <c r="EH380">
        <v>0.79330000000000001</v>
      </c>
      <c r="EI380">
        <v>0.74902000000000002</v>
      </c>
      <c r="EJ380">
        <v>0.82532000000000005</v>
      </c>
      <c r="EK380">
        <v>0.72811999999999999</v>
      </c>
      <c r="EL380">
        <v>0.83286000000000004</v>
      </c>
      <c r="EM380">
        <v>0.82794000000000001</v>
      </c>
      <c r="EN380">
        <v>0.83692</v>
      </c>
      <c r="EO380">
        <v>0.86048000000000002</v>
      </c>
      <c r="EP380">
        <v>0.71850000000000003</v>
      </c>
      <c r="EQ380">
        <v>0.69172</v>
      </c>
      <c r="ER380">
        <v>0.67054000000000002</v>
      </c>
      <c r="ES380">
        <v>0.73972000000000004</v>
      </c>
    </row>
    <row r="381" spans="1:149" x14ac:dyDescent="0.35">
      <c r="A381" s="77"/>
      <c r="B381" s="77">
        <v>779</v>
      </c>
      <c r="C381" s="77">
        <v>0.33905000000000002</v>
      </c>
      <c r="D381" s="77">
        <v>0.23830000000000001</v>
      </c>
      <c r="E381" s="77">
        <v>0.36679</v>
      </c>
      <c r="F381" s="77">
        <v>0.27489000000000002</v>
      </c>
      <c r="G381" s="77">
        <v>0.39612999999999998</v>
      </c>
      <c r="H381" s="77">
        <v>0.37401000000000001</v>
      </c>
      <c r="I381" s="77">
        <v>0.41216999999999998</v>
      </c>
      <c r="J381" s="77">
        <v>0.36355999999999999</v>
      </c>
      <c r="K381" s="77">
        <v>0.41586000000000001</v>
      </c>
      <c r="L381" s="77">
        <v>0.41350999999999999</v>
      </c>
      <c r="M381" s="77">
        <v>0.41786000000000001</v>
      </c>
      <c r="N381" s="77">
        <v>0.42965999999999999</v>
      </c>
      <c r="O381" s="77">
        <v>0.35876000000000002</v>
      </c>
      <c r="P381" s="77">
        <v>0.34543000000000001</v>
      </c>
      <c r="Q381" s="77">
        <v>0.33478999999999998</v>
      </c>
      <c r="R381" s="77">
        <v>0.36934</v>
      </c>
      <c r="T381">
        <v>779</v>
      </c>
      <c r="U381">
        <f t="shared" si="80"/>
        <v>0.67810000000000004</v>
      </c>
      <c r="V381">
        <f t="shared" si="81"/>
        <v>0.47660000000000002</v>
      </c>
      <c r="W381">
        <f t="shared" si="82"/>
        <v>0.73358000000000001</v>
      </c>
      <c r="X381">
        <f t="shared" si="83"/>
        <v>0.54978000000000005</v>
      </c>
      <c r="Y381">
        <f t="shared" si="84"/>
        <v>0.79225999999999996</v>
      </c>
      <c r="Z381">
        <f t="shared" si="85"/>
        <v>0.74802000000000002</v>
      </c>
      <c r="AA381">
        <f t="shared" si="86"/>
        <v>0.82433999999999996</v>
      </c>
      <c r="AB381">
        <f t="shared" si="87"/>
        <v>0.72711999999999999</v>
      </c>
      <c r="AC381">
        <f t="shared" si="88"/>
        <v>0.83172000000000001</v>
      </c>
      <c r="AD381">
        <f t="shared" si="89"/>
        <v>0.82701999999999998</v>
      </c>
      <c r="AE381">
        <f t="shared" si="90"/>
        <v>0.83572000000000002</v>
      </c>
      <c r="AF381">
        <f t="shared" si="91"/>
        <v>0.85931999999999997</v>
      </c>
      <c r="AG381">
        <f t="shared" si="92"/>
        <v>0.71752000000000005</v>
      </c>
      <c r="AH381">
        <f t="shared" si="93"/>
        <v>0.69086000000000003</v>
      </c>
      <c r="AI381">
        <f t="shared" si="94"/>
        <v>0.66957999999999995</v>
      </c>
      <c r="AJ381">
        <f t="shared" si="95"/>
        <v>0.73868</v>
      </c>
      <c r="EC381">
        <v>779</v>
      </c>
      <c r="ED381">
        <v>0.67810000000000004</v>
      </c>
      <c r="EE381">
        <v>0.47660000000000002</v>
      </c>
      <c r="EF381">
        <v>0.73358000000000001</v>
      </c>
      <c r="EG381">
        <v>0.54978000000000005</v>
      </c>
      <c r="EH381">
        <v>0.79225999999999996</v>
      </c>
      <c r="EI381">
        <v>0.74802000000000002</v>
      </c>
      <c r="EJ381">
        <v>0.82433999999999996</v>
      </c>
      <c r="EK381">
        <v>0.72711999999999999</v>
      </c>
      <c r="EL381">
        <v>0.83172000000000001</v>
      </c>
      <c r="EM381">
        <v>0.82701999999999998</v>
      </c>
      <c r="EN381">
        <v>0.83572000000000002</v>
      </c>
      <c r="EO381">
        <v>0.85931999999999997</v>
      </c>
      <c r="EP381">
        <v>0.71752000000000005</v>
      </c>
      <c r="EQ381">
        <v>0.69086000000000003</v>
      </c>
      <c r="ER381">
        <v>0.66957999999999995</v>
      </c>
      <c r="ES381">
        <v>0.73868</v>
      </c>
    </row>
    <row r="382" spans="1:149" x14ac:dyDescent="0.35">
      <c r="A382" s="77"/>
      <c r="B382" s="77">
        <v>780</v>
      </c>
      <c r="C382" s="77">
        <v>0.33840999999999999</v>
      </c>
      <c r="D382" s="77">
        <v>0.23779</v>
      </c>
      <c r="E382" s="77">
        <v>0.36613000000000001</v>
      </c>
      <c r="F382" s="77">
        <v>0.27437</v>
      </c>
      <c r="G382" s="77">
        <v>0.39581</v>
      </c>
      <c r="H382" s="77">
        <v>0.37365999999999999</v>
      </c>
      <c r="I382" s="77">
        <v>0.41184999999999999</v>
      </c>
      <c r="J382" s="77">
        <v>0.36320000000000002</v>
      </c>
      <c r="K382" s="77">
        <v>0.41541</v>
      </c>
      <c r="L382" s="77">
        <v>0.41311999999999999</v>
      </c>
      <c r="M382" s="77">
        <v>0.41739999999999999</v>
      </c>
      <c r="N382" s="77">
        <v>0.42917</v>
      </c>
      <c r="O382" s="77">
        <v>0.35837999999999998</v>
      </c>
      <c r="P382" s="77">
        <v>0.34501999999999999</v>
      </c>
      <c r="Q382" s="77">
        <v>0.33427000000000001</v>
      </c>
      <c r="R382" s="77">
        <v>0.36890000000000001</v>
      </c>
      <c r="T382">
        <v>780</v>
      </c>
      <c r="U382">
        <f t="shared" si="80"/>
        <v>0.67681999999999998</v>
      </c>
      <c r="V382">
        <f t="shared" si="81"/>
        <v>0.47558</v>
      </c>
      <c r="W382">
        <f t="shared" si="82"/>
        <v>0.73226000000000002</v>
      </c>
      <c r="X382">
        <f t="shared" si="83"/>
        <v>0.54874000000000001</v>
      </c>
      <c r="Y382">
        <f t="shared" si="84"/>
        <v>0.79161999999999999</v>
      </c>
      <c r="Z382">
        <f t="shared" si="85"/>
        <v>0.74731999999999998</v>
      </c>
      <c r="AA382">
        <f t="shared" si="86"/>
        <v>0.82369999999999999</v>
      </c>
      <c r="AB382">
        <f t="shared" si="87"/>
        <v>0.72640000000000005</v>
      </c>
      <c r="AC382">
        <f t="shared" si="88"/>
        <v>0.83082</v>
      </c>
      <c r="AD382">
        <f t="shared" si="89"/>
        <v>0.82623999999999997</v>
      </c>
      <c r="AE382">
        <f t="shared" si="90"/>
        <v>0.83479999999999999</v>
      </c>
      <c r="AF382">
        <f t="shared" si="91"/>
        <v>0.85833999999999999</v>
      </c>
      <c r="AG382">
        <f t="shared" si="92"/>
        <v>0.71675999999999995</v>
      </c>
      <c r="AH382">
        <f t="shared" si="93"/>
        <v>0.69003999999999999</v>
      </c>
      <c r="AI382">
        <f t="shared" si="94"/>
        <v>0.66854000000000002</v>
      </c>
      <c r="AJ382">
        <f t="shared" si="95"/>
        <v>0.73780000000000001</v>
      </c>
      <c r="EC382">
        <v>780</v>
      </c>
      <c r="ED382">
        <v>0.67681999999999998</v>
      </c>
      <c r="EE382">
        <v>0.47558</v>
      </c>
      <c r="EF382">
        <v>0.73226000000000002</v>
      </c>
      <c r="EG382">
        <v>0.54874000000000001</v>
      </c>
      <c r="EH382">
        <v>0.79161999999999999</v>
      </c>
      <c r="EI382">
        <v>0.74731999999999998</v>
      </c>
      <c r="EJ382">
        <v>0.82369999999999999</v>
      </c>
      <c r="EK382">
        <v>0.72640000000000005</v>
      </c>
      <c r="EL382">
        <v>0.83082</v>
      </c>
      <c r="EM382">
        <v>0.82623999999999997</v>
      </c>
      <c r="EN382">
        <v>0.83479999999999999</v>
      </c>
      <c r="EO382">
        <v>0.85833999999999999</v>
      </c>
      <c r="EP382">
        <v>0.71675999999999995</v>
      </c>
      <c r="EQ382">
        <v>0.69003999999999999</v>
      </c>
      <c r="ER382">
        <v>0.66854000000000002</v>
      </c>
      <c r="ES382">
        <v>0.73780000000000001</v>
      </c>
    </row>
    <row r="383" spans="1:149" x14ac:dyDescent="0.35">
      <c r="A383" s="77"/>
      <c r="B383" s="77">
        <v>781</v>
      </c>
      <c r="C383" s="77">
        <v>0.33771000000000001</v>
      </c>
      <c r="D383" s="77">
        <v>0.23721</v>
      </c>
      <c r="E383" s="77">
        <v>0.36536000000000002</v>
      </c>
      <c r="F383" s="77">
        <v>0.27372999999999997</v>
      </c>
      <c r="G383" s="77">
        <v>0.3952</v>
      </c>
      <c r="H383" s="77">
        <v>0.37318000000000001</v>
      </c>
      <c r="I383" s="77">
        <v>0.41132999999999997</v>
      </c>
      <c r="J383" s="77">
        <v>0.36271999999999999</v>
      </c>
      <c r="K383" s="77">
        <v>0.41492000000000001</v>
      </c>
      <c r="L383" s="77">
        <v>0.41256999999999999</v>
      </c>
      <c r="M383" s="77">
        <v>0.41689999999999999</v>
      </c>
      <c r="N383" s="77">
        <v>0.42859999999999998</v>
      </c>
      <c r="O383" s="77">
        <v>0.35779</v>
      </c>
      <c r="P383" s="77">
        <v>0.34444999999999998</v>
      </c>
      <c r="Q383" s="77">
        <v>0.33371000000000001</v>
      </c>
      <c r="R383" s="77">
        <v>0.36823</v>
      </c>
      <c r="T383">
        <v>781</v>
      </c>
      <c r="U383">
        <f t="shared" si="80"/>
        <v>0.67542000000000002</v>
      </c>
      <c r="V383">
        <f t="shared" si="81"/>
        <v>0.47442000000000001</v>
      </c>
      <c r="W383">
        <f t="shared" si="82"/>
        <v>0.73072000000000004</v>
      </c>
      <c r="X383">
        <f t="shared" si="83"/>
        <v>0.54745999999999995</v>
      </c>
      <c r="Y383">
        <f t="shared" si="84"/>
        <v>0.79039999999999999</v>
      </c>
      <c r="Z383">
        <f t="shared" si="85"/>
        <v>0.74636000000000002</v>
      </c>
      <c r="AA383">
        <f t="shared" si="86"/>
        <v>0.82265999999999995</v>
      </c>
      <c r="AB383">
        <f t="shared" si="87"/>
        <v>0.72543999999999997</v>
      </c>
      <c r="AC383">
        <f t="shared" si="88"/>
        <v>0.82984000000000002</v>
      </c>
      <c r="AD383">
        <f t="shared" si="89"/>
        <v>0.82513999999999998</v>
      </c>
      <c r="AE383">
        <f t="shared" si="90"/>
        <v>0.83379999999999999</v>
      </c>
      <c r="AF383">
        <f t="shared" si="91"/>
        <v>0.85719999999999996</v>
      </c>
      <c r="AG383">
        <f t="shared" si="92"/>
        <v>0.71557999999999999</v>
      </c>
      <c r="AH383">
        <f t="shared" si="93"/>
        <v>0.68889999999999996</v>
      </c>
      <c r="AI383">
        <f t="shared" si="94"/>
        <v>0.66742000000000001</v>
      </c>
      <c r="AJ383">
        <f t="shared" si="95"/>
        <v>0.73646</v>
      </c>
      <c r="EC383">
        <v>781</v>
      </c>
      <c r="ED383">
        <v>0.67542000000000002</v>
      </c>
      <c r="EE383">
        <v>0.47442000000000001</v>
      </c>
      <c r="EF383">
        <v>0.73072000000000004</v>
      </c>
      <c r="EG383">
        <v>0.54745999999999995</v>
      </c>
      <c r="EH383">
        <v>0.79039999999999999</v>
      </c>
      <c r="EI383">
        <v>0.74636000000000002</v>
      </c>
      <c r="EJ383">
        <v>0.82265999999999995</v>
      </c>
      <c r="EK383">
        <v>0.72543999999999997</v>
      </c>
      <c r="EL383">
        <v>0.82984000000000002</v>
      </c>
      <c r="EM383">
        <v>0.82513999999999998</v>
      </c>
      <c r="EN383">
        <v>0.83379999999999999</v>
      </c>
      <c r="EO383">
        <v>0.85719999999999996</v>
      </c>
      <c r="EP383">
        <v>0.71557999999999999</v>
      </c>
      <c r="EQ383">
        <v>0.68889999999999996</v>
      </c>
      <c r="ER383">
        <v>0.66742000000000001</v>
      </c>
      <c r="ES383">
        <v>0.73646</v>
      </c>
    </row>
    <row r="384" spans="1:149" x14ac:dyDescent="0.35">
      <c r="A384" s="77"/>
      <c r="B384" s="77">
        <v>782</v>
      </c>
      <c r="C384" s="77">
        <v>0.33711000000000002</v>
      </c>
      <c r="D384" s="77">
        <v>0.23683000000000001</v>
      </c>
      <c r="E384" s="77">
        <v>0.36470000000000002</v>
      </c>
      <c r="F384" s="77">
        <v>0.27318999999999999</v>
      </c>
      <c r="G384" s="77">
        <v>0.39473000000000003</v>
      </c>
      <c r="H384" s="77">
        <v>0.37274000000000002</v>
      </c>
      <c r="I384" s="77">
        <v>0.41094999999999998</v>
      </c>
      <c r="J384" s="77">
        <v>0.36231999999999998</v>
      </c>
      <c r="K384" s="77">
        <v>0.41454000000000002</v>
      </c>
      <c r="L384" s="77">
        <v>0.41219</v>
      </c>
      <c r="M384" s="77">
        <v>0.41641</v>
      </c>
      <c r="N384" s="77">
        <v>0.42813000000000001</v>
      </c>
      <c r="O384" s="77">
        <v>0.35749999999999998</v>
      </c>
      <c r="P384" s="77">
        <v>0.34412999999999999</v>
      </c>
      <c r="Q384" s="77">
        <v>0.33328000000000002</v>
      </c>
      <c r="R384" s="77">
        <v>0.36788999999999999</v>
      </c>
      <c r="T384">
        <v>782</v>
      </c>
      <c r="U384">
        <f t="shared" si="80"/>
        <v>0.67422000000000004</v>
      </c>
      <c r="V384">
        <f t="shared" si="81"/>
        <v>0.47366000000000003</v>
      </c>
      <c r="W384">
        <f t="shared" si="82"/>
        <v>0.72940000000000005</v>
      </c>
      <c r="X384">
        <f t="shared" si="83"/>
        <v>0.54637999999999998</v>
      </c>
      <c r="Y384">
        <f t="shared" si="84"/>
        <v>0.78946000000000005</v>
      </c>
      <c r="Z384">
        <f t="shared" si="85"/>
        <v>0.74548000000000003</v>
      </c>
      <c r="AA384">
        <f t="shared" si="86"/>
        <v>0.82189999999999996</v>
      </c>
      <c r="AB384">
        <f t="shared" si="87"/>
        <v>0.72463999999999995</v>
      </c>
      <c r="AC384">
        <f t="shared" si="88"/>
        <v>0.82908000000000004</v>
      </c>
      <c r="AD384">
        <f t="shared" si="89"/>
        <v>0.82438</v>
      </c>
      <c r="AE384">
        <f t="shared" si="90"/>
        <v>0.83282</v>
      </c>
      <c r="AF384">
        <f t="shared" si="91"/>
        <v>0.85626000000000002</v>
      </c>
      <c r="AG384">
        <f t="shared" si="92"/>
        <v>0.71499999999999997</v>
      </c>
      <c r="AH384">
        <f t="shared" si="93"/>
        <v>0.68825999999999998</v>
      </c>
      <c r="AI384">
        <f t="shared" si="94"/>
        <v>0.66656000000000004</v>
      </c>
      <c r="AJ384">
        <f t="shared" si="95"/>
        <v>0.73577999999999999</v>
      </c>
      <c r="EC384">
        <v>782</v>
      </c>
      <c r="ED384">
        <v>0.67422000000000004</v>
      </c>
      <c r="EE384">
        <v>0.47366000000000003</v>
      </c>
      <c r="EF384">
        <v>0.72940000000000005</v>
      </c>
      <c r="EG384">
        <v>0.54637999999999998</v>
      </c>
      <c r="EH384">
        <v>0.78946000000000005</v>
      </c>
      <c r="EI384">
        <v>0.74548000000000003</v>
      </c>
      <c r="EJ384">
        <v>0.82189999999999996</v>
      </c>
      <c r="EK384">
        <v>0.72463999999999995</v>
      </c>
      <c r="EL384">
        <v>0.82908000000000004</v>
      </c>
      <c r="EM384">
        <v>0.82438</v>
      </c>
      <c r="EN384">
        <v>0.83282</v>
      </c>
      <c r="EO384">
        <v>0.85626000000000002</v>
      </c>
      <c r="EP384">
        <v>0.71499999999999997</v>
      </c>
      <c r="EQ384">
        <v>0.68825999999999998</v>
      </c>
      <c r="ER384">
        <v>0.66656000000000004</v>
      </c>
      <c r="ES384">
        <v>0.73577999999999999</v>
      </c>
    </row>
    <row r="385" spans="1:149" x14ac:dyDescent="0.35">
      <c r="A385" s="77"/>
      <c r="B385" s="77">
        <v>783</v>
      </c>
      <c r="C385" s="77">
        <v>0.33633000000000002</v>
      </c>
      <c r="D385" s="77">
        <v>0.23635999999999999</v>
      </c>
      <c r="E385" s="77">
        <v>0.36392000000000002</v>
      </c>
      <c r="F385" s="77">
        <v>0.27256999999999998</v>
      </c>
      <c r="G385" s="77">
        <v>0.39409</v>
      </c>
      <c r="H385" s="77">
        <v>0.37226999999999999</v>
      </c>
      <c r="I385" s="77">
        <v>0.41043000000000002</v>
      </c>
      <c r="J385" s="77">
        <v>0.36180000000000001</v>
      </c>
      <c r="K385" s="77">
        <v>0.41397</v>
      </c>
      <c r="L385" s="77">
        <v>0.41165000000000002</v>
      </c>
      <c r="M385" s="77">
        <v>0.41592000000000001</v>
      </c>
      <c r="N385" s="77">
        <v>0.42746000000000001</v>
      </c>
      <c r="O385" s="77">
        <v>0.35687000000000002</v>
      </c>
      <c r="P385" s="77">
        <v>0.34362999999999999</v>
      </c>
      <c r="Q385" s="77">
        <v>0.33274999999999999</v>
      </c>
      <c r="R385" s="77">
        <v>0.36734</v>
      </c>
      <c r="T385">
        <v>783</v>
      </c>
      <c r="U385">
        <f t="shared" si="80"/>
        <v>0.67266000000000004</v>
      </c>
      <c r="V385">
        <f t="shared" si="81"/>
        <v>0.47271999999999997</v>
      </c>
      <c r="W385">
        <f t="shared" si="82"/>
        <v>0.72784000000000004</v>
      </c>
      <c r="X385">
        <f t="shared" si="83"/>
        <v>0.54513999999999996</v>
      </c>
      <c r="Y385">
        <f t="shared" si="84"/>
        <v>0.78817999999999999</v>
      </c>
      <c r="Z385">
        <f t="shared" si="85"/>
        <v>0.74453999999999998</v>
      </c>
      <c r="AA385">
        <f t="shared" si="86"/>
        <v>0.82086000000000003</v>
      </c>
      <c r="AB385">
        <f t="shared" si="87"/>
        <v>0.72360000000000002</v>
      </c>
      <c r="AC385">
        <f t="shared" si="88"/>
        <v>0.82794000000000001</v>
      </c>
      <c r="AD385">
        <f t="shared" si="89"/>
        <v>0.82330000000000003</v>
      </c>
      <c r="AE385">
        <f t="shared" si="90"/>
        <v>0.83184000000000002</v>
      </c>
      <c r="AF385">
        <f t="shared" si="91"/>
        <v>0.85492000000000001</v>
      </c>
      <c r="AG385">
        <f t="shared" si="92"/>
        <v>0.71374000000000004</v>
      </c>
      <c r="AH385">
        <f t="shared" si="93"/>
        <v>0.68725999999999998</v>
      </c>
      <c r="AI385">
        <f t="shared" si="94"/>
        <v>0.66549999999999998</v>
      </c>
      <c r="AJ385">
        <f t="shared" si="95"/>
        <v>0.73468</v>
      </c>
      <c r="EC385">
        <v>783</v>
      </c>
      <c r="ED385">
        <v>0.67266000000000004</v>
      </c>
      <c r="EE385">
        <v>0.47271999999999997</v>
      </c>
      <c r="EF385">
        <v>0.72784000000000004</v>
      </c>
      <c r="EG385">
        <v>0.54513999999999996</v>
      </c>
      <c r="EH385">
        <v>0.78817999999999999</v>
      </c>
      <c r="EI385">
        <v>0.74453999999999998</v>
      </c>
      <c r="EJ385">
        <v>0.82086000000000003</v>
      </c>
      <c r="EK385">
        <v>0.72360000000000002</v>
      </c>
      <c r="EL385">
        <v>0.82794000000000001</v>
      </c>
      <c r="EM385">
        <v>0.82330000000000003</v>
      </c>
      <c r="EN385">
        <v>0.83184000000000002</v>
      </c>
      <c r="EO385">
        <v>0.85492000000000001</v>
      </c>
      <c r="EP385">
        <v>0.71374000000000004</v>
      </c>
      <c r="EQ385">
        <v>0.68725999999999998</v>
      </c>
      <c r="ER385">
        <v>0.66549999999999998</v>
      </c>
      <c r="ES385">
        <v>0.73468</v>
      </c>
    </row>
    <row r="386" spans="1:149" x14ac:dyDescent="0.35">
      <c r="A386" s="77"/>
      <c r="B386" s="77">
        <v>784</v>
      </c>
      <c r="C386" s="77">
        <v>0.33573999999999998</v>
      </c>
      <c r="D386" s="77">
        <v>0.23579</v>
      </c>
      <c r="E386" s="77">
        <v>0.36324000000000001</v>
      </c>
      <c r="F386" s="77">
        <v>0.27202999999999999</v>
      </c>
      <c r="G386" s="77">
        <v>0.39374999999999999</v>
      </c>
      <c r="H386" s="77">
        <v>0.37192999999999998</v>
      </c>
      <c r="I386" s="77">
        <v>0.41003000000000001</v>
      </c>
      <c r="J386" s="77">
        <v>0.36144999999999999</v>
      </c>
      <c r="K386" s="77">
        <v>0.41359000000000001</v>
      </c>
      <c r="L386" s="77">
        <v>0.41128999999999999</v>
      </c>
      <c r="M386" s="77">
        <v>0.41556999999999999</v>
      </c>
      <c r="N386" s="77">
        <v>0.42699999999999999</v>
      </c>
      <c r="O386" s="77">
        <v>0.35644999999999999</v>
      </c>
      <c r="P386" s="77">
        <v>0.34320000000000001</v>
      </c>
      <c r="Q386" s="77">
        <v>0.33226</v>
      </c>
      <c r="R386" s="77">
        <v>0.36681999999999998</v>
      </c>
      <c r="T386">
        <v>784</v>
      </c>
      <c r="U386">
        <f t="shared" si="80"/>
        <v>0.67147999999999997</v>
      </c>
      <c r="V386">
        <f t="shared" si="81"/>
        <v>0.47158</v>
      </c>
      <c r="W386">
        <f t="shared" si="82"/>
        <v>0.72648000000000001</v>
      </c>
      <c r="X386">
        <f t="shared" si="83"/>
        <v>0.54405999999999999</v>
      </c>
      <c r="Y386">
        <f t="shared" si="84"/>
        <v>0.78749999999999998</v>
      </c>
      <c r="Z386">
        <f t="shared" si="85"/>
        <v>0.74385999999999997</v>
      </c>
      <c r="AA386">
        <f t="shared" si="86"/>
        <v>0.82006000000000001</v>
      </c>
      <c r="AB386">
        <f t="shared" si="87"/>
        <v>0.72289999999999999</v>
      </c>
      <c r="AC386">
        <f t="shared" si="88"/>
        <v>0.82718000000000003</v>
      </c>
      <c r="AD386">
        <f t="shared" si="89"/>
        <v>0.82257999999999998</v>
      </c>
      <c r="AE386">
        <f t="shared" si="90"/>
        <v>0.83113999999999999</v>
      </c>
      <c r="AF386">
        <f t="shared" si="91"/>
        <v>0.85399999999999998</v>
      </c>
      <c r="AG386">
        <f t="shared" si="92"/>
        <v>0.71289999999999998</v>
      </c>
      <c r="AH386">
        <f t="shared" si="93"/>
        <v>0.68640000000000001</v>
      </c>
      <c r="AI386">
        <f t="shared" si="94"/>
        <v>0.66452</v>
      </c>
      <c r="AJ386">
        <f t="shared" si="95"/>
        <v>0.73363999999999996</v>
      </c>
      <c r="EC386">
        <v>784</v>
      </c>
      <c r="ED386">
        <v>0.67147999999999997</v>
      </c>
      <c r="EE386">
        <v>0.47158</v>
      </c>
      <c r="EF386">
        <v>0.72648000000000001</v>
      </c>
      <c r="EG386">
        <v>0.54405999999999999</v>
      </c>
      <c r="EH386">
        <v>0.78749999999999998</v>
      </c>
      <c r="EI386">
        <v>0.74385999999999997</v>
      </c>
      <c r="EJ386">
        <v>0.82006000000000001</v>
      </c>
      <c r="EK386">
        <v>0.72289999999999999</v>
      </c>
      <c r="EL386">
        <v>0.82718000000000003</v>
      </c>
      <c r="EM386">
        <v>0.82257999999999998</v>
      </c>
      <c r="EN386">
        <v>0.83113999999999999</v>
      </c>
      <c r="EO386">
        <v>0.85399999999999998</v>
      </c>
      <c r="EP386">
        <v>0.71289999999999998</v>
      </c>
      <c r="EQ386">
        <v>0.68640000000000001</v>
      </c>
      <c r="ER386">
        <v>0.66452</v>
      </c>
      <c r="ES386">
        <v>0.73363999999999996</v>
      </c>
    </row>
    <row r="387" spans="1:149" x14ac:dyDescent="0.35">
      <c r="A387" s="77"/>
      <c r="B387" s="77">
        <v>785</v>
      </c>
      <c r="C387" s="77">
        <v>0.33492</v>
      </c>
      <c r="D387" s="77">
        <v>0.23519999999999999</v>
      </c>
      <c r="E387" s="77">
        <v>0.36241000000000001</v>
      </c>
      <c r="F387" s="77">
        <v>0.27134999999999998</v>
      </c>
      <c r="G387" s="77">
        <v>0.39326</v>
      </c>
      <c r="H387" s="77">
        <v>0.37143999999999999</v>
      </c>
      <c r="I387" s="77">
        <v>0.40955999999999998</v>
      </c>
      <c r="J387" s="77">
        <v>0.36101</v>
      </c>
      <c r="K387" s="77">
        <v>0.41305999999999998</v>
      </c>
      <c r="L387" s="77">
        <v>0.41081000000000001</v>
      </c>
      <c r="M387" s="77">
        <v>0.41508</v>
      </c>
      <c r="N387" s="77">
        <v>0.42636000000000002</v>
      </c>
      <c r="O387" s="77">
        <v>0.35598999999999997</v>
      </c>
      <c r="P387" s="77">
        <v>0.34279999999999999</v>
      </c>
      <c r="Q387" s="77">
        <v>0.33169999999999999</v>
      </c>
      <c r="R387" s="77">
        <v>0.36641000000000001</v>
      </c>
      <c r="T387">
        <v>785</v>
      </c>
      <c r="U387">
        <f>C387*2</f>
        <v>0.66983999999999999</v>
      </c>
      <c r="V387">
        <f>D387*2</f>
        <v>0.47039999999999998</v>
      </c>
      <c r="W387">
        <f>E387*2</f>
        <v>0.72482000000000002</v>
      </c>
      <c r="X387">
        <f>F387*2</f>
        <v>0.54269999999999996</v>
      </c>
      <c r="Y387">
        <f>G387*2</f>
        <v>0.78652</v>
      </c>
      <c r="Z387">
        <f>H387*2</f>
        <v>0.74287999999999998</v>
      </c>
      <c r="AA387">
        <f>I387*2</f>
        <v>0.81911999999999996</v>
      </c>
      <c r="AB387">
        <f>J387*2</f>
        <v>0.72202</v>
      </c>
      <c r="AC387">
        <f>K387*2</f>
        <v>0.82611999999999997</v>
      </c>
      <c r="AD387">
        <f>L387*2</f>
        <v>0.82162000000000002</v>
      </c>
      <c r="AE387">
        <f>M387*2</f>
        <v>0.83016000000000001</v>
      </c>
      <c r="AF387">
        <f>N387*2</f>
        <v>0.85272000000000003</v>
      </c>
      <c r="AG387">
        <f>O387*2</f>
        <v>0.71197999999999995</v>
      </c>
      <c r="AH387">
        <f>P387*2</f>
        <v>0.68559999999999999</v>
      </c>
      <c r="AI387">
        <f>Q387*2</f>
        <v>0.66339999999999999</v>
      </c>
      <c r="AJ387">
        <f>R387*2</f>
        <v>0.73282000000000003</v>
      </c>
      <c r="EC387">
        <v>785</v>
      </c>
      <c r="ED387">
        <v>0.66983999999999999</v>
      </c>
      <c r="EE387">
        <v>0.47039999999999998</v>
      </c>
      <c r="EF387">
        <v>0.72482000000000002</v>
      </c>
      <c r="EG387">
        <v>0.54269999999999996</v>
      </c>
      <c r="EH387">
        <v>0.78652</v>
      </c>
      <c r="EI387">
        <v>0.74287999999999998</v>
      </c>
      <c r="EJ387">
        <v>0.81911999999999996</v>
      </c>
      <c r="EK387">
        <v>0.72202</v>
      </c>
      <c r="EL387">
        <v>0.82611999999999997</v>
      </c>
      <c r="EM387">
        <v>0.82162000000000002</v>
      </c>
      <c r="EN387">
        <v>0.83016000000000001</v>
      </c>
      <c r="EO387">
        <v>0.85272000000000003</v>
      </c>
      <c r="EP387">
        <v>0.71197999999999995</v>
      </c>
      <c r="EQ387">
        <v>0.68559999999999999</v>
      </c>
      <c r="ER387">
        <v>0.66339999999999999</v>
      </c>
      <c r="ES387">
        <v>0.73282000000000003</v>
      </c>
    </row>
    <row r="388" spans="1:149" x14ac:dyDescent="0.35">
      <c r="A388" s="77"/>
      <c r="B388" s="77">
        <v>786</v>
      </c>
      <c r="C388" s="77">
        <v>0.33429999999999999</v>
      </c>
      <c r="D388" s="77">
        <v>0.23477000000000001</v>
      </c>
      <c r="E388" s="77">
        <v>0.36176000000000003</v>
      </c>
      <c r="F388" s="77">
        <v>0.27081</v>
      </c>
      <c r="G388" s="77">
        <v>0.39278000000000002</v>
      </c>
      <c r="H388" s="77">
        <v>0.37097000000000002</v>
      </c>
      <c r="I388" s="77">
        <v>0.40905999999999998</v>
      </c>
      <c r="J388" s="77">
        <v>0.36059999999999998</v>
      </c>
      <c r="K388" s="77">
        <v>0.41245999999999999</v>
      </c>
      <c r="L388" s="77">
        <v>0.41033999999999998</v>
      </c>
      <c r="M388" s="77">
        <v>0.41460000000000002</v>
      </c>
      <c r="N388" s="77">
        <v>0.42580000000000001</v>
      </c>
      <c r="O388" s="77">
        <v>0.35548000000000002</v>
      </c>
      <c r="P388" s="77">
        <v>0.34239000000000003</v>
      </c>
      <c r="Q388" s="77">
        <v>0.33130999999999999</v>
      </c>
      <c r="R388" s="77">
        <v>0.36597000000000002</v>
      </c>
      <c r="T388">
        <v>786</v>
      </c>
      <c r="U388">
        <f>C388*2</f>
        <v>0.66859999999999997</v>
      </c>
      <c r="V388">
        <f>D388*2</f>
        <v>0.46954000000000001</v>
      </c>
      <c r="W388">
        <f>E388*2</f>
        <v>0.72352000000000005</v>
      </c>
      <c r="X388">
        <f>F388*2</f>
        <v>0.54161999999999999</v>
      </c>
      <c r="Y388">
        <f>G388*2</f>
        <v>0.78556000000000004</v>
      </c>
      <c r="Z388">
        <f>H388*2</f>
        <v>0.74194000000000004</v>
      </c>
      <c r="AA388">
        <f>I388*2</f>
        <v>0.81811999999999996</v>
      </c>
      <c r="AB388">
        <f>J388*2</f>
        <v>0.72119999999999995</v>
      </c>
      <c r="AC388">
        <f>K388*2</f>
        <v>0.82491999999999999</v>
      </c>
      <c r="AD388">
        <f>L388*2</f>
        <v>0.82067999999999997</v>
      </c>
      <c r="AE388">
        <f>M388*2</f>
        <v>0.82920000000000005</v>
      </c>
      <c r="AF388">
        <f>N388*2</f>
        <v>0.85160000000000002</v>
      </c>
      <c r="AG388">
        <f>O388*2</f>
        <v>0.71096000000000004</v>
      </c>
      <c r="AH388">
        <f>P388*2</f>
        <v>0.68478000000000006</v>
      </c>
      <c r="AI388">
        <f>Q388*2</f>
        <v>0.66261999999999999</v>
      </c>
      <c r="AJ388">
        <f>R388*2</f>
        <v>0.73194000000000004</v>
      </c>
      <c r="EC388">
        <v>786</v>
      </c>
      <c r="ED388">
        <v>0.66859999999999997</v>
      </c>
      <c r="EE388">
        <v>0.46954000000000001</v>
      </c>
      <c r="EF388">
        <v>0.72352000000000005</v>
      </c>
      <c r="EG388">
        <v>0.54161999999999999</v>
      </c>
      <c r="EH388">
        <v>0.78556000000000004</v>
      </c>
      <c r="EI388">
        <v>0.74194000000000004</v>
      </c>
      <c r="EJ388">
        <v>0.81811999999999996</v>
      </c>
      <c r="EK388">
        <v>0.72119999999999995</v>
      </c>
      <c r="EL388">
        <v>0.82491999999999999</v>
      </c>
      <c r="EM388">
        <v>0.82067999999999997</v>
      </c>
      <c r="EN388">
        <v>0.82920000000000005</v>
      </c>
      <c r="EO388">
        <v>0.85160000000000002</v>
      </c>
      <c r="EP388">
        <v>0.71096000000000004</v>
      </c>
      <c r="EQ388">
        <v>0.68478000000000006</v>
      </c>
      <c r="ER388">
        <v>0.66261999999999999</v>
      </c>
      <c r="ES388">
        <v>0.73194000000000004</v>
      </c>
    </row>
    <row r="389" spans="1:149" x14ac:dyDescent="0.35">
      <c r="A389" s="77"/>
      <c r="B389" s="77">
        <v>787</v>
      </c>
      <c r="C389" s="77">
        <v>0.33359</v>
      </c>
      <c r="D389" s="77">
        <v>0.23416000000000001</v>
      </c>
      <c r="E389" s="77">
        <v>0.36098999999999998</v>
      </c>
      <c r="F389" s="77">
        <v>0.27022000000000002</v>
      </c>
      <c r="G389" s="77">
        <v>0.39226</v>
      </c>
      <c r="H389" s="77">
        <v>0.37047999999999998</v>
      </c>
      <c r="I389" s="77">
        <v>0.40865000000000001</v>
      </c>
      <c r="J389" s="77">
        <v>0.36016999999999999</v>
      </c>
      <c r="K389" s="77">
        <v>0.41199999999999998</v>
      </c>
      <c r="L389" s="77">
        <v>0.40978999999999999</v>
      </c>
      <c r="M389" s="77">
        <v>0.41415000000000002</v>
      </c>
      <c r="N389" s="77">
        <v>0.42521999999999999</v>
      </c>
      <c r="O389" s="77">
        <v>0.35494999999999999</v>
      </c>
      <c r="P389" s="77">
        <v>0.34189999999999998</v>
      </c>
      <c r="Q389" s="77">
        <v>0.33074999999999999</v>
      </c>
      <c r="R389" s="77">
        <v>0.3654</v>
      </c>
      <c r="T389">
        <v>787</v>
      </c>
      <c r="U389">
        <f>C389*2</f>
        <v>0.66718</v>
      </c>
      <c r="V389">
        <f>D389*2</f>
        <v>0.46832000000000001</v>
      </c>
      <c r="W389">
        <f>E389*2</f>
        <v>0.72197999999999996</v>
      </c>
      <c r="X389">
        <f>F389*2</f>
        <v>0.54044000000000003</v>
      </c>
      <c r="Y389">
        <f>G389*2</f>
        <v>0.78452</v>
      </c>
      <c r="Z389">
        <f>H389*2</f>
        <v>0.74095999999999995</v>
      </c>
      <c r="AA389">
        <f>I389*2</f>
        <v>0.81730000000000003</v>
      </c>
      <c r="AB389">
        <f>J389*2</f>
        <v>0.72033999999999998</v>
      </c>
      <c r="AC389">
        <f>K389*2</f>
        <v>0.82399999999999995</v>
      </c>
      <c r="AD389">
        <f>L389*2</f>
        <v>0.81957999999999998</v>
      </c>
      <c r="AE389">
        <f>M389*2</f>
        <v>0.82830000000000004</v>
      </c>
      <c r="AF389">
        <f>N389*2</f>
        <v>0.85043999999999997</v>
      </c>
      <c r="AG389">
        <f>O389*2</f>
        <v>0.70989999999999998</v>
      </c>
      <c r="AH389">
        <f>P389*2</f>
        <v>0.68379999999999996</v>
      </c>
      <c r="AI389">
        <f>Q389*2</f>
        <v>0.66149999999999998</v>
      </c>
      <c r="AJ389">
        <f>R389*2</f>
        <v>0.73080000000000001</v>
      </c>
      <c r="EC389">
        <v>787</v>
      </c>
      <c r="ED389">
        <v>0.66718</v>
      </c>
      <c r="EE389">
        <v>0.46832000000000001</v>
      </c>
      <c r="EF389">
        <v>0.72197999999999996</v>
      </c>
      <c r="EG389">
        <v>0.54044000000000003</v>
      </c>
      <c r="EH389">
        <v>0.78452</v>
      </c>
      <c r="EI389">
        <v>0.74095999999999995</v>
      </c>
      <c r="EJ389">
        <v>0.81730000000000003</v>
      </c>
      <c r="EK389">
        <v>0.72033999999999998</v>
      </c>
      <c r="EL389">
        <v>0.82399999999999995</v>
      </c>
      <c r="EM389">
        <v>0.81957999999999998</v>
      </c>
      <c r="EN389">
        <v>0.82830000000000004</v>
      </c>
      <c r="EO389">
        <v>0.85043999999999997</v>
      </c>
      <c r="EP389">
        <v>0.70989999999999998</v>
      </c>
      <c r="EQ389">
        <v>0.68379999999999996</v>
      </c>
      <c r="ER389">
        <v>0.66149999999999998</v>
      </c>
      <c r="ES389">
        <v>0.73080000000000001</v>
      </c>
    </row>
    <row r="390" spans="1:149" x14ac:dyDescent="0.35">
      <c r="A390" s="77"/>
      <c r="B390" s="77">
        <v>788</v>
      </c>
      <c r="C390" s="77">
        <v>0.33293</v>
      </c>
      <c r="D390" s="77">
        <v>0.23369000000000001</v>
      </c>
      <c r="E390" s="77">
        <v>0.36024</v>
      </c>
      <c r="F390" s="77">
        <v>0.26962000000000003</v>
      </c>
      <c r="G390" s="77">
        <v>0.39177000000000001</v>
      </c>
      <c r="H390" s="77">
        <v>0.37012</v>
      </c>
      <c r="I390" s="77">
        <v>0.40819</v>
      </c>
      <c r="J390" s="77">
        <v>0.35976000000000002</v>
      </c>
      <c r="K390" s="77">
        <v>0.41153000000000001</v>
      </c>
      <c r="L390" s="77">
        <v>0.40938000000000002</v>
      </c>
      <c r="M390" s="77">
        <v>0.41364000000000001</v>
      </c>
      <c r="N390" s="77">
        <v>0.42466999999999999</v>
      </c>
      <c r="O390" s="77">
        <v>0.35454999999999998</v>
      </c>
      <c r="P390" s="77">
        <v>0.34148000000000001</v>
      </c>
      <c r="Q390" s="77">
        <v>0.33028000000000002</v>
      </c>
      <c r="R390" s="77">
        <v>0.36487000000000003</v>
      </c>
      <c r="T390">
        <v>788</v>
      </c>
      <c r="U390">
        <f>C390*2</f>
        <v>0.66586000000000001</v>
      </c>
      <c r="V390">
        <f>D390*2</f>
        <v>0.46738000000000002</v>
      </c>
      <c r="W390">
        <f>E390*2</f>
        <v>0.72048000000000001</v>
      </c>
      <c r="X390">
        <f>F390*2</f>
        <v>0.53924000000000005</v>
      </c>
      <c r="Y390">
        <f>G390*2</f>
        <v>0.78354000000000001</v>
      </c>
      <c r="Z390">
        <f>H390*2</f>
        <v>0.74024000000000001</v>
      </c>
      <c r="AA390">
        <f>I390*2</f>
        <v>0.81637999999999999</v>
      </c>
      <c r="AB390">
        <f>J390*2</f>
        <v>0.71952000000000005</v>
      </c>
      <c r="AC390">
        <f>K390*2</f>
        <v>0.82306000000000001</v>
      </c>
      <c r="AD390">
        <f>L390*2</f>
        <v>0.81876000000000004</v>
      </c>
      <c r="AE390">
        <f>M390*2</f>
        <v>0.82728000000000002</v>
      </c>
      <c r="AF390">
        <f>N390*2</f>
        <v>0.84933999999999998</v>
      </c>
      <c r="AG390">
        <f>O390*2</f>
        <v>0.70909999999999995</v>
      </c>
      <c r="AH390">
        <f>P390*2</f>
        <v>0.68296000000000001</v>
      </c>
      <c r="AI390">
        <f>Q390*2</f>
        <v>0.66056000000000004</v>
      </c>
      <c r="AJ390">
        <f>R390*2</f>
        <v>0.72974000000000006</v>
      </c>
      <c r="EC390">
        <v>788</v>
      </c>
      <c r="ED390">
        <v>0.66586000000000001</v>
      </c>
      <c r="EE390">
        <v>0.46738000000000002</v>
      </c>
      <c r="EF390">
        <v>0.72048000000000001</v>
      </c>
      <c r="EG390">
        <v>0.53924000000000005</v>
      </c>
      <c r="EH390">
        <v>0.78354000000000001</v>
      </c>
      <c r="EI390">
        <v>0.74024000000000001</v>
      </c>
      <c r="EJ390">
        <v>0.81637999999999999</v>
      </c>
      <c r="EK390">
        <v>0.71952000000000005</v>
      </c>
      <c r="EL390">
        <v>0.82306000000000001</v>
      </c>
      <c r="EM390">
        <v>0.81876000000000004</v>
      </c>
      <c r="EN390">
        <v>0.82728000000000002</v>
      </c>
      <c r="EO390">
        <v>0.84933999999999998</v>
      </c>
      <c r="EP390">
        <v>0.70909999999999995</v>
      </c>
      <c r="EQ390">
        <v>0.68296000000000001</v>
      </c>
      <c r="ER390">
        <v>0.66056000000000004</v>
      </c>
      <c r="ES390">
        <v>0.72974000000000006</v>
      </c>
    </row>
    <row r="391" spans="1:149" x14ac:dyDescent="0.35">
      <c r="A391" s="77"/>
      <c r="B391" s="77">
        <v>789</v>
      </c>
      <c r="C391" s="77">
        <v>0.33228000000000002</v>
      </c>
      <c r="D391" s="77">
        <v>0.23319999999999999</v>
      </c>
      <c r="E391" s="77">
        <v>0.35951</v>
      </c>
      <c r="F391" s="77">
        <v>0.26906000000000002</v>
      </c>
      <c r="G391" s="77">
        <v>0.39129999999999998</v>
      </c>
      <c r="H391" s="77">
        <v>0.36965999999999999</v>
      </c>
      <c r="I391" s="77">
        <v>0.40761999999999998</v>
      </c>
      <c r="J391" s="77">
        <v>0.35932999999999998</v>
      </c>
      <c r="K391" s="77">
        <v>0.41109000000000001</v>
      </c>
      <c r="L391" s="77">
        <v>0.40898000000000001</v>
      </c>
      <c r="M391" s="77">
        <v>0.41310000000000002</v>
      </c>
      <c r="N391" s="77">
        <v>0.42409999999999998</v>
      </c>
      <c r="O391" s="77">
        <v>0.35415999999999997</v>
      </c>
      <c r="P391" s="77">
        <v>0.34107999999999999</v>
      </c>
      <c r="Q391" s="77">
        <v>0.32979000000000003</v>
      </c>
      <c r="R391" s="77">
        <v>0.36443999999999999</v>
      </c>
      <c r="T391">
        <v>789</v>
      </c>
      <c r="U391">
        <f>C391*2</f>
        <v>0.66456000000000004</v>
      </c>
      <c r="V391">
        <f>D391*2</f>
        <v>0.46639999999999998</v>
      </c>
      <c r="W391">
        <f>E391*2</f>
        <v>0.71901999999999999</v>
      </c>
      <c r="X391">
        <f>F391*2</f>
        <v>0.53812000000000004</v>
      </c>
      <c r="Y391">
        <f>G391*2</f>
        <v>0.78259999999999996</v>
      </c>
      <c r="Z391">
        <f>H391*2</f>
        <v>0.73931999999999998</v>
      </c>
      <c r="AA391">
        <f>I391*2</f>
        <v>0.81523999999999996</v>
      </c>
      <c r="AB391">
        <f>J391*2</f>
        <v>0.71865999999999997</v>
      </c>
      <c r="AC391">
        <f>K391*2</f>
        <v>0.82218000000000002</v>
      </c>
      <c r="AD391">
        <f>L391*2</f>
        <v>0.81796000000000002</v>
      </c>
      <c r="AE391">
        <f>M391*2</f>
        <v>0.82620000000000005</v>
      </c>
      <c r="AF391">
        <f>N391*2</f>
        <v>0.84819999999999995</v>
      </c>
      <c r="AG391">
        <f>O391*2</f>
        <v>0.70831999999999995</v>
      </c>
      <c r="AH391">
        <f>P391*2</f>
        <v>0.68215999999999999</v>
      </c>
      <c r="AI391">
        <f>Q391*2</f>
        <v>0.65958000000000006</v>
      </c>
      <c r="AJ391">
        <f>R391*2</f>
        <v>0.72887999999999997</v>
      </c>
      <c r="EC391">
        <v>789</v>
      </c>
      <c r="ED391">
        <v>0.66456000000000004</v>
      </c>
      <c r="EE391">
        <v>0.46639999999999998</v>
      </c>
      <c r="EF391">
        <v>0.71901999999999999</v>
      </c>
      <c r="EG391">
        <v>0.53812000000000004</v>
      </c>
      <c r="EH391">
        <v>0.78259999999999996</v>
      </c>
      <c r="EI391">
        <v>0.73931999999999998</v>
      </c>
      <c r="EJ391">
        <v>0.81523999999999996</v>
      </c>
      <c r="EK391">
        <v>0.71865999999999997</v>
      </c>
      <c r="EL391">
        <v>0.82218000000000002</v>
      </c>
      <c r="EM391">
        <v>0.81796000000000002</v>
      </c>
      <c r="EN391">
        <v>0.82620000000000005</v>
      </c>
      <c r="EO391">
        <v>0.84819999999999995</v>
      </c>
      <c r="EP391">
        <v>0.70831999999999995</v>
      </c>
      <c r="EQ391">
        <v>0.68215999999999999</v>
      </c>
      <c r="ER391">
        <v>0.65958000000000006</v>
      </c>
      <c r="ES391">
        <v>0.72887999999999997</v>
      </c>
    </row>
    <row r="392" spans="1:149" x14ac:dyDescent="0.35">
      <c r="A392" s="77"/>
      <c r="B392" s="77">
        <v>790</v>
      </c>
      <c r="C392" s="77">
        <v>0.33162999999999998</v>
      </c>
      <c r="D392" s="77">
        <v>0.23275999999999999</v>
      </c>
      <c r="E392" s="77">
        <v>0.35882999999999998</v>
      </c>
      <c r="F392" s="77">
        <v>0.26854</v>
      </c>
      <c r="G392" s="77">
        <v>0.39079000000000003</v>
      </c>
      <c r="H392" s="77">
        <v>0.36919999999999997</v>
      </c>
      <c r="I392" s="77">
        <v>0.40715000000000001</v>
      </c>
      <c r="J392" s="77">
        <v>0.35888999999999999</v>
      </c>
      <c r="K392" s="77">
        <v>0.41060999999999998</v>
      </c>
      <c r="L392" s="77">
        <v>0.40850999999999998</v>
      </c>
      <c r="M392" s="77">
        <v>0.41260999999999998</v>
      </c>
      <c r="N392" s="77">
        <v>0.42348999999999998</v>
      </c>
      <c r="O392" s="77">
        <v>0.35361999999999999</v>
      </c>
      <c r="P392" s="77">
        <v>0.34059</v>
      </c>
      <c r="Q392" s="77">
        <v>0.32932</v>
      </c>
      <c r="R392" s="77">
        <v>0.36395</v>
      </c>
      <c r="T392">
        <v>790</v>
      </c>
      <c r="U392">
        <f>C392*2</f>
        <v>0.66325999999999996</v>
      </c>
      <c r="V392">
        <f>D392*2</f>
        <v>0.46551999999999999</v>
      </c>
      <c r="W392">
        <f>E392*2</f>
        <v>0.71765999999999996</v>
      </c>
      <c r="X392">
        <f>F392*2</f>
        <v>0.53708</v>
      </c>
      <c r="Y392">
        <f>G392*2</f>
        <v>0.78158000000000005</v>
      </c>
      <c r="Z392">
        <f>H392*2</f>
        <v>0.73839999999999995</v>
      </c>
      <c r="AA392">
        <f>I392*2</f>
        <v>0.81430000000000002</v>
      </c>
      <c r="AB392">
        <f>J392*2</f>
        <v>0.71777999999999997</v>
      </c>
      <c r="AC392">
        <f>K392*2</f>
        <v>0.82121999999999995</v>
      </c>
      <c r="AD392">
        <f>L392*2</f>
        <v>0.81701999999999997</v>
      </c>
      <c r="AE392">
        <f>M392*2</f>
        <v>0.82521999999999995</v>
      </c>
      <c r="AF392">
        <f>N392*2</f>
        <v>0.84697999999999996</v>
      </c>
      <c r="AG392">
        <f>O392*2</f>
        <v>0.70723999999999998</v>
      </c>
      <c r="AH392">
        <f>P392*2</f>
        <v>0.68118000000000001</v>
      </c>
      <c r="AI392">
        <f>Q392*2</f>
        <v>0.65864</v>
      </c>
      <c r="AJ392">
        <f>R392*2</f>
        <v>0.72789999999999999</v>
      </c>
      <c r="EC392">
        <v>790</v>
      </c>
      <c r="ED392">
        <v>0.66325999999999996</v>
      </c>
      <c r="EE392">
        <v>0.46551999999999999</v>
      </c>
      <c r="EF392">
        <v>0.71765999999999996</v>
      </c>
      <c r="EG392">
        <v>0.53708</v>
      </c>
      <c r="EH392">
        <v>0.78158000000000005</v>
      </c>
      <c r="EI392">
        <v>0.73839999999999995</v>
      </c>
      <c r="EJ392">
        <v>0.81430000000000002</v>
      </c>
      <c r="EK392">
        <v>0.71777999999999997</v>
      </c>
      <c r="EL392">
        <v>0.82121999999999995</v>
      </c>
      <c r="EM392">
        <v>0.81701999999999997</v>
      </c>
      <c r="EN392">
        <v>0.82521999999999995</v>
      </c>
      <c r="EO392">
        <v>0.84697999999999996</v>
      </c>
      <c r="EP392">
        <v>0.70723999999999998</v>
      </c>
      <c r="EQ392">
        <v>0.68118000000000001</v>
      </c>
      <c r="ER392">
        <v>0.65864</v>
      </c>
      <c r="ES392">
        <v>0.72789999999999999</v>
      </c>
    </row>
    <row r="393" spans="1:149" x14ac:dyDescent="0.35">
      <c r="A393" s="77"/>
      <c r="B393" s="77">
        <v>791</v>
      </c>
      <c r="C393" s="77">
        <v>0.33084000000000002</v>
      </c>
      <c r="D393" s="77">
        <v>0.23218</v>
      </c>
      <c r="E393" s="77">
        <v>0.35808000000000001</v>
      </c>
      <c r="F393" s="77">
        <v>0.26790999999999998</v>
      </c>
      <c r="G393" s="77">
        <v>0.39029999999999998</v>
      </c>
      <c r="H393" s="77">
        <v>0.36873</v>
      </c>
      <c r="I393" s="77">
        <v>0.40675</v>
      </c>
      <c r="J393" s="77">
        <v>0.35854000000000003</v>
      </c>
      <c r="K393" s="77">
        <v>0.41010000000000002</v>
      </c>
      <c r="L393" s="77">
        <v>0.40810000000000002</v>
      </c>
      <c r="M393" s="77">
        <v>0.41210999999999998</v>
      </c>
      <c r="N393" s="77">
        <v>0.42296</v>
      </c>
      <c r="O393" s="77">
        <v>0.35311999999999999</v>
      </c>
      <c r="P393" s="77">
        <v>0.34009</v>
      </c>
      <c r="Q393" s="77">
        <v>0.32878000000000002</v>
      </c>
      <c r="R393" s="77">
        <v>0.36342000000000002</v>
      </c>
      <c r="T393">
        <v>791</v>
      </c>
      <c r="U393">
        <f>C393*2</f>
        <v>0.66168000000000005</v>
      </c>
      <c r="V393">
        <f>D393*2</f>
        <v>0.46435999999999999</v>
      </c>
      <c r="W393">
        <f>E393*2</f>
        <v>0.71616000000000002</v>
      </c>
      <c r="X393">
        <f>F393*2</f>
        <v>0.53581999999999996</v>
      </c>
      <c r="Y393">
        <f>G393*2</f>
        <v>0.78059999999999996</v>
      </c>
      <c r="Z393">
        <f>H393*2</f>
        <v>0.73746</v>
      </c>
      <c r="AA393">
        <f>I393*2</f>
        <v>0.8135</v>
      </c>
      <c r="AB393">
        <f>J393*2</f>
        <v>0.71708000000000005</v>
      </c>
      <c r="AC393">
        <f>K393*2</f>
        <v>0.82020000000000004</v>
      </c>
      <c r="AD393">
        <f>L393*2</f>
        <v>0.81620000000000004</v>
      </c>
      <c r="AE393">
        <f>M393*2</f>
        <v>0.82421999999999995</v>
      </c>
      <c r="AF393">
        <f>N393*2</f>
        <v>0.84592000000000001</v>
      </c>
      <c r="AG393">
        <f>O393*2</f>
        <v>0.70623999999999998</v>
      </c>
      <c r="AH393">
        <f>P393*2</f>
        <v>0.68018000000000001</v>
      </c>
      <c r="AI393">
        <f>Q393*2</f>
        <v>0.65756000000000003</v>
      </c>
      <c r="AJ393">
        <f>R393*2</f>
        <v>0.72684000000000004</v>
      </c>
      <c r="EC393">
        <v>791</v>
      </c>
      <c r="ED393">
        <v>0.66168000000000005</v>
      </c>
      <c r="EE393">
        <v>0.46435999999999999</v>
      </c>
      <c r="EF393">
        <v>0.71616000000000002</v>
      </c>
      <c r="EG393">
        <v>0.53581999999999996</v>
      </c>
      <c r="EH393">
        <v>0.78059999999999996</v>
      </c>
      <c r="EI393">
        <v>0.73746</v>
      </c>
      <c r="EJ393">
        <v>0.8135</v>
      </c>
      <c r="EK393">
        <v>0.71708000000000005</v>
      </c>
      <c r="EL393">
        <v>0.82020000000000004</v>
      </c>
      <c r="EM393">
        <v>0.81620000000000004</v>
      </c>
      <c r="EN393">
        <v>0.82421999999999995</v>
      </c>
      <c r="EO393">
        <v>0.84592000000000001</v>
      </c>
      <c r="EP393">
        <v>0.70623999999999998</v>
      </c>
      <c r="EQ393">
        <v>0.68018000000000001</v>
      </c>
      <c r="ER393">
        <v>0.65756000000000003</v>
      </c>
      <c r="ES393">
        <v>0.72684000000000004</v>
      </c>
    </row>
    <row r="394" spans="1:149" x14ac:dyDescent="0.35">
      <c r="A394" s="77"/>
      <c r="B394" s="77">
        <v>792</v>
      </c>
      <c r="C394" s="77">
        <v>0.33026</v>
      </c>
      <c r="D394" s="77">
        <v>0.23169999999999999</v>
      </c>
      <c r="E394" s="77">
        <v>0.35736000000000001</v>
      </c>
      <c r="F394" s="77">
        <v>0.26734999999999998</v>
      </c>
      <c r="G394" s="77">
        <v>0.38982</v>
      </c>
      <c r="H394" s="77">
        <v>0.36829000000000001</v>
      </c>
      <c r="I394" s="77">
        <v>0.40627999999999997</v>
      </c>
      <c r="J394" s="77">
        <v>0.35818</v>
      </c>
      <c r="K394" s="77">
        <v>0.40960999999999997</v>
      </c>
      <c r="L394" s="77">
        <v>0.40766999999999998</v>
      </c>
      <c r="M394" s="77">
        <v>0.41171000000000002</v>
      </c>
      <c r="N394" s="77">
        <v>0.42242000000000002</v>
      </c>
      <c r="O394" s="77">
        <v>0.35265999999999997</v>
      </c>
      <c r="P394" s="77">
        <v>0.33956999999999998</v>
      </c>
      <c r="Q394" s="77">
        <v>0.32828000000000002</v>
      </c>
      <c r="R394" s="77">
        <v>0.36298000000000002</v>
      </c>
      <c r="T394">
        <v>792</v>
      </c>
      <c r="U394">
        <f>C394*2</f>
        <v>0.66052</v>
      </c>
      <c r="V394">
        <f>D394*2</f>
        <v>0.46339999999999998</v>
      </c>
      <c r="W394">
        <f>E394*2</f>
        <v>0.71472000000000002</v>
      </c>
      <c r="X394">
        <f>F394*2</f>
        <v>0.53469999999999995</v>
      </c>
      <c r="Y394">
        <f>G394*2</f>
        <v>0.77964</v>
      </c>
      <c r="Z394">
        <f>H394*2</f>
        <v>0.73658000000000001</v>
      </c>
      <c r="AA394">
        <f>I394*2</f>
        <v>0.81255999999999995</v>
      </c>
      <c r="AB394">
        <f>J394*2</f>
        <v>0.71636</v>
      </c>
      <c r="AC394">
        <f>K394*2</f>
        <v>0.81921999999999995</v>
      </c>
      <c r="AD394">
        <f>L394*2</f>
        <v>0.81533999999999995</v>
      </c>
      <c r="AE394">
        <f>M394*2</f>
        <v>0.82342000000000004</v>
      </c>
      <c r="AF394">
        <f>N394*2</f>
        <v>0.84484000000000004</v>
      </c>
      <c r="AG394">
        <f>O394*2</f>
        <v>0.70531999999999995</v>
      </c>
      <c r="AH394">
        <f>P394*2</f>
        <v>0.67913999999999997</v>
      </c>
      <c r="AI394">
        <f>Q394*2</f>
        <v>0.65656000000000003</v>
      </c>
      <c r="AJ394">
        <f>R394*2</f>
        <v>0.72596000000000005</v>
      </c>
      <c r="EC394">
        <v>792</v>
      </c>
      <c r="ED394">
        <v>0.66052</v>
      </c>
      <c r="EE394">
        <v>0.46339999999999998</v>
      </c>
      <c r="EF394">
        <v>0.71472000000000002</v>
      </c>
      <c r="EG394">
        <v>0.53469999999999995</v>
      </c>
      <c r="EH394">
        <v>0.77964</v>
      </c>
      <c r="EI394">
        <v>0.73658000000000001</v>
      </c>
      <c r="EJ394">
        <v>0.81255999999999995</v>
      </c>
      <c r="EK394">
        <v>0.71636</v>
      </c>
      <c r="EL394">
        <v>0.81921999999999995</v>
      </c>
      <c r="EM394">
        <v>0.81533999999999995</v>
      </c>
      <c r="EN394">
        <v>0.82342000000000004</v>
      </c>
      <c r="EO394">
        <v>0.84484000000000004</v>
      </c>
      <c r="EP394">
        <v>0.70531999999999995</v>
      </c>
      <c r="EQ394">
        <v>0.67913999999999997</v>
      </c>
      <c r="ER394">
        <v>0.65656000000000003</v>
      </c>
      <c r="ES394">
        <v>0.72596000000000005</v>
      </c>
    </row>
    <row r="395" spans="1:149" x14ac:dyDescent="0.35">
      <c r="A395" s="77"/>
      <c r="B395" s="77">
        <v>793</v>
      </c>
      <c r="C395" s="77">
        <v>0.32956999999999997</v>
      </c>
      <c r="D395" s="77">
        <v>0.23125000000000001</v>
      </c>
      <c r="E395" s="77">
        <v>0.35660999999999998</v>
      </c>
      <c r="F395" s="77">
        <v>0.26683000000000001</v>
      </c>
      <c r="G395" s="77">
        <v>0.38927</v>
      </c>
      <c r="H395" s="77">
        <v>0.36786000000000002</v>
      </c>
      <c r="I395" s="77">
        <v>0.40582000000000001</v>
      </c>
      <c r="J395" s="77">
        <v>0.35764000000000001</v>
      </c>
      <c r="K395" s="77">
        <v>0.40906999999999999</v>
      </c>
      <c r="L395" s="77">
        <v>0.40716999999999998</v>
      </c>
      <c r="M395" s="77">
        <v>0.41116000000000003</v>
      </c>
      <c r="N395" s="77">
        <v>0.42181000000000002</v>
      </c>
      <c r="O395" s="77">
        <v>0.35221999999999998</v>
      </c>
      <c r="P395" s="77">
        <v>0.3392</v>
      </c>
      <c r="Q395" s="77">
        <v>0.32773999999999998</v>
      </c>
      <c r="R395" s="77">
        <v>0.36252000000000001</v>
      </c>
      <c r="T395">
        <v>793</v>
      </c>
      <c r="U395">
        <f>C395*2</f>
        <v>0.65913999999999995</v>
      </c>
      <c r="V395">
        <f>D395*2</f>
        <v>0.46250000000000002</v>
      </c>
      <c r="W395">
        <f>E395*2</f>
        <v>0.71321999999999997</v>
      </c>
      <c r="X395">
        <f>F395*2</f>
        <v>0.53366000000000002</v>
      </c>
      <c r="Y395">
        <f>G395*2</f>
        <v>0.77854000000000001</v>
      </c>
      <c r="Z395">
        <f>H395*2</f>
        <v>0.73572000000000004</v>
      </c>
      <c r="AA395">
        <f>I395*2</f>
        <v>0.81164000000000003</v>
      </c>
      <c r="AB395">
        <f>J395*2</f>
        <v>0.71528000000000003</v>
      </c>
      <c r="AC395">
        <f>K395*2</f>
        <v>0.81813999999999998</v>
      </c>
      <c r="AD395">
        <f>L395*2</f>
        <v>0.81433999999999995</v>
      </c>
      <c r="AE395">
        <f>M395*2</f>
        <v>0.82232000000000005</v>
      </c>
      <c r="AF395">
        <f>N395*2</f>
        <v>0.84362000000000004</v>
      </c>
      <c r="AG395">
        <f>O395*2</f>
        <v>0.70443999999999996</v>
      </c>
      <c r="AH395">
        <f>P395*2</f>
        <v>0.6784</v>
      </c>
      <c r="AI395">
        <f>Q395*2</f>
        <v>0.65547999999999995</v>
      </c>
      <c r="AJ395">
        <f>R395*2</f>
        <v>0.72504000000000002</v>
      </c>
      <c r="EC395">
        <v>793</v>
      </c>
      <c r="ED395">
        <v>0.65913999999999995</v>
      </c>
      <c r="EE395">
        <v>0.46250000000000002</v>
      </c>
      <c r="EF395">
        <v>0.71321999999999997</v>
      </c>
      <c r="EG395">
        <v>0.53366000000000002</v>
      </c>
      <c r="EH395">
        <v>0.77854000000000001</v>
      </c>
      <c r="EI395">
        <v>0.73572000000000004</v>
      </c>
      <c r="EJ395">
        <v>0.81164000000000003</v>
      </c>
      <c r="EK395">
        <v>0.71528000000000003</v>
      </c>
      <c r="EL395">
        <v>0.81813999999999998</v>
      </c>
      <c r="EM395">
        <v>0.81433999999999995</v>
      </c>
      <c r="EN395">
        <v>0.82232000000000005</v>
      </c>
      <c r="EO395">
        <v>0.84362000000000004</v>
      </c>
      <c r="EP395">
        <v>0.70443999999999996</v>
      </c>
      <c r="EQ395">
        <v>0.6784</v>
      </c>
      <c r="ER395">
        <v>0.65547999999999995</v>
      </c>
      <c r="ES395">
        <v>0.72504000000000002</v>
      </c>
    </row>
    <row r="396" spans="1:149" x14ac:dyDescent="0.35">
      <c r="A396" s="77"/>
      <c r="B396" s="77">
        <v>794</v>
      </c>
      <c r="C396" s="77">
        <v>0.32895000000000002</v>
      </c>
      <c r="D396" s="77">
        <v>0.23071</v>
      </c>
      <c r="E396" s="77">
        <v>0.35593999999999998</v>
      </c>
      <c r="F396" s="77">
        <v>0.26622000000000001</v>
      </c>
      <c r="G396" s="77">
        <v>0.38882</v>
      </c>
      <c r="H396" s="77">
        <v>0.36742999999999998</v>
      </c>
      <c r="I396" s="77">
        <v>0.40532000000000001</v>
      </c>
      <c r="J396" s="77">
        <v>0.35727999999999999</v>
      </c>
      <c r="K396" s="77">
        <v>0.40856999999999999</v>
      </c>
      <c r="L396" s="77">
        <v>0.40675</v>
      </c>
      <c r="M396" s="77">
        <v>0.4108</v>
      </c>
      <c r="N396" s="77">
        <v>0.42127999999999999</v>
      </c>
      <c r="O396" s="77">
        <v>0.35171999999999998</v>
      </c>
      <c r="P396" s="77">
        <v>0.33872999999999998</v>
      </c>
      <c r="Q396" s="77">
        <v>0.32726</v>
      </c>
      <c r="R396" s="77">
        <v>0.36198000000000002</v>
      </c>
      <c r="T396">
        <v>794</v>
      </c>
      <c r="U396">
        <f>C396*2</f>
        <v>0.65790000000000004</v>
      </c>
      <c r="V396">
        <f>D396*2</f>
        <v>0.46142</v>
      </c>
      <c r="W396">
        <f>E396*2</f>
        <v>0.71187999999999996</v>
      </c>
      <c r="X396">
        <f>F396*2</f>
        <v>0.53244000000000002</v>
      </c>
      <c r="Y396">
        <f>G396*2</f>
        <v>0.77764</v>
      </c>
      <c r="Z396">
        <f>H396*2</f>
        <v>0.73485999999999996</v>
      </c>
      <c r="AA396">
        <f>I396*2</f>
        <v>0.81064000000000003</v>
      </c>
      <c r="AB396">
        <f>J396*2</f>
        <v>0.71455999999999997</v>
      </c>
      <c r="AC396">
        <f>K396*2</f>
        <v>0.81713999999999998</v>
      </c>
      <c r="AD396">
        <f>L396*2</f>
        <v>0.8135</v>
      </c>
      <c r="AE396">
        <f>M396*2</f>
        <v>0.8216</v>
      </c>
      <c r="AF396">
        <f>N396*2</f>
        <v>0.84255999999999998</v>
      </c>
      <c r="AG396">
        <f>O396*2</f>
        <v>0.70343999999999995</v>
      </c>
      <c r="AH396">
        <f>P396*2</f>
        <v>0.67745999999999995</v>
      </c>
      <c r="AI396">
        <f>Q396*2</f>
        <v>0.65451999999999999</v>
      </c>
      <c r="AJ396">
        <f>R396*2</f>
        <v>0.72396000000000005</v>
      </c>
      <c r="EC396">
        <v>794</v>
      </c>
      <c r="ED396">
        <v>0.65790000000000004</v>
      </c>
      <c r="EE396">
        <v>0.46142</v>
      </c>
      <c r="EF396">
        <v>0.71187999999999996</v>
      </c>
      <c r="EG396">
        <v>0.53244000000000002</v>
      </c>
      <c r="EH396">
        <v>0.77764</v>
      </c>
      <c r="EI396">
        <v>0.73485999999999996</v>
      </c>
      <c r="EJ396">
        <v>0.81064000000000003</v>
      </c>
      <c r="EK396">
        <v>0.71455999999999997</v>
      </c>
      <c r="EL396">
        <v>0.81713999999999998</v>
      </c>
      <c r="EM396">
        <v>0.8135</v>
      </c>
      <c r="EN396">
        <v>0.8216</v>
      </c>
      <c r="EO396">
        <v>0.84255999999999998</v>
      </c>
      <c r="EP396">
        <v>0.70343999999999995</v>
      </c>
      <c r="EQ396">
        <v>0.67745999999999995</v>
      </c>
      <c r="ER396">
        <v>0.65451999999999999</v>
      </c>
      <c r="ES396">
        <v>0.72396000000000005</v>
      </c>
    </row>
    <row r="397" spans="1:149" x14ac:dyDescent="0.35">
      <c r="A397" s="77"/>
      <c r="B397" s="77">
        <v>795</v>
      </c>
      <c r="C397" s="77">
        <v>0.32824999999999999</v>
      </c>
      <c r="D397" s="77">
        <v>0.23021</v>
      </c>
      <c r="E397" s="77">
        <v>0.35519000000000001</v>
      </c>
      <c r="F397" s="77">
        <v>0.26563999999999999</v>
      </c>
      <c r="G397" s="77">
        <v>0.38834000000000002</v>
      </c>
      <c r="H397" s="77">
        <v>0.36699999999999999</v>
      </c>
      <c r="I397" s="77">
        <v>0.40484999999999999</v>
      </c>
      <c r="J397" s="77">
        <v>0.35686000000000001</v>
      </c>
      <c r="K397" s="77">
        <v>0.40810999999999997</v>
      </c>
      <c r="L397" s="77">
        <v>0.40627000000000002</v>
      </c>
      <c r="M397" s="77">
        <v>0.41034999999999999</v>
      </c>
      <c r="N397" s="77">
        <v>0.42061999999999999</v>
      </c>
      <c r="O397" s="77">
        <v>0.35124</v>
      </c>
      <c r="P397" s="77">
        <v>0.33833000000000002</v>
      </c>
      <c r="Q397" s="77">
        <v>0.32677</v>
      </c>
      <c r="R397" s="77">
        <v>0.36153000000000002</v>
      </c>
      <c r="T397">
        <v>795</v>
      </c>
      <c r="U397">
        <f>C397*2</f>
        <v>0.65649999999999997</v>
      </c>
      <c r="V397">
        <f>D397*2</f>
        <v>0.46042</v>
      </c>
      <c r="W397">
        <f>E397*2</f>
        <v>0.71038000000000001</v>
      </c>
      <c r="X397">
        <f>F397*2</f>
        <v>0.53127999999999997</v>
      </c>
      <c r="Y397">
        <f>G397*2</f>
        <v>0.77668000000000004</v>
      </c>
      <c r="Z397">
        <f>H397*2</f>
        <v>0.73399999999999999</v>
      </c>
      <c r="AA397">
        <f>I397*2</f>
        <v>0.80969999999999998</v>
      </c>
      <c r="AB397">
        <f>J397*2</f>
        <v>0.71372000000000002</v>
      </c>
      <c r="AC397">
        <f>K397*2</f>
        <v>0.81621999999999995</v>
      </c>
      <c r="AD397">
        <f>L397*2</f>
        <v>0.81254000000000004</v>
      </c>
      <c r="AE397">
        <f>M397*2</f>
        <v>0.82069999999999999</v>
      </c>
      <c r="AF397">
        <f>N397*2</f>
        <v>0.84123999999999999</v>
      </c>
      <c r="AG397">
        <f>O397*2</f>
        <v>0.70247999999999999</v>
      </c>
      <c r="AH397">
        <f>P397*2</f>
        <v>0.67666000000000004</v>
      </c>
      <c r="AI397">
        <f>Q397*2</f>
        <v>0.65354000000000001</v>
      </c>
      <c r="AJ397">
        <f>R397*2</f>
        <v>0.72306000000000004</v>
      </c>
      <c r="EC397">
        <v>795</v>
      </c>
      <c r="ED397">
        <v>0.65649999999999997</v>
      </c>
      <c r="EE397">
        <v>0.46042</v>
      </c>
      <c r="EF397">
        <v>0.71038000000000001</v>
      </c>
      <c r="EG397">
        <v>0.53127999999999997</v>
      </c>
      <c r="EH397">
        <v>0.77668000000000004</v>
      </c>
      <c r="EI397">
        <v>0.73399999999999999</v>
      </c>
      <c r="EJ397">
        <v>0.80969999999999998</v>
      </c>
      <c r="EK397">
        <v>0.71372000000000002</v>
      </c>
      <c r="EL397">
        <v>0.81621999999999995</v>
      </c>
      <c r="EM397">
        <v>0.81254000000000004</v>
      </c>
      <c r="EN397">
        <v>0.82069999999999999</v>
      </c>
      <c r="EO397">
        <v>0.84123999999999999</v>
      </c>
      <c r="EP397">
        <v>0.70247999999999999</v>
      </c>
      <c r="EQ397">
        <v>0.67666000000000004</v>
      </c>
      <c r="ER397">
        <v>0.65354000000000001</v>
      </c>
      <c r="ES397">
        <v>0.72306000000000004</v>
      </c>
    </row>
    <row r="398" spans="1:149" x14ac:dyDescent="0.35">
      <c r="A398" s="77"/>
      <c r="B398" s="77">
        <v>796</v>
      </c>
      <c r="C398" s="77">
        <v>0.32752999999999999</v>
      </c>
      <c r="D398" s="77">
        <v>0.22974</v>
      </c>
      <c r="E398" s="77">
        <v>0.35450999999999999</v>
      </c>
      <c r="F398" s="77">
        <v>0.26506000000000002</v>
      </c>
      <c r="G398" s="77">
        <v>0.38773999999999997</v>
      </c>
      <c r="H398" s="77">
        <v>0.36652000000000001</v>
      </c>
      <c r="I398" s="77">
        <v>0.40436</v>
      </c>
      <c r="J398" s="77">
        <v>0.35643000000000002</v>
      </c>
      <c r="K398" s="77">
        <v>0.40753</v>
      </c>
      <c r="L398" s="77">
        <v>0.40582000000000001</v>
      </c>
      <c r="M398" s="77">
        <v>0.40971000000000002</v>
      </c>
      <c r="N398" s="77">
        <v>0.41991000000000001</v>
      </c>
      <c r="O398" s="77">
        <v>0.3508</v>
      </c>
      <c r="P398" s="77">
        <v>0.33785999999999999</v>
      </c>
      <c r="Q398" s="77">
        <v>0.32632</v>
      </c>
      <c r="R398" s="77">
        <v>0.36113000000000001</v>
      </c>
      <c r="T398">
        <v>796</v>
      </c>
      <c r="U398">
        <f>C398*2</f>
        <v>0.65505999999999998</v>
      </c>
      <c r="V398">
        <f>D398*2</f>
        <v>0.45948</v>
      </c>
      <c r="W398">
        <f>E398*2</f>
        <v>0.70901999999999998</v>
      </c>
      <c r="X398">
        <f>F398*2</f>
        <v>0.53012000000000004</v>
      </c>
      <c r="Y398">
        <f>G398*2</f>
        <v>0.77547999999999995</v>
      </c>
      <c r="Z398">
        <f>H398*2</f>
        <v>0.73304000000000002</v>
      </c>
      <c r="AA398">
        <f>I398*2</f>
        <v>0.80871999999999999</v>
      </c>
      <c r="AB398">
        <f>J398*2</f>
        <v>0.71286000000000005</v>
      </c>
      <c r="AC398">
        <f>K398*2</f>
        <v>0.81506000000000001</v>
      </c>
      <c r="AD398">
        <f>L398*2</f>
        <v>0.81164000000000003</v>
      </c>
      <c r="AE398">
        <f>M398*2</f>
        <v>0.81942000000000004</v>
      </c>
      <c r="AF398">
        <f>N398*2</f>
        <v>0.83982000000000001</v>
      </c>
      <c r="AG398">
        <f>O398*2</f>
        <v>0.7016</v>
      </c>
      <c r="AH398">
        <f>P398*2</f>
        <v>0.67571999999999999</v>
      </c>
      <c r="AI398">
        <f>Q398*2</f>
        <v>0.65264</v>
      </c>
      <c r="AJ398">
        <f>R398*2</f>
        <v>0.72226000000000001</v>
      </c>
      <c r="EC398">
        <v>796</v>
      </c>
      <c r="ED398">
        <v>0.65505999999999998</v>
      </c>
      <c r="EE398">
        <v>0.45948</v>
      </c>
      <c r="EF398">
        <v>0.70901999999999998</v>
      </c>
      <c r="EG398">
        <v>0.53012000000000004</v>
      </c>
      <c r="EH398">
        <v>0.77547999999999995</v>
      </c>
      <c r="EI398">
        <v>0.73304000000000002</v>
      </c>
      <c r="EJ398">
        <v>0.80871999999999999</v>
      </c>
      <c r="EK398">
        <v>0.71286000000000005</v>
      </c>
      <c r="EL398">
        <v>0.81506000000000001</v>
      </c>
      <c r="EM398">
        <v>0.81164000000000003</v>
      </c>
      <c r="EN398">
        <v>0.81942000000000004</v>
      </c>
      <c r="EO398">
        <v>0.83982000000000001</v>
      </c>
      <c r="EP398">
        <v>0.7016</v>
      </c>
      <c r="EQ398">
        <v>0.67571999999999999</v>
      </c>
      <c r="ER398">
        <v>0.65264</v>
      </c>
      <c r="ES398">
        <v>0.72226000000000001</v>
      </c>
    </row>
    <row r="399" spans="1:149" x14ac:dyDescent="0.35">
      <c r="A399" s="77"/>
      <c r="B399" s="77">
        <v>797</v>
      </c>
      <c r="C399" s="77">
        <v>0.32689000000000001</v>
      </c>
      <c r="D399" s="77">
        <v>0.22919</v>
      </c>
      <c r="E399" s="77">
        <v>0.35381000000000001</v>
      </c>
      <c r="F399" s="77">
        <v>0.26440000000000002</v>
      </c>
      <c r="G399" s="77">
        <v>0.38724999999999998</v>
      </c>
      <c r="H399" s="77">
        <v>0.36603000000000002</v>
      </c>
      <c r="I399" s="77">
        <v>0.40384999999999999</v>
      </c>
      <c r="J399" s="77">
        <v>0.35603000000000001</v>
      </c>
      <c r="K399" s="77">
        <v>0.40706999999999999</v>
      </c>
      <c r="L399" s="77">
        <v>0.40538000000000002</v>
      </c>
      <c r="M399" s="77">
        <v>0.40922999999999998</v>
      </c>
      <c r="N399" s="77">
        <v>0.41933999999999999</v>
      </c>
      <c r="O399" s="77">
        <v>0.35032999999999997</v>
      </c>
      <c r="P399" s="77">
        <v>0.33742</v>
      </c>
      <c r="Q399" s="77">
        <v>0.32580999999999999</v>
      </c>
      <c r="R399" s="77">
        <v>0.36066999999999999</v>
      </c>
      <c r="T399">
        <v>797</v>
      </c>
      <c r="U399">
        <f>C399*2</f>
        <v>0.65378000000000003</v>
      </c>
      <c r="V399">
        <f>D399*2</f>
        <v>0.45838000000000001</v>
      </c>
      <c r="W399">
        <f>E399*2</f>
        <v>0.70762000000000003</v>
      </c>
      <c r="X399">
        <f>F399*2</f>
        <v>0.52880000000000005</v>
      </c>
      <c r="Y399">
        <f>G399*2</f>
        <v>0.77449999999999997</v>
      </c>
      <c r="Z399">
        <f>H399*2</f>
        <v>0.73206000000000004</v>
      </c>
      <c r="AA399">
        <f>I399*2</f>
        <v>0.80769999999999997</v>
      </c>
      <c r="AB399">
        <f>J399*2</f>
        <v>0.71206000000000003</v>
      </c>
      <c r="AC399">
        <f>K399*2</f>
        <v>0.81413999999999997</v>
      </c>
      <c r="AD399">
        <f>L399*2</f>
        <v>0.81076000000000004</v>
      </c>
      <c r="AE399">
        <f>M399*2</f>
        <v>0.81845999999999997</v>
      </c>
      <c r="AF399">
        <f>N399*2</f>
        <v>0.83867999999999998</v>
      </c>
      <c r="AG399">
        <f>O399*2</f>
        <v>0.70065999999999995</v>
      </c>
      <c r="AH399">
        <f>P399*2</f>
        <v>0.67484</v>
      </c>
      <c r="AI399">
        <f>Q399*2</f>
        <v>0.65161999999999998</v>
      </c>
      <c r="AJ399">
        <f>R399*2</f>
        <v>0.72133999999999998</v>
      </c>
      <c r="EC399">
        <v>797</v>
      </c>
      <c r="ED399">
        <v>0.65378000000000003</v>
      </c>
      <c r="EE399">
        <v>0.45838000000000001</v>
      </c>
      <c r="EF399">
        <v>0.70762000000000003</v>
      </c>
      <c r="EG399">
        <v>0.52880000000000005</v>
      </c>
      <c r="EH399">
        <v>0.77449999999999997</v>
      </c>
      <c r="EI399">
        <v>0.73206000000000004</v>
      </c>
      <c r="EJ399">
        <v>0.80769999999999997</v>
      </c>
      <c r="EK399">
        <v>0.71206000000000003</v>
      </c>
      <c r="EL399">
        <v>0.81413999999999997</v>
      </c>
      <c r="EM399">
        <v>0.81076000000000004</v>
      </c>
      <c r="EN399">
        <v>0.81845999999999997</v>
      </c>
      <c r="EO399">
        <v>0.83867999999999998</v>
      </c>
      <c r="EP399">
        <v>0.70065999999999995</v>
      </c>
      <c r="EQ399">
        <v>0.67484</v>
      </c>
      <c r="ER399">
        <v>0.65161999999999998</v>
      </c>
      <c r="ES399">
        <v>0.72133999999999998</v>
      </c>
    </row>
    <row r="400" spans="1:149" x14ac:dyDescent="0.35">
      <c r="A400" s="77"/>
      <c r="B400" s="77">
        <v>798</v>
      </c>
      <c r="C400" s="77">
        <v>0.32629000000000002</v>
      </c>
      <c r="D400" s="77">
        <v>0.22867999999999999</v>
      </c>
      <c r="E400" s="77">
        <v>0.35313</v>
      </c>
      <c r="F400" s="77">
        <v>0.26401000000000002</v>
      </c>
      <c r="G400" s="77">
        <v>0.38680999999999999</v>
      </c>
      <c r="H400" s="77">
        <v>0.36569000000000002</v>
      </c>
      <c r="I400" s="77">
        <v>0.40351999999999999</v>
      </c>
      <c r="J400" s="77">
        <v>0.35571000000000003</v>
      </c>
      <c r="K400" s="77">
        <v>0.40661999999999998</v>
      </c>
      <c r="L400" s="77">
        <v>0.40494000000000002</v>
      </c>
      <c r="M400" s="77">
        <v>0.40888999999999998</v>
      </c>
      <c r="N400" s="77">
        <v>0.41882000000000003</v>
      </c>
      <c r="O400" s="77">
        <v>0.34995999999999999</v>
      </c>
      <c r="P400" s="77">
        <v>0.33695999999999998</v>
      </c>
      <c r="Q400" s="77">
        <v>0.32544000000000001</v>
      </c>
      <c r="R400" s="77">
        <v>0.36020000000000002</v>
      </c>
      <c r="T400">
        <v>798</v>
      </c>
      <c r="U400">
        <f>C400*2</f>
        <v>0.65258000000000005</v>
      </c>
      <c r="V400">
        <f>D400*2</f>
        <v>0.45735999999999999</v>
      </c>
      <c r="W400">
        <f>E400*2</f>
        <v>0.70626</v>
      </c>
      <c r="X400">
        <f>F400*2</f>
        <v>0.52802000000000004</v>
      </c>
      <c r="Y400">
        <f>G400*2</f>
        <v>0.77361999999999997</v>
      </c>
      <c r="Z400">
        <f>H400*2</f>
        <v>0.73138000000000003</v>
      </c>
      <c r="AA400">
        <f>I400*2</f>
        <v>0.80703999999999998</v>
      </c>
      <c r="AB400">
        <f>J400*2</f>
        <v>0.71142000000000005</v>
      </c>
      <c r="AC400">
        <f>K400*2</f>
        <v>0.81323999999999996</v>
      </c>
      <c r="AD400">
        <f>L400*2</f>
        <v>0.80988000000000004</v>
      </c>
      <c r="AE400">
        <f>M400*2</f>
        <v>0.81777999999999995</v>
      </c>
      <c r="AF400">
        <f>N400*2</f>
        <v>0.83764000000000005</v>
      </c>
      <c r="AG400">
        <f>O400*2</f>
        <v>0.69991999999999999</v>
      </c>
      <c r="AH400">
        <f>P400*2</f>
        <v>0.67391999999999996</v>
      </c>
      <c r="AI400">
        <f>Q400*2</f>
        <v>0.65088000000000001</v>
      </c>
      <c r="AJ400">
        <f>R400*2</f>
        <v>0.72040000000000004</v>
      </c>
      <c r="EC400">
        <v>798</v>
      </c>
      <c r="ED400">
        <v>0.65258000000000005</v>
      </c>
      <c r="EE400">
        <v>0.45735999999999999</v>
      </c>
      <c r="EF400">
        <v>0.70626</v>
      </c>
      <c r="EG400">
        <v>0.52802000000000004</v>
      </c>
      <c r="EH400">
        <v>0.77361999999999997</v>
      </c>
      <c r="EI400">
        <v>0.73138000000000003</v>
      </c>
      <c r="EJ400">
        <v>0.80703999999999998</v>
      </c>
      <c r="EK400">
        <v>0.71142000000000005</v>
      </c>
      <c r="EL400">
        <v>0.81323999999999996</v>
      </c>
      <c r="EM400">
        <v>0.80988000000000004</v>
      </c>
      <c r="EN400">
        <v>0.81777999999999995</v>
      </c>
      <c r="EO400">
        <v>0.83764000000000005</v>
      </c>
      <c r="EP400">
        <v>0.69991999999999999</v>
      </c>
      <c r="EQ400">
        <v>0.67391999999999996</v>
      </c>
      <c r="ER400">
        <v>0.65088000000000001</v>
      </c>
      <c r="ES400">
        <v>0.72040000000000004</v>
      </c>
    </row>
    <row r="401" spans="1:149" x14ac:dyDescent="0.35">
      <c r="A401" s="77"/>
      <c r="B401" s="77">
        <v>799</v>
      </c>
      <c r="C401" s="77">
        <v>0.32562000000000002</v>
      </c>
      <c r="D401" s="77">
        <v>0.22822999999999999</v>
      </c>
      <c r="E401" s="77">
        <v>0.35243000000000002</v>
      </c>
      <c r="F401" s="77">
        <v>0.26344000000000001</v>
      </c>
      <c r="G401" s="77">
        <v>0.38638</v>
      </c>
      <c r="H401" s="77">
        <v>0.36525000000000002</v>
      </c>
      <c r="I401" s="77">
        <v>0.40303</v>
      </c>
      <c r="J401" s="77">
        <v>0.3553</v>
      </c>
      <c r="K401" s="77">
        <v>0.40600999999999998</v>
      </c>
      <c r="L401" s="77">
        <v>0.40450999999999998</v>
      </c>
      <c r="M401" s="77">
        <v>0.40845999999999999</v>
      </c>
      <c r="N401" s="77">
        <v>0.41824</v>
      </c>
      <c r="O401" s="77">
        <v>0.34945999999999999</v>
      </c>
      <c r="P401" s="77">
        <v>0.33639999999999998</v>
      </c>
      <c r="Q401" s="77">
        <v>0.32489000000000001</v>
      </c>
      <c r="R401" s="77">
        <v>0.35970000000000002</v>
      </c>
      <c r="T401">
        <v>799</v>
      </c>
      <c r="U401">
        <f>C401*2</f>
        <v>0.65124000000000004</v>
      </c>
      <c r="V401">
        <f>D401*2</f>
        <v>0.45645999999999998</v>
      </c>
      <c r="W401">
        <f>E401*2</f>
        <v>0.70486000000000004</v>
      </c>
      <c r="X401">
        <f>F401*2</f>
        <v>0.52688000000000001</v>
      </c>
      <c r="Y401">
        <f>G401*2</f>
        <v>0.77276</v>
      </c>
      <c r="Z401">
        <f>H401*2</f>
        <v>0.73050000000000004</v>
      </c>
      <c r="AA401">
        <f>I401*2</f>
        <v>0.80606</v>
      </c>
      <c r="AB401">
        <f>J401*2</f>
        <v>0.71060000000000001</v>
      </c>
      <c r="AC401">
        <f>K401*2</f>
        <v>0.81201999999999996</v>
      </c>
      <c r="AD401">
        <f>L401*2</f>
        <v>0.80901999999999996</v>
      </c>
      <c r="AE401">
        <f>M401*2</f>
        <v>0.81691999999999998</v>
      </c>
      <c r="AF401">
        <f>N401*2</f>
        <v>0.83648</v>
      </c>
      <c r="AG401">
        <f>O401*2</f>
        <v>0.69891999999999999</v>
      </c>
      <c r="AH401">
        <f>P401*2</f>
        <v>0.67279999999999995</v>
      </c>
      <c r="AI401">
        <f>Q401*2</f>
        <v>0.64978000000000002</v>
      </c>
      <c r="AJ401">
        <f>R401*2</f>
        <v>0.71940000000000004</v>
      </c>
      <c r="EC401">
        <v>799</v>
      </c>
      <c r="ED401">
        <v>0.65124000000000004</v>
      </c>
      <c r="EE401">
        <v>0.45645999999999998</v>
      </c>
      <c r="EF401">
        <v>0.70486000000000004</v>
      </c>
      <c r="EG401">
        <v>0.52688000000000001</v>
      </c>
      <c r="EH401">
        <v>0.77276</v>
      </c>
      <c r="EI401">
        <v>0.73050000000000004</v>
      </c>
      <c r="EJ401">
        <v>0.80606</v>
      </c>
      <c r="EK401">
        <v>0.71060000000000001</v>
      </c>
      <c r="EL401">
        <v>0.81201999999999996</v>
      </c>
      <c r="EM401">
        <v>0.80901999999999996</v>
      </c>
      <c r="EN401">
        <v>0.81691999999999998</v>
      </c>
      <c r="EO401">
        <v>0.83648</v>
      </c>
      <c r="EP401">
        <v>0.69891999999999999</v>
      </c>
      <c r="EQ401">
        <v>0.67279999999999995</v>
      </c>
      <c r="ER401">
        <v>0.64978000000000002</v>
      </c>
      <c r="ES401">
        <v>0.71940000000000004</v>
      </c>
    </row>
    <row r="402" spans="1:149" x14ac:dyDescent="0.35">
      <c r="A402" s="77"/>
      <c r="B402" s="77">
        <v>800</v>
      </c>
      <c r="C402" s="77">
        <v>0.32507000000000003</v>
      </c>
      <c r="D402" s="77">
        <v>0.22781000000000001</v>
      </c>
      <c r="E402" s="77">
        <v>0.35182000000000002</v>
      </c>
      <c r="F402" s="77">
        <v>0.26290999999999998</v>
      </c>
      <c r="G402" s="77">
        <v>0.38596000000000003</v>
      </c>
      <c r="H402" s="77">
        <v>0.36484</v>
      </c>
      <c r="I402" s="77">
        <v>0.40261999999999998</v>
      </c>
      <c r="J402" s="77">
        <v>0.35492000000000001</v>
      </c>
      <c r="K402" s="77">
        <v>0.40570000000000001</v>
      </c>
      <c r="L402" s="77">
        <v>0.40410000000000001</v>
      </c>
      <c r="M402" s="77">
        <v>0.40799999999999997</v>
      </c>
      <c r="N402" s="77">
        <v>0.41771000000000003</v>
      </c>
      <c r="O402" s="77">
        <v>0.34898000000000001</v>
      </c>
      <c r="P402" s="77">
        <v>0.33600000000000002</v>
      </c>
      <c r="Q402" s="77">
        <v>0.32443</v>
      </c>
      <c r="R402" s="77">
        <v>0.35915000000000002</v>
      </c>
      <c r="T402">
        <v>800</v>
      </c>
      <c r="U402">
        <f>C402*2</f>
        <v>0.65014000000000005</v>
      </c>
      <c r="V402">
        <f>D402*2</f>
        <v>0.45562000000000002</v>
      </c>
      <c r="W402">
        <f>E402*2</f>
        <v>0.70364000000000004</v>
      </c>
      <c r="X402">
        <f>F402*2</f>
        <v>0.52581999999999995</v>
      </c>
      <c r="Y402">
        <f>G402*2</f>
        <v>0.77192000000000005</v>
      </c>
      <c r="Z402">
        <f>H402*2</f>
        <v>0.72968</v>
      </c>
      <c r="AA402">
        <f>I402*2</f>
        <v>0.80523999999999996</v>
      </c>
      <c r="AB402">
        <f>J402*2</f>
        <v>0.70984000000000003</v>
      </c>
      <c r="AC402">
        <f>K402*2</f>
        <v>0.81140000000000001</v>
      </c>
      <c r="AD402">
        <f>L402*2</f>
        <v>0.80820000000000003</v>
      </c>
      <c r="AE402">
        <f>M402*2</f>
        <v>0.81599999999999995</v>
      </c>
      <c r="AF402">
        <f>N402*2</f>
        <v>0.83542000000000005</v>
      </c>
      <c r="AG402">
        <f>O402*2</f>
        <v>0.69796000000000002</v>
      </c>
      <c r="AH402">
        <f>P402*2</f>
        <v>0.67200000000000004</v>
      </c>
      <c r="AI402">
        <f>Q402*2</f>
        <v>0.64885999999999999</v>
      </c>
      <c r="AJ402">
        <f>R402*2</f>
        <v>0.71830000000000005</v>
      </c>
      <c r="EC402">
        <v>800</v>
      </c>
      <c r="ED402">
        <v>0.65014000000000005</v>
      </c>
      <c r="EE402">
        <v>0.45562000000000002</v>
      </c>
      <c r="EF402">
        <v>0.70364000000000004</v>
      </c>
      <c r="EG402">
        <v>0.52581999999999995</v>
      </c>
      <c r="EH402">
        <v>0.77192000000000005</v>
      </c>
      <c r="EI402">
        <v>0.72968</v>
      </c>
      <c r="EJ402">
        <v>0.80523999999999996</v>
      </c>
      <c r="EK402">
        <v>0.70984000000000003</v>
      </c>
      <c r="EL402">
        <v>0.81140000000000001</v>
      </c>
      <c r="EM402">
        <v>0.80820000000000003</v>
      </c>
      <c r="EN402">
        <v>0.81599999999999995</v>
      </c>
      <c r="EO402">
        <v>0.83542000000000005</v>
      </c>
      <c r="EP402">
        <v>0.69796000000000002</v>
      </c>
      <c r="EQ402">
        <v>0.67200000000000004</v>
      </c>
      <c r="ER402">
        <v>0.64885999999999999</v>
      </c>
      <c r="ES402">
        <v>0.71830000000000005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topLeftCell="A19" zoomScale="71" workbookViewId="0">
      <selection activeCell="N11" sqref="N11"/>
    </sheetView>
  </sheetViews>
  <sheetFormatPr defaultColWidth="8.7265625" defaultRowHeight="14.5" x14ac:dyDescent="0.35"/>
  <cols>
    <col min="1" max="1" width="20.1796875" style="9" bestFit="1" customWidth="1"/>
    <col min="2" max="2" width="10" style="9" bestFit="1" customWidth="1"/>
    <col min="3" max="3" width="12.453125" style="9" bestFit="1" customWidth="1"/>
    <col min="4" max="4" width="13.1796875" style="9" bestFit="1" customWidth="1"/>
    <col min="5" max="5" width="17.7265625" style="9" bestFit="1" customWidth="1"/>
    <col min="6" max="6" width="15" style="9" bestFit="1" customWidth="1"/>
    <col min="7" max="7" width="13.1796875" style="9" customWidth="1"/>
    <col min="8" max="8" width="17.7265625" style="9" bestFit="1" customWidth="1"/>
    <col min="9" max="9" width="11" style="9" bestFit="1" customWidth="1"/>
    <col min="10" max="10" width="13.26953125" style="9" bestFit="1" customWidth="1"/>
    <col min="11" max="11" width="11" style="9" bestFit="1" customWidth="1"/>
    <col min="12" max="12" width="4.453125" style="9" bestFit="1" customWidth="1"/>
    <col min="13" max="13" width="5.453125" style="9" bestFit="1" customWidth="1"/>
    <col min="14" max="15" width="4.453125" style="9" bestFit="1" customWidth="1"/>
    <col min="16" max="16384" width="8.7265625" style="9"/>
  </cols>
  <sheetData>
    <row r="1" spans="1:11" ht="15" thickBot="1" x14ac:dyDescent="0.4">
      <c r="A1" s="175" t="s">
        <v>12</v>
      </c>
      <c r="B1" s="176" t="s">
        <v>13</v>
      </c>
      <c r="C1" s="176" t="s">
        <v>14</v>
      </c>
      <c r="D1" s="176" t="s">
        <v>15</v>
      </c>
      <c r="E1" s="176" t="s">
        <v>16</v>
      </c>
      <c r="F1" s="177" t="s">
        <v>17</v>
      </c>
      <c r="G1" s="177" t="s">
        <v>18</v>
      </c>
      <c r="H1" s="177" t="s">
        <v>19</v>
      </c>
      <c r="I1" s="177" t="s">
        <v>20</v>
      </c>
      <c r="J1" s="178" t="s">
        <v>21</v>
      </c>
      <c r="K1" s="2"/>
    </row>
    <row r="2" spans="1:11" x14ac:dyDescent="0.35">
      <c r="A2" s="6" t="s">
        <v>22</v>
      </c>
      <c r="B2" s="182">
        <v>0.94352000000000003</v>
      </c>
      <c r="C2" s="182">
        <v>1.0367999999999999</v>
      </c>
      <c r="D2" s="182">
        <v>1.0395799999999999</v>
      </c>
      <c r="E2" s="182">
        <v>0.76049999999999995</v>
      </c>
      <c r="F2" s="183">
        <f>(C2-E2-0.55*(B2-E2))/E2</f>
        <v>0.2309520052596975</v>
      </c>
      <c r="G2" s="183">
        <f>(D2-E2-0.28*(B2-E2))/E2</f>
        <v>0.29958500986193293</v>
      </c>
      <c r="H2" s="183">
        <f>G2/E2</f>
        <v>0.39393163689932009</v>
      </c>
      <c r="I2" s="183">
        <f>F2/E2</f>
        <v>0.30368442506206117</v>
      </c>
      <c r="J2" s="184">
        <f>F2/G2</f>
        <v>0.77090641272784077</v>
      </c>
      <c r="K2" s="13"/>
    </row>
    <row r="3" spans="1:11" x14ac:dyDescent="0.35">
      <c r="A3" s="10" t="s">
        <v>6</v>
      </c>
      <c r="B3" s="4">
        <v>0.67171999999999998</v>
      </c>
      <c r="C3" s="4">
        <v>0.73131999999999997</v>
      </c>
      <c r="D3" s="4">
        <v>0.73316000000000003</v>
      </c>
      <c r="E3" s="4">
        <v>0.53708</v>
      </c>
      <c r="F3" s="11">
        <f t="shared" ref="F3:F17" si="0">(C3-E3-0.55*(B3-E3))/E3</f>
        <v>0.22378044239219477</v>
      </c>
      <c r="G3" s="11">
        <f t="shared" ref="G3:G17" si="1">(D3-E3-0.28*(B3-E3))/E3</f>
        <v>0.29489238102331133</v>
      </c>
      <c r="H3" s="11">
        <f t="shared" ref="H3:H17" si="2">G3/E3</f>
        <v>0.54906602558894635</v>
      </c>
      <c r="I3" s="11">
        <f t="shared" ref="I3:I17" si="3">F3/E3</f>
        <v>0.4166612839655075</v>
      </c>
      <c r="J3" s="12">
        <f t="shared" ref="J3:J17" si="4">F3/G3</f>
        <v>0.75885460863943055</v>
      </c>
      <c r="K3" s="13"/>
    </row>
    <row r="4" spans="1:11" x14ac:dyDescent="0.35">
      <c r="A4" s="10" t="s">
        <v>7</v>
      </c>
      <c r="B4" s="4">
        <v>1.0264599999999999</v>
      </c>
      <c r="C4" s="4">
        <v>1.13134</v>
      </c>
      <c r="D4" s="4">
        <v>1.1392</v>
      </c>
      <c r="E4" s="4">
        <v>0.82323999999999997</v>
      </c>
      <c r="F4" s="11">
        <f t="shared" si="0"/>
        <v>0.23848330984888982</v>
      </c>
      <c r="G4" s="11">
        <f t="shared" si="1"/>
        <v>0.31468150235654246</v>
      </c>
      <c r="H4" s="11">
        <f t="shared" si="2"/>
        <v>0.38224758558444982</v>
      </c>
      <c r="I4" s="11">
        <f t="shared" si="3"/>
        <v>0.28968868112444712</v>
      </c>
      <c r="J4" s="12">
        <f t="shared" si="4"/>
        <v>0.75785614363402243</v>
      </c>
      <c r="K4" s="13"/>
    </row>
    <row r="5" spans="1:11" ht="15" thickBot="1" x14ac:dyDescent="0.4">
      <c r="A5" s="14" t="s">
        <v>8</v>
      </c>
      <c r="B5" s="174">
        <v>0.78137999999999996</v>
      </c>
      <c r="C5" s="174">
        <v>0.85916000000000003</v>
      </c>
      <c r="D5" s="174">
        <v>0.86351999999999995</v>
      </c>
      <c r="E5" s="174">
        <v>0.62128000000000005</v>
      </c>
      <c r="F5" s="15">
        <f t="shared" si="0"/>
        <v>0.24115535668297713</v>
      </c>
      <c r="G5" s="15">
        <f t="shared" si="1"/>
        <v>0.31775045068246188</v>
      </c>
      <c r="H5" s="15">
        <f t="shared" si="2"/>
        <v>0.51144484078428709</v>
      </c>
      <c r="I5" s="15">
        <f t="shared" si="3"/>
        <v>0.38815889242044987</v>
      </c>
      <c r="J5" s="16">
        <f t="shared" si="4"/>
        <v>0.75894575810994314</v>
      </c>
      <c r="K5" s="13"/>
    </row>
    <row r="6" spans="1:11" x14ac:dyDescent="0.35">
      <c r="A6" s="6" t="s">
        <v>1</v>
      </c>
      <c r="B6" s="182">
        <v>0.95072000000000001</v>
      </c>
      <c r="C6" s="182">
        <v>1.0008600000000001</v>
      </c>
      <c r="D6" s="182">
        <v>1.01386</v>
      </c>
      <c r="E6" s="182">
        <v>0.84708000000000006</v>
      </c>
      <c r="F6" s="183">
        <f t="shared" si="0"/>
        <v>0.11424894933182232</v>
      </c>
      <c r="G6" s="183">
        <f t="shared" si="1"/>
        <v>0.16263021202247713</v>
      </c>
      <c r="H6" s="183">
        <f t="shared" si="2"/>
        <v>0.19198920057429891</v>
      </c>
      <c r="I6" s="183">
        <f t="shared" si="3"/>
        <v>0.13487386000356791</v>
      </c>
      <c r="J6" s="184">
        <f t="shared" si="4"/>
        <v>0.70250753479945027</v>
      </c>
      <c r="K6" s="13"/>
    </row>
    <row r="7" spans="1:11" x14ac:dyDescent="0.35">
      <c r="A7" s="10" t="s">
        <v>0</v>
      </c>
      <c r="B7" s="4">
        <v>0.91166000000000003</v>
      </c>
      <c r="C7" s="4">
        <v>0.96987999999999996</v>
      </c>
      <c r="D7" s="4">
        <v>0.98168</v>
      </c>
      <c r="E7" s="4">
        <v>0.80257999999999996</v>
      </c>
      <c r="F7" s="11">
        <f t="shared" si="0"/>
        <v>0.13370131326472123</v>
      </c>
      <c r="G7" s="11">
        <f t="shared" si="1"/>
        <v>0.18510005233123181</v>
      </c>
      <c r="H7" s="11">
        <f t="shared" si="2"/>
        <v>0.23063127953753124</v>
      </c>
      <c r="I7" s="11">
        <f t="shared" si="3"/>
        <v>0.1665893907955858</v>
      </c>
      <c r="J7" s="12">
        <f t="shared" si="4"/>
        <v>0.72231915432128646</v>
      </c>
      <c r="K7" s="13"/>
    </row>
    <row r="8" spans="1:11" x14ac:dyDescent="0.35">
      <c r="A8" s="10" t="s">
        <v>23</v>
      </c>
      <c r="B8" s="4">
        <v>0.96082000000000001</v>
      </c>
      <c r="C8" s="4">
        <v>1.0210600000000001</v>
      </c>
      <c r="D8" s="4">
        <v>1.0392999999999999</v>
      </c>
      <c r="E8" s="4">
        <v>0.87326000000000004</v>
      </c>
      <c r="F8" s="11">
        <f t="shared" si="0"/>
        <v>0.11410347433753987</v>
      </c>
      <c r="G8" s="11">
        <f t="shared" si="1"/>
        <v>0.16206307399857986</v>
      </c>
      <c r="H8" s="11">
        <f t="shared" si="2"/>
        <v>0.185583988730252</v>
      </c>
      <c r="I8" s="11">
        <f t="shared" si="3"/>
        <v>0.1306638049808074</v>
      </c>
      <c r="J8" s="12">
        <f t="shared" si="4"/>
        <v>0.70406830823497613</v>
      </c>
      <c r="K8" s="13"/>
    </row>
    <row r="9" spans="1:11" ht="15" thickBot="1" x14ac:dyDescent="0.4">
      <c r="A9" s="14" t="s">
        <v>2</v>
      </c>
      <c r="B9" s="174">
        <v>0.87982000000000005</v>
      </c>
      <c r="C9" s="174">
        <v>0.90673999999999999</v>
      </c>
      <c r="D9" s="174">
        <v>0.91834000000000005</v>
      </c>
      <c r="E9" s="174">
        <v>0.77673999999999999</v>
      </c>
      <c r="F9" s="15">
        <f t="shared" si="0"/>
        <v>9.4376496639802215E-2</v>
      </c>
      <c r="G9" s="15">
        <f t="shared" si="1"/>
        <v>0.14514200375930175</v>
      </c>
      <c r="H9" s="15">
        <f t="shared" si="2"/>
        <v>0.1868604729501529</v>
      </c>
      <c r="I9" s="15">
        <f t="shared" si="3"/>
        <v>0.12150333012308136</v>
      </c>
      <c r="J9" s="16">
        <f t="shared" si="4"/>
        <v>0.65023559132002051</v>
      </c>
      <c r="K9" s="13"/>
    </row>
    <row r="10" spans="1:11" x14ac:dyDescent="0.35">
      <c r="A10" s="6" t="s">
        <v>50</v>
      </c>
      <c r="B10" s="182">
        <v>0.97631999999999997</v>
      </c>
      <c r="C10" s="182">
        <v>1.05084</v>
      </c>
      <c r="D10" s="182">
        <v>1.06782</v>
      </c>
      <c r="E10" s="182">
        <v>0.88568000000000002</v>
      </c>
      <c r="F10" s="183">
        <f t="shared" si="0"/>
        <v>0.13019149128353355</v>
      </c>
      <c r="G10" s="183">
        <f t="shared" si="1"/>
        <v>0.17699485141360308</v>
      </c>
      <c r="H10" s="183">
        <f t="shared" si="2"/>
        <v>0.19984063252371406</v>
      </c>
      <c r="I10" s="183">
        <f t="shared" si="3"/>
        <v>0.146996083555611</v>
      </c>
      <c r="J10" s="184">
        <f t="shared" si="4"/>
        <v>0.73556654469739891</v>
      </c>
      <c r="K10" s="17"/>
    </row>
    <row r="11" spans="1:11" x14ac:dyDescent="0.35">
      <c r="A11" s="10" t="s">
        <v>3</v>
      </c>
      <c r="B11" s="4">
        <v>0.97214</v>
      </c>
      <c r="C11" s="4">
        <v>1.03332</v>
      </c>
      <c r="D11" s="4">
        <v>1.0501799999999999</v>
      </c>
      <c r="E11" s="4">
        <v>0.87882000000000005</v>
      </c>
      <c r="F11" s="11">
        <f t="shared" si="0"/>
        <v>0.11740060535718348</v>
      </c>
      <c r="G11" s="11">
        <f t="shared" si="1"/>
        <v>0.16525613891354296</v>
      </c>
      <c r="H11" s="11">
        <f t="shared" si="2"/>
        <v>0.1880432158047643</v>
      </c>
      <c r="I11" s="11">
        <f t="shared" si="3"/>
        <v>0.13358890939803769</v>
      </c>
      <c r="J11" s="12">
        <f t="shared" si="4"/>
        <v>0.71041600105763059</v>
      </c>
    </row>
    <row r="12" spans="1:11" x14ac:dyDescent="0.35">
      <c r="A12" s="10" t="s">
        <v>4</v>
      </c>
      <c r="B12" s="4">
        <v>1.0022200000000001</v>
      </c>
      <c r="C12" s="4">
        <v>1.0641799999999999</v>
      </c>
      <c r="D12" s="4">
        <v>1.0798000000000001</v>
      </c>
      <c r="E12" s="4">
        <v>0.89370000000000005</v>
      </c>
      <c r="F12" s="11">
        <f t="shared" si="0"/>
        <v>0.12397225019581493</v>
      </c>
      <c r="G12" s="11">
        <f t="shared" si="1"/>
        <v>0.17423564954682783</v>
      </c>
      <c r="H12" s="11">
        <f t="shared" si="2"/>
        <v>0.19495988536066669</v>
      </c>
      <c r="I12" s="11">
        <f t="shared" si="3"/>
        <v>0.13871797045520301</v>
      </c>
      <c r="J12" s="12">
        <f t="shared" si="4"/>
        <v>0.71152057870049124</v>
      </c>
    </row>
    <row r="13" spans="1:11" ht="15" thickBot="1" x14ac:dyDescent="0.4">
      <c r="A13" s="14" t="s">
        <v>5</v>
      </c>
      <c r="B13" s="174">
        <v>1.0171600000000001</v>
      </c>
      <c r="C13" s="174">
        <v>1.0904199999999999</v>
      </c>
      <c r="D13" s="174">
        <v>1.1063799999999999</v>
      </c>
      <c r="E13" s="174">
        <v>0.91544000000000003</v>
      </c>
      <c r="F13" s="15">
        <f t="shared" si="0"/>
        <v>0.13002927553963109</v>
      </c>
      <c r="G13" s="15">
        <f t="shared" si="1"/>
        <v>0.17746482565760713</v>
      </c>
      <c r="H13" s="15">
        <f t="shared" si="2"/>
        <v>0.19385740808530011</v>
      </c>
      <c r="I13" s="15">
        <f t="shared" si="3"/>
        <v>0.14204019437607171</v>
      </c>
      <c r="J13" s="16">
        <f t="shared" si="4"/>
        <v>0.73270449542775251</v>
      </c>
    </row>
    <row r="14" spans="1:11" x14ac:dyDescent="0.35">
      <c r="A14" s="20" t="s">
        <v>51</v>
      </c>
      <c r="B14" s="179">
        <v>0.89002000000000003</v>
      </c>
      <c r="C14" s="179">
        <v>0.91039999999999999</v>
      </c>
      <c r="D14" s="179">
        <v>0.87448000000000004</v>
      </c>
      <c r="E14" s="179">
        <v>0.76792000000000005</v>
      </c>
      <c r="F14" s="180">
        <f t="shared" si="0"/>
        <v>9.8089644754661864E-2</v>
      </c>
      <c r="G14" s="180">
        <f t="shared" si="1"/>
        <v>9.4244192103344088E-2</v>
      </c>
      <c r="H14" s="180">
        <f t="shared" si="2"/>
        <v>0.12272657581954381</v>
      </c>
      <c r="I14" s="180">
        <f t="shared" si="3"/>
        <v>0.12773419725317983</v>
      </c>
      <c r="J14" s="181">
        <f t="shared" si="4"/>
        <v>1.0408030730116613</v>
      </c>
    </row>
    <row r="15" spans="1:11" x14ac:dyDescent="0.35">
      <c r="A15" s="10" t="s">
        <v>9</v>
      </c>
      <c r="B15" s="4">
        <v>0.85358000000000001</v>
      </c>
      <c r="C15" s="4">
        <v>0.86538000000000004</v>
      </c>
      <c r="D15" s="4">
        <v>0.83172000000000001</v>
      </c>
      <c r="E15" s="4">
        <v>0.73675999999999997</v>
      </c>
      <c r="F15" s="11">
        <f t="shared" si="0"/>
        <v>8.7367663825397734E-2</v>
      </c>
      <c r="G15" s="11">
        <f t="shared" si="1"/>
        <v>8.4492100548346868E-2</v>
      </c>
      <c r="H15" s="11">
        <f t="shared" si="2"/>
        <v>0.11468062944289439</v>
      </c>
      <c r="I15" s="11">
        <f t="shared" si="3"/>
        <v>0.11858361450865647</v>
      </c>
      <c r="J15" s="12">
        <f t="shared" si="4"/>
        <v>1.0340335162504979</v>
      </c>
    </row>
    <row r="16" spans="1:11" x14ac:dyDescent="0.35">
      <c r="A16" s="10" t="s">
        <v>52</v>
      </c>
      <c r="B16" s="4">
        <v>0.82452000000000003</v>
      </c>
      <c r="C16" s="4">
        <v>0.83964000000000005</v>
      </c>
      <c r="D16" s="4">
        <v>0.80847999999999998</v>
      </c>
      <c r="E16" s="4">
        <v>0.71767999999999998</v>
      </c>
      <c r="F16" s="11">
        <f t="shared" si="0"/>
        <v>8.8058744844498993E-2</v>
      </c>
      <c r="G16" s="11">
        <f t="shared" si="1"/>
        <v>8.4835581317578831E-2</v>
      </c>
      <c r="H16" s="11">
        <f t="shared" si="2"/>
        <v>0.11820808900565549</v>
      </c>
      <c r="I16" s="11">
        <f t="shared" si="3"/>
        <v>0.12269917629653744</v>
      </c>
      <c r="J16" s="12">
        <f t="shared" si="4"/>
        <v>1.0379930623078348</v>
      </c>
    </row>
    <row r="17" spans="1:17" ht="15" thickBot="1" x14ac:dyDescent="0.4">
      <c r="A17" s="14" t="s">
        <v>11</v>
      </c>
      <c r="B17" s="4">
        <v>0.91383999999999999</v>
      </c>
      <c r="C17" s="4">
        <v>0.93284</v>
      </c>
      <c r="D17" s="4">
        <v>0.89685999999999999</v>
      </c>
      <c r="E17" s="4">
        <v>0.79056000000000004</v>
      </c>
      <c r="F17" s="15">
        <f t="shared" si="0"/>
        <v>9.4206638332321374E-2</v>
      </c>
      <c r="G17" s="15">
        <f t="shared" si="1"/>
        <v>9.0798421372191809E-2</v>
      </c>
      <c r="H17" s="15">
        <f t="shared" si="2"/>
        <v>0.1148532956033594</v>
      </c>
      <c r="I17" s="15">
        <f t="shared" si="3"/>
        <v>0.11916443828719056</v>
      </c>
      <c r="J17" s="16">
        <f t="shared" si="4"/>
        <v>1.0375360816699548</v>
      </c>
    </row>
    <row r="18" spans="1:17" ht="15" thickBot="1" x14ac:dyDescent="0.4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</row>
    <row r="19" spans="1:17" x14ac:dyDescent="0.35">
      <c r="A19" s="6" t="s">
        <v>12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8" t="s">
        <v>21</v>
      </c>
    </row>
    <row r="20" spans="1:17" x14ac:dyDescent="0.35">
      <c r="A20" s="10" t="s">
        <v>22</v>
      </c>
      <c r="B20" s="4">
        <v>0.76049999999999995</v>
      </c>
      <c r="C20" s="11">
        <v>0.2309520052596975</v>
      </c>
      <c r="D20" s="11">
        <v>0.29958500986193293</v>
      </c>
      <c r="E20" s="11">
        <v>0.39393163689932009</v>
      </c>
      <c r="F20" s="11">
        <v>0.30368442506206117</v>
      </c>
      <c r="G20" s="12">
        <v>0.77090641272784077</v>
      </c>
    </row>
    <row r="21" spans="1:17" x14ac:dyDescent="0.35">
      <c r="A21" s="10" t="s">
        <v>6</v>
      </c>
      <c r="B21" s="4">
        <v>0.53708</v>
      </c>
      <c r="C21" s="11">
        <v>0.22378044239219477</v>
      </c>
      <c r="D21" s="11">
        <v>0.29489238102331133</v>
      </c>
      <c r="E21" s="11">
        <v>0.54906602558894635</v>
      </c>
      <c r="F21" s="11">
        <v>0.4166612839655075</v>
      </c>
      <c r="G21" s="12">
        <v>0.75885460863943055</v>
      </c>
    </row>
    <row r="22" spans="1:17" x14ac:dyDescent="0.35">
      <c r="A22" s="10" t="s">
        <v>7</v>
      </c>
      <c r="B22" s="4">
        <v>0.82323999999999997</v>
      </c>
      <c r="C22" s="11">
        <v>0.23848330984888982</v>
      </c>
      <c r="D22" s="11">
        <v>0.31468150235654246</v>
      </c>
      <c r="E22" s="11">
        <v>0.38224758558444982</v>
      </c>
      <c r="F22" s="11">
        <v>0.28968868112444712</v>
      </c>
      <c r="G22" s="12">
        <v>0.75785614363402243</v>
      </c>
      <c r="H22" s="18"/>
    </row>
    <row r="23" spans="1:17" x14ac:dyDescent="0.35">
      <c r="A23" s="10" t="s">
        <v>8</v>
      </c>
      <c r="B23" s="4">
        <v>0.62128000000000005</v>
      </c>
      <c r="C23" s="11">
        <v>0.24115535668297713</v>
      </c>
      <c r="D23" s="11">
        <v>0.31775045068246188</v>
      </c>
      <c r="E23" s="11">
        <v>0.51144484078428709</v>
      </c>
      <c r="F23" s="11">
        <v>0.38815889242044987</v>
      </c>
      <c r="G23" s="12">
        <v>0.75894575810994314</v>
      </c>
      <c r="H23" s="18"/>
    </row>
    <row r="24" spans="1:17" x14ac:dyDescent="0.35">
      <c r="A24" s="10" t="s">
        <v>1</v>
      </c>
      <c r="B24" s="4">
        <v>0.84708000000000006</v>
      </c>
      <c r="C24" s="11">
        <v>0.11424894933182232</v>
      </c>
      <c r="D24" s="11">
        <v>0.16263021202247713</v>
      </c>
      <c r="E24" s="11">
        <v>0.19198920057429891</v>
      </c>
      <c r="F24" s="11">
        <v>0.13487386000356791</v>
      </c>
      <c r="G24" s="12">
        <v>0.70250753479945027</v>
      </c>
      <c r="H24" s="18"/>
    </row>
    <row r="25" spans="1:17" x14ac:dyDescent="0.35">
      <c r="A25" s="10" t="s">
        <v>0</v>
      </c>
      <c r="B25" s="4">
        <v>0.80257999999999996</v>
      </c>
      <c r="C25" s="11">
        <v>0.13370131326472123</v>
      </c>
      <c r="D25" s="11">
        <v>0.18510005233123181</v>
      </c>
      <c r="E25" s="11">
        <v>0.23063127953753124</v>
      </c>
      <c r="F25" s="11">
        <v>0.1665893907955858</v>
      </c>
      <c r="G25" s="12">
        <v>0.72231915432128646</v>
      </c>
    </row>
    <row r="26" spans="1:17" x14ac:dyDescent="0.35">
      <c r="A26" s="10" t="s">
        <v>23</v>
      </c>
      <c r="B26" s="4">
        <v>0.87326000000000004</v>
      </c>
      <c r="C26" s="11">
        <v>0.11410347433753987</v>
      </c>
      <c r="D26" s="11">
        <v>0.16206307399857986</v>
      </c>
      <c r="E26" s="11">
        <v>0.185583988730252</v>
      </c>
      <c r="F26" s="11">
        <v>0.1306638049808074</v>
      </c>
      <c r="G26" s="12">
        <v>0.70406830823497613</v>
      </c>
      <c r="H26" s="22"/>
    </row>
    <row r="27" spans="1:17" x14ac:dyDescent="0.35">
      <c r="A27" s="10" t="s">
        <v>2</v>
      </c>
      <c r="B27" s="4">
        <v>0.77673999999999999</v>
      </c>
      <c r="C27" s="11">
        <v>9.4376496639802215E-2</v>
      </c>
      <c r="D27" s="11">
        <v>0.14514200375930175</v>
      </c>
      <c r="E27" s="11">
        <v>0.1868604729501529</v>
      </c>
      <c r="F27" s="11">
        <v>0.12150333012308136</v>
      </c>
      <c r="G27" s="12">
        <v>0.65023559132002051</v>
      </c>
      <c r="H27" s="22"/>
    </row>
    <row r="28" spans="1:17" x14ac:dyDescent="0.35">
      <c r="A28" s="10" t="s">
        <v>50</v>
      </c>
      <c r="B28" s="4">
        <v>0.88568000000000002</v>
      </c>
      <c r="C28" s="11">
        <v>0.13019149128353355</v>
      </c>
      <c r="D28" s="11">
        <v>0.17699485141360308</v>
      </c>
      <c r="E28" s="11">
        <v>0.19984063252371406</v>
      </c>
      <c r="F28" s="11">
        <v>0.146996083555611</v>
      </c>
      <c r="G28" s="12">
        <v>0.73556654469739891</v>
      </c>
      <c r="H28" s="22"/>
    </row>
    <row r="29" spans="1:17" x14ac:dyDescent="0.35">
      <c r="A29" s="10" t="s">
        <v>3</v>
      </c>
      <c r="B29" s="4">
        <v>0.87882000000000005</v>
      </c>
      <c r="C29" s="11">
        <v>0.11740060535718348</v>
      </c>
      <c r="D29" s="11">
        <v>0.16525613891354296</v>
      </c>
      <c r="E29" s="11">
        <v>0.1880432158047643</v>
      </c>
      <c r="F29" s="11">
        <v>0.13358890939803769</v>
      </c>
      <c r="G29" s="12">
        <v>0.71041600105763059</v>
      </c>
      <c r="H29" s="22"/>
    </row>
    <row r="30" spans="1:17" x14ac:dyDescent="0.35">
      <c r="A30" s="10" t="s">
        <v>4</v>
      </c>
      <c r="B30" s="4">
        <v>0.89370000000000005</v>
      </c>
      <c r="C30" s="11">
        <v>0.12397225019581493</v>
      </c>
      <c r="D30" s="11">
        <v>0.17423564954682783</v>
      </c>
      <c r="E30" s="11">
        <v>0.19495988536066669</v>
      </c>
      <c r="F30" s="11">
        <v>0.13871797045520301</v>
      </c>
      <c r="G30" s="12">
        <v>0.71152057870049124</v>
      </c>
      <c r="H30" s="22"/>
    </row>
    <row r="31" spans="1:17" x14ac:dyDescent="0.35">
      <c r="A31" s="10" t="s">
        <v>5</v>
      </c>
      <c r="B31" s="4">
        <v>0.91544000000000003</v>
      </c>
      <c r="C31" s="11">
        <v>0.13002927553963109</v>
      </c>
      <c r="D31" s="11">
        <v>0.17746482565760713</v>
      </c>
      <c r="E31" s="11">
        <v>0.19385740808530011</v>
      </c>
      <c r="F31" s="11">
        <v>0.14204019437607171</v>
      </c>
      <c r="G31" s="12">
        <v>0.73270449542775251</v>
      </c>
      <c r="H31" s="22"/>
    </row>
    <row r="32" spans="1:17" x14ac:dyDescent="0.35">
      <c r="A32" s="10" t="s">
        <v>51</v>
      </c>
      <c r="B32" s="4">
        <v>0.76792000000000005</v>
      </c>
      <c r="C32" s="11">
        <v>9.8089644754661864E-2</v>
      </c>
      <c r="D32" s="11">
        <v>9.4244192103344088E-2</v>
      </c>
      <c r="E32" s="11">
        <v>0.12272657581954381</v>
      </c>
      <c r="F32" s="11">
        <v>0.12773419725317983</v>
      </c>
      <c r="G32" s="12">
        <v>1.0408030730116613</v>
      </c>
      <c r="H32" s="22"/>
    </row>
    <row r="33" spans="1:15" x14ac:dyDescent="0.35">
      <c r="A33" s="10" t="s">
        <v>9</v>
      </c>
      <c r="B33" s="4">
        <v>0.73675999999999997</v>
      </c>
      <c r="C33" s="11">
        <v>8.7367663825397734E-2</v>
      </c>
      <c r="D33" s="11">
        <v>8.4492100548346868E-2</v>
      </c>
      <c r="E33" s="11">
        <v>0.11468062944289439</v>
      </c>
      <c r="F33" s="11">
        <v>0.11858361450865647</v>
      </c>
      <c r="G33" s="12">
        <v>1.0340335162504979</v>
      </c>
      <c r="H33" s="22"/>
    </row>
    <row r="34" spans="1:15" x14ac:dyDescent="0.35">
      <c r="A34" s="10" t="s">
        <v>52</v>
      </c>
      <c r="B34" s="4">
        <v>0.71767999999999998</v>
      </c>
      <c r="C34" s="11">
        <v>8.8058744844498993E-2</v>
      </c>
      <c r="D34" s="11">
        <v>8.4835581317578831E-2</v>
      </c>
      <c r="E34" s="11">
        <v>0.11820808900565549</v>
      </c>
      <c r="F34" s="11">
        <v>0.12269917629653744</v>
      </c>
      <c r="G34" s="12">
        <v>1.0379930623078348</v>
      </c>
      <c r="H34" s="22"/>
    </row>
    <row r="35" spans="1:15" ht="15" thickBot="1" x14ac:dyDescent="0.4">
      <c r="A35" s="14" t="s">
        <v>11</v>
      </c>
      <c r="B35" s="174">
        <v>0.79056000000000004</v>
      </c>
      <c r="C35" s="15">
        <v>9.4206638332321374E-2</v>
      </c>
      <c r="D35" s="15">
        <v>9.0798421372191809E-2</v>
      </c>
      <c r="E35" s="15">
        <v>0.1148532956033594</v>
      </c>
      <c r="F35" s="15">
        <v>0.11916443828719056</v>
      </c>
      <c r="G35" s="16">
        <v>1.0375360816699548</v>
      </c>
      <c r="H35" s="22"/>
    </row>
    <row r="36" spans="1:15" x14ac:dyDescent="0.35">
      <c r="H36" s="22"/>
    </row>
    <row r="37" spans="1:15" ht="15" thickBot="1" x14ac:dyDescent="0.4">
      <c r="A37" s="19" t="s">
        <v>24</v>
      </c>
      <c r="B37" s="18"/>
      <c r="C37" s="18"/>
      <c r="D37" s="18"/>
      <c r="E37" s="18"/>
      <c r="F37" s="18"/>
      <c r="G37" s="18"/>
      <c r="H37" s="22"/>
    </row>
    <row r="38" spans="1:15" x14ac:dyDescent="0.35">
      <c r="A38" s="20" t="s">
        <v>12</v>
      </c>
      <c r="B38" s="7" t="s">
        <v>16</v>
      </c>
      <c r="C38" s="7" t="s">
        <v>17</v>
      </c>
      <c r="D38" s="7" t="s">
        <v>18</v>
      </c>
      <c r="E38" s="7" t="s">
        <v>19</v>
      </c>
      <c r="F38" s="7" t="s">
        <v>20</v>
      </c>
      <c r="G38" s="8" t="s">
        <v>21</v>
      </c>
      <c r="H38" s="22"/>
    </row>
    <row r="39" spans="1:15" x14ac:dyDescent="0.35">
      <c r="A39" s="10" t="s">
        <v>63</v>
      </c>
      <c r="B39" s="21">
        <f>SUM(B20:B23)/4</f>
        <v>0.68552500000000005</v>
      </c>
      <c r="C39" s="21">
        <f t="shared" ref="C39:G39" si="5">SUM(C20:C23)/4</f>
        <v>0.23359277854593979</v>
      </c>
      <c r="D39" s="21">
        <f t="shared" si="5"/>
        <v>0.30672733598106217</v>
      </c>
      <c r="E39" s="21">
        <f t="shared" si="5"/>
        <v>0.45917252221425087</v>
      </c>
      <c r="F39" s="21">
        <f t="shared" si="5"/>
        <v>0.34954832064311636</v>
      </c>
      <c r="G39" s="21">
        <f t="shared" si="5"/>
        <v>0.76164073077780914</v>
      </c>
      <c r="H39" s="22"/>
    </row>
    <row r="40" spans="1:15" ht="15" thickBot="1" x14ac:dyDescent="0.4">
      <c r="A40" s="14" t="s">
        <v>64</v>
      </c>
      <c r="B40" s="21">
        <f>SUM(B24:B27)/4</f>
        <v>0.82491500000000006</v>
      </c>
      <c r="C40" s="21">
        <f t="shared" ref="C40:G40" si="6">SUM(C24:C27)/4</f>
        <v>0.11410755839347142</v>
      </c>
      <c r="D40" s="21">
        <f t="shared" si="6"/>
        <v>0.16373383552789764</v>
      </c>
      <c r="E40" s="21">
        <f t="shared" si="6"/>
        <v>0.19876623544805877</v>
      </c>
      <c r="F40" s="21">
        <f t="shared" si="6"/>
        <v>0.13840759647576062</v>
      </c>
      <c r="G40" s="21">
        <f t="shared" si="6"/>
        <v>0.69478264716893334</v>
      </c>
      <c r="H40" s="22"/>
    </row>
    <row r="41" spans="1:15" ht="15" thickBot="1" x14ac:dyDescent="0.4">
      <c r="A41" s="14" t="s">
        <v>65</v>
      </c>
      <c r="B41" s="21">
        <f>SUM(B28:B31)/4</f>
        <v>0.89341000000000004</v>
      </c>
      <c r="C41" s="21">
        <f t="shared" ref="C41:G41" si="7">SUM(C28:C31)/4</f>
        <v>0.12539840559404075</v>
      </c>
      <c r="D41" s="21">
        <f t="shared" si="7"/>
        <v>0.17348786638289523</v>
      </c>
      <c r="E41" s="21">
        <f t="shared" si="7"/>
        <v>0.19417528544361129</v>
      </c>
      <c r="F41" s="21">
        <f>SUM(F28:F31)/4</f>
        <v>0.14033578944623085</v>
      </c>
      <c r="G41" s="21">
        <f t="shared" si="7"/>
        <v>0.72255190497081834</v>
      </c>
      <c r="H41" s="22"/>
    </row>
    <row r="42" spans="1:15" ht="15" thickBot="1" x14ac:dyDescent="0.4">
      <c r="A42" s="14" t="s">
        <v>66</v>
      </c>
      <c r="B42" s="21">
        <f>SUM(B32:B35)/4</f>
        <v>0.75323000000000007</v>
      </c>
      <c r="C42" s="21">
        <f t="shared" ref="C42:G42" si="8">SUM(C32:C35)/4</f>
        <v>9.1930672939219998E-2</v>
      </c>
      <c r="D42" s="21">
        <f t="shared" si="8"/>
        <v>8.8592573835365396E-2</v>
      </c>
      <c r="E42" s="21">
        <f t="shared" si="8"/>
        <v>0.11761714746786327</v>
      </c>
      <c r="F42" s="21">
        <f t="shared" si="8"/>
        <v>0.12204535658639107</v>
      </c>
      <c r="G42" s="21">
        <f t="shared" si="8"/>
        <v>1.0375914333099872</v>
      </c>
      <c r="H42" s="22"/>
    </row>
    <row r="43" spans="1:15" ht="15" thickBot="1" x14ac:dyDescent="0.4">
      <c r="H43" s="25"/>
      <c r="I43" s="25"/>
      <c r="L43" s="197" t="s">
        <v>27</v>
      </c>
      <c r="M43" s="198"/>
      <c r="N43" s="197" t="s">
        <v>20</v>
      </c>
      <c r="O43" s="198"/>
    </row>
    <row r="44" spans="1:15" ht="15" thickBot="1" x14ac:dyDescent="0.4">
      <c r="A44" s="24" t="s">
        <v>25</v>
      </c>
      <c r="B44" s="7" t="s">
        <v>16</v>
      </c>
      <c r="C44" s="7" t="s">
        <v>17</v>
      </c>
      <c r="D44" s="7" t="s">
        <v>26</v>
      </c>
      <c r="E44" s="7" t="s">
        <v>27</v>
      </c>
      <c r="F44" s="7" t="s">
        <v>20</v>
      </c>
      <c r="G44" s="8" t="s">
        <v>28</v>
      </c>
      <c r="H44" s="25"/>
      <c r="I44" s="25" t="s">
        <v>25</v>
      </c>
      <c r="J44" s="7" t="s">
        <v>27</v>
      </c>
      <c r="K44" s="195" t="s">
        <v>20</v>
      </c>
      <c r="L44" s="95" t="s">
        <v>69</v>
      </c>
      <c r="M44" s="95" t="s">
        <v>70</v>
      </c>
      <c r="N44" s="95" t="s">
        <v>69</v>
      </c>
      <c r="O44" s="95" t="s">
        <v>70</v>
      </c>
    </row>
    <row r="45" spans="1:15" x14ac:dyDescent="0.35">
      <c r="A45" s="10" t="s">
        <v>22</v>
      </c>
      <c r="B45" s="21">
        <f>B39-B20</f>
        <v>-7.4974999999999903E-2</v>
      </c>
      <c r="C45" s="21">
        <f t="shared" ref="C45:F45" si="9">C39-C20</f>
        <v>2.6407732862422928E-3</v>
      </c>
      <c r="D45" s="21">
        <f t="shared" si="9"/>
        <v>7.1423261191292386E-3</v>
      </c>
      <c r="E45" s="21">
        <f t="shared" si="9"/>
        <v>6.5240885314930774E-2</v>
      </c>
      <c r="F45" s="21">
        <f t="shared" si="9"/>
        <v>4.5863895581055192E-2</v>
      </c>
      <c r="G45" s="21">
        <f>G39-G20</f>
        <v>-9.2656819500316345E-3</v>
      </c>
      <c r="H45" s="25"/>
      <c r="I45" s="185" t="s">
        <v>22</v>
      </c>
      <c r="J45" s="190">
        <v>6.5240885314930774E-2</v>
      </c>
      <c r="K45" s="190">
        <v>4.5863895581055192E-2</v>
      </c>
      <c r="L45" s="196">
        <v>7.6924936629801044E-2</v>
      </c>
      <c r="M45" s="196">
        <v>8.9893503374695496E-2</v>
      </c>
      <c r="N45" s="196">
        <v>5.9859639518669239E-2</v>
      </c>
      <c r="O45" s="196">
        <v>6.7112963322391098E-2</v>
      </c>
    </row>
    <row r="46" spans="1:15" x14ac:dyDescent="0.35">
      <c r="A46" s="10" t="s">
        <v>6</v>
      </c>
      <c r="B46" s="21">
        <f>B39-B21</f>
        <v>0.14844500000000005</v>
      </c>
      <c r="C46" s="21">
        <f t="shared" ref="C46:G46" si="10">C39-C21</f>
        <v>9.8123361537450215E-3</v>
      </c>
      <c r="D46" s="21">
        <f t="shared" si="10"/>
        <v>1.1834954957750832E-2</v>
      </c>
      <c r="E46" s="21">
        <f>E39-E21</f>
        <v>-8.9893503374695483E-2</v>
      </c>
      <c r="F46" s="21">
        <f>F39-F21</f>
        <v>-6.7112963322391139E-2</v>
      </c>
      <c r="G46" s="21">
        <f t="shared" si="10"/>
        <v>2.7861221383785884E-3</v>
      </c>
      <c r="H46" s="25"/>
      <c r="I46" s="186" t="s">
        <v>6</v>
      </c>
      <c r="J46" s="191">
        <v>-8.9893503374695483E-2</v>
      </c>
      <c r="K46" s="191">
        <v>-6.7112963322391139E-2</v>
      </c>
      <c r="L46" s="95"/>
      <c r="M46" s="95"/>
      <c r="N46" s="95"/>
      <c r="O46" s="95"/>
    </row>
    <row r="47" spans="1:15" x14ac:dyDescent="0.35">
      <c r="A47" s="10" t="s">
        <v>7</v>
      </c>
      <c r="B47" s="21">
        <f>B39-B22</f>
        <v>-0.13771499999999992</v>
      </c>
      <c r="C47" s="21">
        <f t="shared" ref="C47:G47" si="11">C39-C22</f>
        <v>-4.8905313029500297E-3</v>
      </c>
      <c r="D47" s="21">
        <f>D39-D22</f>
        <v>-7.9541663754802983E-3</v>
      </c>
      <c r="E47" s="21">
        <f t="shared" si="11"/>
        <v>7.6924936629801044E-2</v>
      </c>
      <c r="F47" s="21">
        <f t="shared" si="11"/>
        <v>5.9859639518669239E-2</v>
      </c>
      <c r="G47" s="21">
        <f t="shared" si="11"/>
        <v>3.7845871437867107E-3</v>
      </c>
      <c r="H47" s="25"/>
      <c r="I47" s="186" t="s">
        <v>7</v>
      </c>
      <c r="J47" s="191">
        <v>7.6924936629801044E-2</v>
      </c>
      <c r="K47" s="191">
        <v>5.9859639518669239E-2</v>
      </c>
      <c r="L47" s="95"/>
      <c r="M47" s="95"/>
      <c r="N47" s="95"/>
      <c r="O47" s="95"/>
    </row>
    <row r="48" spans="1:15" ht="15" thickBot="1" x14ac:dyDescent="0.4">
      <c r="A48" s="10" t="s">
        <v>8</v>
      </c>
      <c r="B48" s="21">
        <f>B39-B23</f>
        <v>6.4244999999999997E-2</v>
      </c>
      <c r="C48" s="21">
        <f t="shared" ref="C48:G49" si="12">C39-C23</f>
        <v>-7.5625781370373402E-3</v>
      </c>
      <c r="D48" s="21">
        <f t="shared" si="12"/>
        <v>-1.1023114701399717E-2</v>
      </c>
      <c r="E48" s="21">
        <f t="shared" si="12"/>
        <v>-5.2272318570036225E-2</v>
      </c>
      <c r="F48" s="21">
        <f t="shared" si="12"/>
        <v>-3.8610571777333513E-2</v>
      </c>
      <c r="G48" s="21">
        <f>G39-G23</f>
        <v>2.6949726678660024E-3</v>
      </c>
      <c r="I48" s="187" t="s">
        <v>8</v>
      </c>
      <c r="J48" s="193">
        <v>-5.2272318570036225E-2</v>
      </c>
      <c r="K48" s="193">
        <v>-3.8610571777333513E-2</v>
      </c>
      <c r="L48" s="95"/>
      <c r="M48" s="95"/>
      <c r="N48" s="95"/>
      <c r="O48" s="95"/>
    </row>
    <row r="49" spans="1:15" x14ac:dyDescent="0.35">
      <c r="A49" s="10" t="s">
        <v>1</v>
      </c>
      <c r="B49" s="21">
        <f>B40-B24</f>
        <v>-2.216499999999999E-2</v>
      </c>
      <c r="C49" s="21">
        <f t="shared" si="12"/>
        <v>-1.4139093835090211E-4</v>
      </c>
      <c r="D49" s="21">
        <f t="shared" si="12"/>
        <v>1.103623505420509E-3</v>
      </c>
      <c r="E49" s="21">
        <f t="shared" si="12"/>
        <v>6.7770348737598574E-3</v>
      </c>
      <c r="F49" s="21">
        <f t="shared" si="12"/>
        <v>3.5337364721927111E-3</v>
      </c>
      <c r="G49" s="21">
        <f t="shared" si="12"/>
        <v>-7.7248876305169301E-3</v>
      </c>
      <c r="I49" s="188" t="s">
        <v>1</v>
      </c>
      <c r="J49" s="190">
        <v>6.7770348737598574E-3</v>
      </c>
      <c r="K49" s="190">
        <v>3.5337364721927111E-3</v>
      </c>
      <c r="L49" s="196">
        <v>1.3182246717806767E-2</v>
      </c>
      <c r="M49" s="196">
        <v>3.1865044089472501E-2</v>
      </c>
      <c r="N49" s="196">
        <v>1.6904266352679262E-2</v>
      </c>
      <c r="O49" s="196">
        <v>2.8181794319825201E-2</v>
      </c>
    </row>
    <row r="50" spans="1:15" x14ac:dyDescent="0.35">
      <c r="A50" s="10" t="s">
        <v>0</v>
      </c>
      <c r="B50" s="21">
        <f>B40-B25</f>
        <v>2.2335000000000105E-2</v>
      </c>
      <c r="C50" s="21">
        <f t="shared" ref="C50:G50" si="13">C40-C25</f>
        <v>-1.9593754871249813E-2</v>
      </c>
      <c r="D50" s="21">
        <f t="shared" si="13"/>
        <v>-2.136621680333417E-2</v>
      </c>
      <c r="E50" s="21">
        <f t="shared" si="13"/>
        <v>-3.1865044089472466E-2</v>
      </c>
      <c r="F50" s="21">
        <f t="shared" si="13"/>
        <v>-2.8181794319825176E-2</v>
      </c>
      <c r="G50" s="21">
        <f t="shared" si="13"/>
        <v>-2.7536507152353118E-2</v>
      </c>
      <c r="I50" s="189" t="s">
        <v>0</v>
      </c>
      <c r="J50" s="191">
        <v>-3.1865044089472466E-2</v>
      </c>
      <c r="K50" s="191">
        <v>-2.8181794319825176E-2</v>
      </c>
      <c r="L50" s="95"/>
      <c r="M50" s="95"/>
      <c r="N50" s="95"/>
      <c r="O50" s="95"/>
    </row>
    <row r="51" spans="1:15" x14ac:dyDescent="0.35">
      <c r="A51" s="10" t="s">
        <v>23</v>
      </c>
      <c r="B51" s="21">
        <f>B40-B26</f>
        <v>-4.8344999999999971E-2</v>
      </c>
      <c r="C51" s="21">
        <f t="shared" ref="C51:G51" si="14">C40-C26</f>
        <v>4.0840559315524771E-6</v>
      </c>
      <c r="D51" s="21">
        <f t="shared" si="14"/>
        <v>1.6707615293177769E-3</v>
      </c>
      <c r="E51" s="21">
        <f t="shared" si="14"/>
        <v>1.3182246717806767E-2</v>
      </c>
      <c r="F51" s="21">
        <f t="shared" si="14"/>
        <v>7.7437914949532172E-3</v>
      </c>
      <c r="G51" s="21">
        <f t="shared" si="14"/>
        <v>-9.285661066042783E-3</v>
      </c>
      <c r="I51" s="189" t="s">
        <v>23</v>
      </c>
      <c r="J51" s="191">
        <v>1.3182246717806767E-2</v>
      </c>
      <c r="K51" s="191">
        <v>7.7437914949532172E-3</v>
      </c>
      <c r="L51" s="95"/>
      <c r="M51" s="95"/>
      <c r="N51" s="95"/>
      <c r="O51" s="95"/>
    </row>
    <row r="52" spans="1:15" ht="15" thickBot="1" x14ac:dyDescent="0.4">
      <c r="A52" s="14" t="s">
        <v>2</v>
      </c>
      <c r="B52" s="21">
        <f>B40-B27</f>
        <v>4.8175000000000079E-2</v>
      </c>
      <c r="C52" s="21">
        <f t="shared" ref="C52:G53" si="15">C40-C27</f>
        <v>1.9731061753669205E-2</v>
      </c>
      <c r="D52" s="21">
        <f>D40-D27</f>
        <v>1.8591831768595884E-2</v>
      </c>
      <c r="E52" s="21">
        <f t="shared" si="15"/>
        <v>1.190576249790587E-2</v>
      </c>
      <c r="F52" s="21">
        <f t="shared" si="15"/>
        <v>1.6904266352679262E-2</v>
      </c>
      <c r="G52" s="21">
        <f t="shared" si="15"/>
        <v>4.4547055848912831E-2</v>
      </c>
      <c r="I52" s="187" t="s">
        <v>2</v>
      </c>
      <c r="J52" s="193">
        <v>1.190576249790587E-2</v>
      </c>
      <c r="K52" s="193">
        <v>1.6904266352679262E-2</v>
      </c>
      <c r="L52" s="95"/>
      <c r="M52" s="95"/>
      <c r="N52" s="95"/>
      <c r="O52" s="95"/>
    </row>
    <row r="53" spans="1:15" ht="15" thickBot="1" x14ac:dyDescent="0.4">
      <c r="A53" s="14" t="s">
        <v>50</v>
      </c>
      <c r="B53" s="21">
        <f>B41-B28</f>
        <v>7.7300000000000146E-3</v>
      </c>
      <c r="C53" s="21">
        <f t="shared" si="15"/>
        <v>-4.7930856894927987E-3</v>
      </c>
      <c r="D53" s="21">
        <f t="shared" si="15"/>
        <v>-3.5069850307078432E-3</v>
      </c>
      <c r="E53" s="21">
        <f t="shared" si="15"/>
        <v>-5.6653470801027728E-3</v>
      </c>
      <c r="F53" s="21">
        <f t="shared" si="15"/>
        <v>-6.6602941093801549E-3</v>
      </c>
      <c r="G53" s="21">
        <f t="shared" si="15"/>
        <v>-1.3014639726580568E-2</v>
      </c>
      <c r="I53" s="188" t="s">
        <v>50</v>
      </c>
      <c r="J53" s="190">
        <v>-5.6653470801027728E-3</v>
      </c>
      <c r="K53" s="190">
        <v>-6.6602941093801549E-3</v>
      </c>
      <c r="L53" s="196">
        <v>6.1320696388469931E-3</v>
      </c>
      <c r="M53" s="196">
        <v>5.6653470801027702E-3</v>
      </c>
      <c r="N53" s="196">
        <v>6.7468800481931546E-3</v>
      </c>
      <c r="O53" s="196">
        <v>6.6602941093801497E-3</v>
      </c>
    </row>
    <row r="54" spans="1:15" ht="15" thickBot="1" x14ac:dyDescent="0.4">
      <c r="A54" s="14" t="s">
        <v>3</v>
      </c>
      <c r="B54" s="21">
        <f>B41-B29</f>
        <v>1.4589999999999992E-2</v>
      </c>
      <c r="C54" s="21">
        <f t="shared" ref="C54:G54" si="16">C41-C29</f>
        <v>7.9978002368572693E-3</v>
      </c>
      <c r="D54" s="21">
        <f t="shared" si="16"/>
        <v>8.2317274693522735E-3</v>
      </c>
      <c r="E54" s="21">
        <f t="shared" si="16"/>
        <v>6.1320696388469931E-3</v>
      </c>
      <c r="F54" s="21">
        <f t="shared" si="16"/>
        <v>6.7468800481931546E-3</v>
      </c>
      <c r="G54" s="21">
        <f t="shared" si="16"/>
        <v>1.2135903913187751E-2</v>
      </c>
      <c r="I54" s="189" t="s">
        <v>3</v>
      </c>
      <c r="J54" s="191">
        <v>6.1320696388469931E-3</v>
      </c>
      <c r="K54" s="191">
        <v>6.7468800481931546E-3</v>
      </c>
      <c r="L54" s="95"/>
      <c r="M54" s="95"/>
      <c r="N54" s="95"/>
      <c r="O54" s="95"/>
    </row>
    <row r="55" spans="1:15" ht="15" thickBot="1" x14ac:dyDescent="0.4">
      <c r="A55" s="14" t="s">
        <v>4</v>
      </c>
      <c r="B55" s="21">
        <f>B41-B30</f>
        <v>-2.9000000000001247E-4</v>
      </c>
      <c r="C55" s="21">
        <f t="shared" ref="C55:G55" si="17">C41-C30</f>
        <v>1.4261553982258257E-3</v>
      </c>
      <c r="D55" s="21">
        <f t="shared" si="17"/>
        <v>-7.4778316393259159E-4</v>
      </c>
      <c r="E55" s="21">
        <f t="shared" si="17"/>
        <v>-7.8459991705540078E-4</v>
      </c>
      <c r="F55" s="21">
        <f t="shared" si="17"/>
        <v>1.6178189910278362E-3</v>
      </c>
      <c r="G55" s="21">
        <f t="shared" si="17"/>
        <v>1.1031326270327102E-2</v>
      </c>
      <c r="I55" s="189" t="s">
        <v>4</v>
      </c>
      <c r="J55" s="191">
        <v>-7.8459991705540078E-4</v>
      </c>
      <c r="K55" s="191">
        <v>1.6178189910278362E-3</v>
      </c>
      <c r="L55" s="95"/>
      <c r="M55" s="95"/>
      <c r="N55" s="95"/>
      <c r="O55" s="95"/>
    </row>
    <row r="56" spans="1:15" ht="15" thickBot="1" x14ac:dyDescent="0.4">
      <c r="A56" s="14" t="s">
        <v>5</v>
      </c>
      <c r="B56" s="21">
        <f>B41-B31</f>
        <v>-2.2029999999999994E-2</v>
      </c>
      <c r="C56" s="21">
        <f t="shared" ref="C56:G57" si="18">C41-C31</f>
        <v>-4.6308699455903379E-3</v>
      </c>
      <c r="D56" s="21">
        <f t="shared" si="18"/>
        <v>-3.9769592747118943E-3</v>
      </c>
      <c r="E56" s="21">
        <f t="shared" si="18"/>
        <v>3.1787735831118047E-4</v>
      </c>
      <c r="F56" s="21">
        <f t="shared" si="18"/>
        <v>-1.7044049298408637E-3</v>
      </c>
      <c r="G56" s="21">
        <f t="shared" si="18"/>
        <v>-1.0152590456934174E-2</v>
      </c>
      <c r="I56" s="187" t="s">
        <v>5</v>
      </c>
      <c r="J56" s="193">
        <v>3.1787735831118047E-4</v>
      </c>
      <c r="K56" s="193">
        <v>-1.7044049298408637E-3</v>
      </c>
      <c r="L56" s="95"/>
      <c r="M56" s="95"/>
      <c r="N56" s="95"/>
      <c r="O56" s="95"/>
    </row>
    <row r="57" spans="1:15" ht="15" thickBot="1" x14ac:dyDescent="0.4">
      <c r="A57" s="14" t="s">
        <v>51</v>
      </c>
      <c r="B57" s="21">
        <f>B42-B32</f>
        <v>-1.4689999999999981E-2</v>
      </c>
      <c r="C57" s="21">
        <f t="shared" si="18"/>
        <v>-6.158971815441866E-3</v>
      </c>
      <c r="D57" s="21">
        <f t="shared" si="18"/>
        <v>-5.6516182679786919E-3</v>
      </c>
      <c r="E57" s="21">
        <f t="shared" si="18"/>
        <v>-5.109428351680545E-3</v>
      </c>
      <c r="F57" s="21">
        <f t="shared" si="18"/>
        <v>-5.6888406667887637E-3</v>
      </c>
      <c r="G57" s="21">
        <f t="shared" si="18"/>
        <v>-3.2116397016741516E-3</v>
      </c>
      <c r="I57" s="188" t="s">
        <v>51</v>
      </c>
      <c r="J57" s="190">
        <v>-5.109428351680545E-3</v>
      </c>
      <c r="K57" s="190">
        <v>-5.6888406667887637E-3</v>
      </c>
      <c r="L57" s="196">
        <v>2.763851864503869E-3</v>
      </c>
      <c r="M57" s="196">
        <v>5.1094283516805398E-3</v>
      </c>
      <c r="N57" s="196">
        <v>3.4617420777346003E-3</v>
      </c>
      <c r="O57" s="196">
        <v>5.6888406667887602E-3</v>
      </c>
    </row>
    <row r="58" spans="1:15" ht="15" thickBot="1" x14ac:dyDescent="0.4">
      <c r="A58" s="14" t="s">
        <v>9</v>
      </c>
      <c r="B58" s="21">
        <f>B42-B33</f>
        <v>1.6470000000000096E-2</v>
      </c>
      <c r="C58" s="21">
        <f t="shared" ref="C58:G58" si="19">C42-C33</f>
        <v>4.5630091138222639E-3</v>
      </c>
      <c r="D58" s="21">
        <f t="shared" si="19"/>
        <v>4.1004732870185273E-3</v>
      </c>
      <c r="E58" s="21">
        <f t="shared" si="19"/>
        <v>2.9365180249688733E-3</v>
      </c>
      <c r="F58" s="21">
        <f t="shared" si="19"/>
        <v>3.4617420777346003E-3</v>
      </c>
      <c r="G58" s="21">
        <f t="shared" si="19"/>
        <v>3.5579170594892684E-3</v>
      </c>
      <c r="I58" s="189" t="s">
        <v>9</v>
      </c>
      <c r="J58" s="191">
        <v>2.9365180249688733E-3</v>
      </c>
      <c r="K58" s="192">
        <v>3.4617420777346003E-3</v>
      </c>
    </row>
    <row r="59" spans="1:15" ht="15" thickBot="1" x14ac:dyDescent="0.4">
      <c r="A59" s="14" t="s">
        <v>52</v>
      </c>
      <c r="B59" s="21">
        <f>B42-B34</f>
        <v>3.5550000000000082E-2</v>
      </c>
      <c r="C59" s="21">
        <f t="shared" ref="C59:G59" si="20">C42-C34</f>
        <v>3.8719280947210055E-3</v>
      </c>
      <c r="D59" s="21">
        <f t="shared" si="20"/>
        <v>3.7569925177865643E-3</v>
      </c>
      <c r="E59" s="21">
        <f t="shared" si="20"/>
        <v>-5.9094153779222502E-4</v>
      </c>
      <c r="F59" s="21">
        <f t="shared" si="20"/>
        <v>-6.5381971014637219E-4</v>
      </c>
      <c r="G59" s="21">
        <f t="shared" si="20"/>
        <v>-4.0162899784768058E-4</v>
      </c>
      <c r="I59" s="189" t="s">
        <v>52</v>
      </c>
      <c r="J59" s="191">
        <v>-5.9094153779222502E-4</v>
      </c>
      <c r="K59" s="192">
        <v>-6.5381971014637219E-4</v>
      </c>
    </row>
    <row r="60" spans="1:15" ht="15" thickBot="1" x14ac:dyDescent="0.4">
      <c r="A60" s="14" t="s">
        <v>11</v>
      </c>
      <c r="B60" s="21">
        <f>B42-B35</f>
        <v>-3.7329999999999974E-2</v>
      </c>
      <c r="C60" s="21">
        <f t="shared" ref="C60:G60" si="21">C42-C35</f>
        <v>-2.2759653931013757E-3</v>
      </c>
      <c r="D60" s="21">
        <f t="shared" si="21"/>
        <v>-2.2058475368264135E-3</v>
      </c>
      <c r="E60" s="21">
        <f t="shared" si="21"/>
        <v>2.763851864503869E-3</v>
      </c>
      <c r="F60" s="21">
        <f t="shared" si="21"/>
        <v>2.8809182992005078E-3</v>
      </c>
      <c r="G60" s="21">
        <f t="shared" si="21"/>
        <v>5.535164003234172E-5</v>
      </c>
      <c r="I60" s="187" t="s">
        <v>11</v>
      </c>
      <c r="J60" s="193">
        <v>2.763851864503869E-3</v>
      </c>
      <c r="K60" s="194">
        <v>2.8809182992005078E-3</v>
      </c>
    </row>
  </sheetData>
  <mergeCells count="2">
    <mergeCell ref="L43:M43"/>
    <mergeCell ref="N43:O4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R2" sqref="R2"/>
    </sheetView>
  </sheetViews>
  <sheetFormatPr defaultRowHeight="14.5" x14ac:dyDescent="0.35"/>
  <sheetData>
    <row r="1" spans="1:18" x14ac:dyDescent="0.35">
      <c r="A1">
        <v>12.5</v>
      </c>
      <c r="B1">
        <v>21</v>
      </c>
      <c r="C1">
        <f>24+7.5</f>
        <v>31.5</v>
      </c>
      <c r="D1">
        <f>24+10.75</f>
        <v>34.75</v>
      </c>
      <c r="E1">
        <f>24+12.5</f>
        <v>36.5</v>
      </c>
      <c r="F1">
        <f>24+14</f>
        <v>38</v>
      </c>
      <c r="G1">
        <f>24+14.5</f>
        <v>38.5</v>
      </c>
      <c r="H1">
        <f>24+15.5</f>
        <v>39.5</v>
      </c>
      <c r="I1">
        <f>24+20.5</f>
        <v>44.5</v>
      </c>
      <c r="J1">
        <f>48+3.75</f>
        <v>51.75</v>
      </c>
      <c r="K1">
        <f>48+6.25</f>
        <v>54.25</v>
      </c>
      <c r="L1">
        <f>48+7.75</f>
        <v>55.75</v>
      </c>
      <c r="M1">
        <f>48+10.5</f>
        <v>58.5</v>
      </c>
      <c r="N1">
        <f>48+17.25</f>
        <v>65.25</v>
      </c>
      <c r="O1">
        <f>72+7.5</f>
        <v>79.5</v>
      </c>
      <c r="P1">
        <f>72+10.5</f>
        <v>82.5</v>
      </c>
      <c r="Q1">
        <f>72+13.75</f>
        <v>85.75</v>
      </c>
      <c r="R1">
        <f>72+15</f>
        <v>87</v>
      </c>
    </row>
    <row r="2" spans="1:18" x14ac:dyDescent="0.35">
      <c r="B2">
        <f t="shared" ref="B2:R2" si="0">B1-$A$1</f>
        <v>8.5</v>
      </c>
      <c r="C2">
        <f t="shared" si="0"/>
        <v>19</v>
      </c>
      <c r="D2">
        <f t="shared" si="0"/>
        <v>22.25</v>
      </c>
      <c r="E2">
        <f t="shared" si="0"/>
        <v>24</v>
      </c>
      <c r="F2">
        <f t="shared" si="0"/>
        <v>25.5</v>
      </c>
      <c r="G2">
        <f t="shared" si="0"/>
        <v>26</v>
      </c>
      <c r="H2">
        <f t="shared" si="0"/>
        <v>27</v>
      </c>
      <c r="I2">
        <f t="shared" si="0"/>
        <v>32</v>
      </c>
      <c r="J2">
        <f t="shared" si="0"/>
        <v>39.25</v>
      </c>
      <c r="K2">
        <f t="shared" si="0"/>
        <v>41.75</v>
      </c>
      <c r="L2">
        <f t="shared" si="0"/>
        <v>43.25</v>
      </c>
      <c r="M2">
        <f t="shared" si="0"/>
        <v>46</v>
      </c>
      <c r="N2">
        <f t="shared" si="0"/>
        <v>52.75</v>
      </c>
      <c r="O2">
        <f t="shared" si="0"/>
        <v>67</v>
      </c>
      <c r="P2">
        <f t="shared" si="0"/>
        <v>70</v>
      </c>
      <c r="Q2">
        <f t="shared" si="0"/>
        <v>73.25</v>
      </c>
      <c r="R2">
        <f t="shared" si="0"/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of data</vt:lpstr>
      <vt:lpstr>OD</vt:lpstr>
      <vt:lpstr>Growth rates</vt:lpstr>
      <vt:lpstr>Pig graph </vt:lpstr>
      <vt:lpstr>Pig Cal </vt:lpstr>
      <vt:lpstr>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2023-03-21T15:00:17Z</dcterms:modified>
</cp:coreProperties>
</file>